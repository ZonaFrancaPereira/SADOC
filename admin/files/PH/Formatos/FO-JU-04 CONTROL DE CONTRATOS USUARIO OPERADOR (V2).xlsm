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ZFIP-SIG\Desktop\Documentos SIG\G. Juridica y PH\JURIDICA\Formatos\"/>
    </mc:Choice>
  </mc:AlternateContent>
  <bookViews>
    <workbookView xWindow="0" yWindow="0" windowWidth="24000" windowHeight="9735" tabRatio="599"/>
  </bookViews>
  <sheets>
    <sheet name="CONTRATOS 2019" sheetId="21" r:id="rId1"/>
    <sheet name="Hoja1" sheetId="18" state="hidden" r:id="rId2"/>
  </sheets>
  <calcPr calcId="152511"/>
</workbook>
</file>

<file path=xl/calcChain.xml><?xml version="1.0" encoding="utf-8"?>
<calcChain xmlns="http://schemas.openxmlformats.org/spreadsheetml/2006/main">
  <c r="G7" i="21" l="1"/>
  <c r="G9" i="21" l="1"/>
  <c r="H9" i="21" s="1"/>
  <c r="G8" i="21"/>
  <c r="H8" i="21" s="1"/>
  <c r="G16" i="21"/>
  <c r="H16" i="21" s="1"/>
  <c r="G15" i="21"/>
  <c r="H15" i="21" s="1"/>
  <c r="G14" i="21"/>
  <c r="H14" i="21" s="1"/>
  <c r="G13" i="21"/>
  <c r="H13" i="21" s="1"/>
  <c r="G12" i="21"/>
  <c r="H12" i="21" s="1"/>
  <c r="G11" i="21"/>
  <c r="H11" i="21" s="1"/>
  <c r="G10" i="21"/>
  <c r="H10" i="21" s="1"/>
  <c r="H7" i="21" l="1"/>
</calcChain>
</file>

<file path=xl/sharedStrings.xml><?xml version="1.0" encoding="utf-8"?>
<sst xmlns="http://schemas.openxmlformats.org/spreadsheetml/2006/main" count="26" uniqueCount="26">
  <si>
    <t xml:space="preserve">Representante </t>
  </si>
  <si>
    <t xml:space="preserve">Objeto </t>
  </si>
  <si>
    <t xml:space="preserve">Fecha de inicio </t>
  </si>
  <si>
    <t xml:space="preserve">Fecha de finalización </t>
  </si>
  <si>
    <t xml:space="preserve">Precio </t>
  </si>
  <si>
    <t xml:space="preserve">Forma de pago </t>
  </si>
  <si>
    <t xml:space="preserve">Póliza </t>
  </si>
  <si>
    <t xml:space="preserve">Estado </t>
  </si>
  <si>
    <t xml:space="preserve">Otro si </t>
  </si>
  <si>
    <t xml:space="preserve">Vigente </t>
  </si>
  <si>
    <t xml:space="preserve">Finalizado </t>
  </si>
  <si>
    <t xml:space="preserve">En liquidación </t>
  </si>
  <si>
    <t xml:space="preserve">CÓDIGO </t>
  </si>
  <si>
    <t xml:space="preserve">VERSIÓN </t>
  </si>
  <si>
    <t xml:space="preserve">1 de 1 </t>
  </si>
  <si>
    <t>Número</t>
  </si>
  <si>
    <t>FO-JU-04</t>
  </si>
  <si>
    <t>Contratista</t>
  </si>
  <si>
    <t>CONTROL DE CONTRATOS USUARIO OPERADOR</t>
  </si>
  <si>
    <t>Observaciones</t>
  </si>
  <si>
    <t>Trimestre al que corresponde</t>
  </si>
  <si>
    <t>Estado</t>
  </si>
  <si>
    <t>Días por Vencer</t>
  </si>
  <si>
    <t>FECHA DE IMPLEMENTACIÓN</t>
  </si>
  <si>
    <t>FECHA DE ACTUALIZACIÓN</t>
  </si>
  <si>
    <t>PÁGINA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</si>
</sst>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;[Red]\-&quot;$&quot;#,##0"/>
    <numFmt numFmtId="167" formatCode="&quot;$&quot;#,##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sz val="12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2B2B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7" fillId="4" borderId="6" xfId="0" applyFont="1" applyFill="1" applyBorder="1" applyAlignment="1" applyProtection="1">
      <alignment horizontal="center" vertical="center" textRotation="90"/>
      <protection locked="0"/>
    </xf>
    <xf numFmtId="17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horizontal="left" vertical="center" wrapText="1"/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4" fontId="4" fillId="2" borderId="14" xfId="0" applyNumberFormat="1" applyFont="1" applyFill="1" applyBorder="1" applyAlignment="1" applyProtection="1">
      <alignment horizontal="center" vertical="center"/>
      <protection locked="0"/>
    </xf>
    <xf numFmtId="1" fontId="4" fillId="2" borderId="14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7" fontId="4" fillId="2" borderId="1" xfId="0" applyNumberFormat="1" applyFont="1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5" fillId="2" borderId="18" xfId="0" applyFont="1" applyFill="1" applyBorder="1" applyAlignment="1" applyProtection="1">
      <alignment horizontal="center" vertical="center" wrapText="1"/>
      <protection locked="0"/>
    </xf>
    <xf numFmtId="0" fontId="4" fillId="2" borderId="18" xfId="0" applyFont="1" applyFill="1" applyBorder="1" applyAlignment="1" applyProtection="1">
      <alignment vertical="center" wrapText="1"/>
      <protection locked="0"/>
    </xf>
    <xf numFmtId="0" fontId="4" fillId="2" borderId="18" xfId="0" applyFont="1" applyFill="1" applyBorder="1" applyAlignment="1" applyProtection="1">
      <alignment horizontal="left" vertical="center" wrapText="1"/>
      <protection locked="0"/>
    </xf>
    <xf numFmtId="0" fontId="4" fillId="2" borderId="18" xfId="0" applyFont="1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Protection="1"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 applyProtection="1">
      <alignment horizontal="center" vertical="center" wrapText="1"/>
      <protection locked="0"/>
    </xf>
    <xf numFmtId="0" fontId="4" fillId="2" borderId="1" xfId="0" applyFont="1" applyFill="1" applyBorder="1" applyAlignment="1" applyProtection="1">
      <alignment vertical="center" wrapText="1"/>
      <protection locked="0"/>
    </xf>
    <xf numFmtId="0" fontId="4" fillId="2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Protection="1"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vertical="center" wrapText="1"/>
      <protection locked="0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horizontal="left" vertical="center"/>
      <protection locked="0"/>
    </xf>
    <xf numFmtId="0" fontId="8" fillId="0" borderId="18" xfId="0" applyFont="1" applyBorder="1" applyAlignment="1" applyProtection="1">
      <alignment horizontal="center" vertical="center"/>
      <protection locked="0"/>
    </xf>
    <xf numFmtId="0" fontId="0" fillId="0" borderId="18" xfId="0" applyBorder="1" applyProtection="1"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4" fillId="0" borderId="0" xfId="0" applyFont="1" applyAlignment="1" applyProtection="1">
      <alignment vertical="center" wrapTex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164" fontId="4" fillId="0" borderId="1" xfId="0" applyNumberFormat="1" applyFont="1" applyBorder="1" applyAlignment="1" applyProtection="1">
      <alignment horizontal="center" vertical="center" wrapText="1"/>
      <protection locked="0"/>
    </xf>
    <xf numFmtId="14" fontId="4" fillId="2" borderId="1" xfId="0" applyNumberFormat="1" applyFont="1" applyFill="1" applyBorder="1" applyAlignment="1" applyProtection="1">
      <alignment horizontal="center" vertical="center" wrapText="1"/>
      <protection locked="0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 wrapText="1"/>
      <protection locked="0"/>
    </xf>
    <xf numFmtId="0" fontId="6" fillId="4" borderId="19" xfId="0" applyFont="1" applyFill="1" applyBorder="1" applyAlignment="1" applyProtection="1">
      <alignment horizontal="center" vertical="center" wrapText="1"/>
      <protection locked="0"/>
    </xf>
    <xf numFmtId="0" fontId="6" fillId="4" borderId="11" xfId="0" applyFont="1" applyFill="1" applyBorder="1" applyAlignment="1" applyProtection="1">
      <alignment horizontal="center" vertical="center" wrapText="1"/>
      <protection locked="0"/>
    </xf>
    <xf numFmtId="0" fontId="6" fillId="4" borderId="15" xfId="0" applyFont="1" applyFill="1" applyBorder="1" applyAlignment="1" applyProtection="1">
      <alignment horizontal="center" vertical="center" wrapText="1"/>
      <protection locked="0"/>
    </xf>
    <xf numFmtId="167" fontId="7" fillId="3" borderId="7" xfId="0" applyNumberFormat="1" applyFont="1" applyFill="1" applyBorder="1" applyAlignment="1" applyProtection="1">
      <alignment horizontal="center" vertical="center"/>
      <protection locked="0"/>
    </xf>
    <xf numFmtId="167" fontId="7" fillId="3" borderId="0" xfId="0" applyNumberFormat="1" applyFont="1" applyFill="1" applyBorder="1" applyAlignment="1" applyProtection="1">
      <alignment horizontal="center" vertical="center"/>
      <protection locked="0"/>
    </xf>
    <xf numFmtId="0" fontId="7" fillId="3" borderId="6" xfId="0" applyFont="1" applyFill="1" applyBorder="1" applyAlignment="1" applyProtection="1">
      <alignment horizontal="center" vertical="center" wrapText="1"/>
      <protection locked="0"/>
    </xf>
    <xf numFmtId="0" fontId="7" fillId="3" borderId="12" xfId="0" applyFont="1" applyFill="1" applyBorder="1" applyAlignment="1" applyProtection="1">
      <alignment horizontal="center" vertical="center" wrapText="1"/>
      <protection locked="0"/>
    </xf>
    <xf numFmtId="0" fontId="7" fillId="3" borderId="7" xfId="0" applyFont="1" applyFill="1" applyBorder="1" applyAlignment="1" applyProtection="1">
      <alignment horizontal="center" vertical="center" wrapText="1"/>
      <protection locked="0"/>
    </xf>
    <xf numFmtId="0" fontId="7" fillId="3" borderId="0" xfId="0" applyFont="1" applyFill="1" applyBorder="1" applyAlignment="1" applyProtection="1">
      <alignment horizontal="center" vertical="center" wrapText="1"/>
      <protection locked="0"/>
    </xf>
    <xf numFmtId="0" fontId="7" fillId="3" borderId="8" xfId="0" applyFont="1" applyFill="1" applyBorder="1" applyAlignment="1" applyProtection="1">
      <alignment horizontal="center" vertical="center"/>
      <protection locked="0"/>
    </xf>
    <xf numFmtId="0" fontId="7" fillId="3" borderId="9" xfId="0" applyFont="1" applyFill="1" applyBorder="1" applyAlignment="1" applyProtection="1">
      <alignment horizontal="center" vertical="center"/>
      <protection locked="0"/>
    </xf>
    <xf numFmtId="0" fontId="7" fillId="3" borderId="10" xfId="0" applyFont="1" applyFill="1" applyBorder="1" applyAlignment="1" applyProtection="1">
      <alignment horizontal="center" vertical="center"/>
      <protection locked="0"/>
    </xf>
    <xf numFmtId="0" fontId="7" fillId="3" borderId="7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horizontal="center" vertical="center"/>
      <protection locked="0"/>
    </xf>
    <xf numFmtId="0" fontId="6" fillId="5" borderId="21" xfId="0" applyFont="1" applyFill="1" applyBorder="1" applyAlignment="1" applyProtection="1">
      <alignment horizontal="center" vertical="center" wrapText="1"/>
      <protection locked="0"/>
    </xf>
    <xf numFmtId="0" fontId="6" fillId="5" borderId="13" xfId="0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1" fontId="7" fillId="3" borderId="5" xfId="0" applyNumberFormat="1" applyFont="1" applyFill="1" applyBorder="1" applyAlignment="1" applyProtection="1">
      <alignment horizontal="center" vertical="center"/>
      <protection locked="0"/>
    </xf>
    <xf numFmtId="1" fontId="7" fillId="3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7" fillId="3" borderId="5" xfId="0" applyFont="1" applyFill="1" applyBorder="1" applyAlignment="1" applyProtection="1">
      <alignment horizontal="center" vertical="center" wrapText="1"/>
      <protection locked="0"/>
    </xf>
    <xf numFmtId="0" fontId="7" fillId="3" borderId="22" xfId="0" applyFont="1" applyFill="1" applyBorder="1" applyAlignment="1" applyProtection="1">
      <alignment horizontal="center" vertical="center" wrapText="1"/>
      <protection locked="0"/>
    </xf>
    <xf numFmtId="14" fontId="7" fillId="3" borderId="23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24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6" xfId="0" applyNumberFormat="1" applyFont="1" applyFill="1" applyBorder="1" applyAlignment="1" applyProtection="1">
      <alignment horizontal="center" vertical="center" wrapText="1"/>
      <protection locked="0"/>
    </xf>
    <xf numFmtId="14" fontId="7" fillId="3" borderId="17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0" borderId="19" xfId="0" applyFont="1" applyBorder="1" applyAlignment="1" applyProtection="1">
      <alignment horizontal="center" vertical="center"/>
      <protection locked="0"/>
    </xf>
    <xf numFmtId="14" fontId="6" fillId="0" borderId="8" xfId="0" applyNumberFormat="1" applyFont="1" applyBorder="1" applyAlignment="1" applyProtection="1">
      <alignment horizontal="center" vertical="center"/>
      <protection locked="0"/>
    </xf>
    <xf numFmtId="14" fontId="6" fillId="0" borderId="9" xfId="0" applyNumberFormat="1" applyFont="1" applyBorder="1" applyAlignment="1" applyProtection="1">
      <alignment horizontal="center" vertical="center"/>
      <protection locked="0"/>
    </xf>
  </cellXfs>
  <cellStyles count="3">
    <cellStyle name="Hipervínculo" xfId="1" builtinId="8" hidden="1"/>
    <cellStyle name="Hipervínculo visitado" xfId="2" builtinId="9" hidden="1"/>
    <cellStyle name="Normal" xfId="0" builtinId="0" customBuiltin="1"/>
  </cellStyles>
  <dxfs count="5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 tint="-0.499984740745262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colors>
    <mruColors>
      <color rgb="FF00FF00"/>
      <color rgb="FFB2B2B2"/>
      <color rgb="FF7777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728381</xdr:colOff>
      <xdr:row>0</xdr:row>
      <xdr:rowOff>0</xdr:rowOff>
    </xdr:from>
    <xdr:to>
      <xdr:col>2</xdr:col>
      <xdr:colOff>199598</xdr:colOff>
      <xdr:row>0</xdr:row>
      <xdr:rowOff>616323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116" y="0"/>
          <a:ext cx="1365011" cy="6163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R16"/>
  <sheetViews>
    <sheetView tabSelected="1" zoomScale="85" zoomScaleNormal="85" workbookViewId="0">
      <selection activeCell="J3" sqref="J3:O3"/>
    </sheetView>
  </sheetViews>
  <sheetFormatPr baseColWidth="10" defaultRowHeight="15" x14ac:dyDescent="0.25"/>
  <cols>
    <col min="1" max="1" width="15.28515625" style="1" customWidth="1"/>
    <col min="2" max="2" width="28.42578125" style="1" customWidth="1"/>
    <col min="3" max="3" width="26.85546875" style="1" customWidth="1"/>
    <col min="4" max="4" width="40.28515625" style="1" customWidth="1"/>
    <col min="5" max="5" width="14" style="1" customWidth="1"/>
    <col min="6" max="7" width="15.85546875" style="1" customWidth="1"/>
    <col min="8" max="8" width="17.5703125" style="1" customWidth="1"/>
    <col min="9" max="9" width="22.5703125" style="1" bestFit="1" customWidth="1"/>
    <col min="10" max="10" width="34.5703125" style="1" customWidth="1"/>
    <col min="11" max="11" width="9.85546875" style="1" customWidth="1"/>
    <col min="12" max="14" width="4.140625" style="1" bestFit="1" customWidth="1"/>
    <col min="15" max="15" width="11.42578125" style="1"/>
    <col min="16" max="16" width="42.140625" style="1" customWidth="1"/>
    <col min="17" max="16384" width="11.42578125" style="1"/>
  </cols>
  <sheetData>
    <row r="1" spans="1:18" ht="50.25" customHeight="1" thickBot="1" x14ac:dyDescent="0.3">
      <c r="A1" s="80" t="s">
        <v>18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3"/>
      <c r="O1" s="83"/>
      <c r="P1" s="83"/>
      <c r="Q1" s="83"/>
      <c r="R1" s="84"/>
    </row>
    <row r="2" spans="1:18" ht="16.5" thickBot="1" x14ac:dyDescent="0.3">
      <c r="A2" s="71" t="s">
        <v>12</v>
      </c>
      <c r="B2" s="72"/>
      <c r="C2" s="73"/>
      <c r="D2" s="80" t="s">
        <v>23</v>
      </c>
      <c r="E2" s="81"/>
      <c r="F2" s="81"/>
      <c r="G2" s="80" t="s">
        <v>24</v>
      </c>
      <c r="H2" s="81"/>
      <c r="I2" s="82"/>
      <c r="J2" s="80" t="s">
        <v>13</v>
      </c>
      <c r="K2" s="81"/>
      <c r="L2" s="81"/>
      <c r="M2" s="81"/>
      <c r="N2" s="81"/>
      <c r="O2" s="81"/>
      <c r="P2" s="80" t="s">
        <v>25</v>
      </c>
      <c r="Q2" s="81"/>
      <c r="R2" s="82"/>
    </row>
    <row r="3" spans="1:18" ht="16.5" thickBot="1" x14ac:dyDescent="0.3">
      <c r="A3" s="71" t="s">
        <v>16</v>
      </c>
      <c r="B3" s="72"/>
      <c r="C3" s="73"/>
      <c r="D3" s="85">
        <v>42059</v>
      </c>
      <c r="E3" s="86"/>
      <c r="F3" s="86"/>
      <c r="G3" s="85">
        <v>43537</v>
      </c>
      <c r="H3" s="81"/>
      <c r="I3" s="82"/>
      <c r="J3" s="80">
        <v>2</v>
      </c>
      <c r="K3" s="81"/>
      <c r="L3" s="81"/>
      <c r="M3" s="81"/>
      <c r="N3" s="81"/>
      <c r="O3" s="81"/>
      <c r="P3" s="80" t="s">
        <v>14</v>
      </c>
      <c r="Q3" s="81"/>
      <c r="R3" s="82"/>
    </row>
    <row r="4" spans="1:18" ht="16.5" thickBot="1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8" ht="32.25" customHeight="1" thickBot="1" x14ac:dyDescent="0.3">
      <c r="A5" s="69" t="s">
        <v>15</v>
      </c>
      <c r="B5" s="54" t="s">
        <v>17</v>
      </c>
      <c r="C5" s="61" t="s">
        <v>0</v>
      </c>
      <c r="D5" s="54" t="s">
        <v>1</v>
      </c>
      <c r="E5" s="74" t="s">
        <v>2</v>
      </c>
      <c r="F5" s="76" t="s">
        <v>3</v>
      </c>
      <c r="G5" s="78" t="s">
        <v>22</v>
      </c>
      <c r="H5" s="78" t="s">
        <v>21</v>
      </c>
      <c r="I5" s="52" t="s">
        <v>4</v>
      </c>
      <c r="J5" s="54" t="s">
        <v>5</v>
      </c>
      <c r="K5" s="56" t="s">
        <v>6</v>
      </c>
      <c r="L5" s="58" t="s">
        <v>7</v>
      </c>
      <c r="M5" s="59"/>
      <c r="N5" s="60"/>
      <c r="O5" s="61" t="s">
        <v>8</v>
      </c>
      <c r="P5" s="63" t="s">
        <v>19</v>
      </c>
      <c r="Q5" s="48" t="s">
        <v>20</v>
      </c>
      <c r="R5" s="49"/>
    </row>
    <row r="6" spans="1:18" ht="93.75" thickBot="1" x14ac:dyDescent="0.3">
      <c r="A6" s="70"/>
      <c r="B6" s="55"/>
      <c r="C6" s="62"/>
      <c r="D6" s="55"/>
      <c r="E6" s="75"/>
      <c r="F6" s="77"/>
      <c r="G6" s="79"/>
      <c r="H6" s="79"/>
      <c r="I6" s="53"/>
      <c r="J6" s="55"/>
      <c r="K6" s="57"/>
      <c r="L6" s="3" t="s">
        <v>9</v>
      </c>
      <c r="M6" s="3" t="s">
        <v>11</v>
      </c>
      <c r="N6" s="3" t="s">
        <v>10</v>
      </c>
      <c r="O6" s="62"/>
      <c r="P6" s="64"/>
      <c r="Q6" s="50"/>
      <c r="R6" s="51"/>
    </row>
    <row r="7" spans="1:18" ht="15.75" x14ac:dyDescent="0.25">
      <c r="A7" s="4"/>
      <c r="B7" s="5"/>
      <c r="C7" s="5"/>
      <c r="D7" s="6"/>
      <c r="E7" s="7"/>
      <c r="F7" s="8"/>
      <c r="G7" s="47">
        <f ca="1">DAYS360(TODAY(),F7)</f>
        <v>-42913</v>
      </c>
      <c r="H7" s="47" t="str">
        <f ca="1">IF(G7,IF(G7&lt;=0,"VENCIDO",IF(AND(G7&gt;0,G7&lt;=30),"POR VENCER","CON TIEMPO")),"")</f>
        <v>VENCIDO</v>
      </c>
      <c r="I7" s="10"/>
      <c r="J7" s="6"/>
      <c r="K7" s="10"/>
      <c r="L7" s="10"/>
      <c r="M7" s="11"/>
      <c r="N7" s="11"/>
      <c r="O7" s="11"/>
      <c r="P7" s="12"/>
      <c r="Q7" s="68"/>
      <c r="R7" s="68"/>
    </row>
    <row r="8" spans="1:18" ht="15.75" x14ac:dyDescent="0.25">
      <c r="A8" s="13"/>
      <c r="B8" s="5"/>
      <c r="C8" s="5"/>
      <c r="D8" s="6"/>
      <c r="E8" s="46"/>
      <c r="F8" s="46"/>
      <c r="G8" s="9">
        <f t="shared" ref="G8:G9" ca="1" si="0">DAYS360(TODAY(),F8)</f>
        <v>-42913</v>
      </c>
      <c r="H8" s="9" t="str">
        <f t="shared" ref="H8:H9" ca="1" si="1">IF(G8,IF(G8&lt;=0,"VENCIDO",IF(AND(G8&gt;0,G8&lt;=30),"POR VENCER","CON TIEMPO")),"")</f>
        <v>VENCIDO</v>
      </c>
      <c r="I8" s="5"/>
      <c r="J8" s="6"/>
      <c r="K8" s="10"/>
      <c r="L8" s="10"/>
      <c r="M8" s="11"/>
      <c r="N8" s="14"/>
      <c r="O8" s="10"/>
      <c r="P8" s="15"/>
      <c r="Q8" s="65"/>
      <c r="R8" s="65"/>
    </row>
    <row r="9" spans="1:18" ht="15.75" x14ac:dyDescent="0.25">
      <c r="A9" s="16"/>
      <c r="B9" s="17"/>
      <c r="C9" s="17"/>
      <c r="D9" s="18"/>
      <c r="E9" s="46"/>
      <c r="F9" s="46"/>
      <c r="G9" s="9">
        <f t="shared" ca="1" si="0"/>
        <v>-42913</v>
      </c>
      <c r="H9" s="9" t="str">
        <f t="shared" ca="1" si="1"/>
        <v>VENCIDO</v>
      </c>
      <c r="I9" s="19"/>
      <c r="J9" s="18"/>
      <c r="K9" s="10"/>
      <c r="L9" s="20"/>
      <c r="M9" s="21"/>
      <c r="N9" s="19"/>
      <c r="O9" s="21"/>
      <c r="P9" s="22"/>
      <c r="Q9" s="65"/>
      <c r="R9" s="65"/>
    </row>
    <row r="10" spans="1:18" ht="15.75" x14ac:dyDescent="0.25">
      <c r="A10" s="23"/>
      <c r="B10" s="24"/>
      <c r="C10" s="24"/>
      <c r="D10" s="6"/>
      <c r="E10" s="46"/>
      <c r="F10" s="46"/>
      <c r="G10" s="9">
        <f t="shared" ref="G10:G16" ca="1" si="2">DAYS360(TODAY(),F10)</f>
        <v>-42913</v>
      </c>
      <c r="H10" s="9" t="str">
        <f t="shared" ref="H10:H16" ca="1" si="3">IF(G10,IF(G10&lt;=0,"VENCIDO",IF(AND(G10&gt;0,G10&lt;=30),"POR VENCER","CON TIEMPO")),"")</f>
        <v>VENCIDO</v>
      </c>
      <c r="I10" s="25"/>
      <c r="J10" s="24"/>
      <c r="K10" s="10"/>
      <c r="L10" s="26"/>
      <c r="M10" s="27"/>
      <c r="N10" s="26"/>
      <c r="O10" s="27"/>
      <c r="P10" s="28"/>
      <c r="Q10" s="65"/>
      <c r="R10" s="65"/>
    </row>
    <row r="11" spans="1:18" x14ac:dyDescent="0.25">
      <c r="A11" s="29"/>
      <c r="B11" s="30"/>
      <c r="C11" s="30"/>
      <c r="D11" s="30"/>
      <c r="E11" s="46"/>
      <c r="F11" s="46"/>
      <c r="G11" s="9">
        <f t="shared" ca="1" si="2"/>
        <v>-42913</v>
      </c>
      <c r="H11" s="9" t="str">
        <f t="shared" ca="1" si="3"/>
        <v>VENCIDO</v>
      </c>
      <c r="I11" s="29"/>
      <c r="J11" s="31"/>
      <c r="K11" s="22"/>
      <c r="L11" s="22"/>
      <c r="M11" s="32"/>
      <c r="N11" s="33"/>
      <c r="O11" s="32"/>
      <c r="P11" s="32"/>
      <c r="Q11" s="65"/>
      <c r="R11" s="65"/>
    </row>
    <row r="12" spans="1:18" ht="18.75" x14ac:dyDescent="0.25">
      <c r="A12" s="29"/>
      <c r="B12" s="34"/>
      <c r="C12" s="34"/>
      <c r="D12" s="18"/>
      <c r="E12" s="46"/>
      <c r="F12" s="46"/>
      <c r="G12" s="9">
        <f t="shared" ca="1" si="2"/>
        <v>-42913</v>
      </c>
      <c r="H12" s="9" t="str">
        <f t="shared" ca="1" si="3"/>
        <v>VENCIDO</v>
      </c>
      <c r="I12" s="35"/>
      <c r="J12" s="36"/>
      <c r="K12" s="19"/>
      <c r="L12" s="37"/>
      <c r="M12" s="38"/>
      <c r="N12" s="20"/>
      <c r="O12" s="38"/>
      <c r="P12" s="38"/>
      <c r="Q12" s="65"/>
      <c r="R12" s="65"/>
    </row>
    <row r="13" spans="1:18" ht="18.75" x14ac:dyDescent="0.25">
      <c r="A13" s="29"/>
      <c r="B13" s="29"/>
      <c r="C13" s="29"/>
      <c r="D13" s="31"/>
      <c r="E13" s="46"/>
      <c r="F13" s="46"/>
      <c r="G13" s="9">
        <f t="shared" ca="1" si="2"/>
        <v>-42913</v>
      </c>
      <c r="H13" s="9" t="str">
        <f t="shared" ca="1" si="3"/>
        <v>VENCIDO</v>
      </c>
      <c r="I13" s="29"/>
      <c r="J13" s="31"/>
      <c r="K13" s="10"/>
      <c r="L13" s="39"/>
      <c r="M13" s="40"/>
      <c r="N13" s="14"/>
      <c r="O13" s="40"/>
      <c r="P13" s="40"/>
      <c r="Q13" s="65"/>
      <c r="R13" s="65"/>
    </row>
    <row r="14" spans="1:18" x14ac:dyDescent="0.25">
      <c r="A14" s="29"/>
      <c r="B14" s="34"/>
      <c r="C14" s="34"/>
      <c r="D14" s="41"/>
      <c r="E14" s="46"/>
      <c r="F14" s="46"/>
      <c r="G14" s="9">
        <f t="shared" ca="1" si="2"/>
        <v>-42913</v>
      </c>
      <c r="H14" s="9" t="str">
        <f t="shared" ca="1" si="3"/>
        <v>VENCIDO</v>
      </c>
      <c r="I14" s="42"/>
      <c r="J14" s="31"/>
      <c r="K14" s="10"/>
      <c r="L14" s="43"/>
      <c r="M14" s="40"/>
      <c r="N14" s="43"/>
      <c r="O14" s="40"/>
      <c r="P14" s="40"/>
      <c r="Q14" s="65"/>
      <c r="R14" s="65"/>
    </row>
    <row r="15" spans="1:18" x14ac:dyDescent="0.25">
      <c r="A15" s="29"/>
      <c r="B15" s="30"/>
      <c r="C15" s="30"/>
      <c r="D15" s="30"/>
      <c r="E15" s="46"/>
      <c r="F15" s="46"/>
      <c r="G15" s="9">
        <f t="shared" ca="1" si="2"/>
        <v>-42913</v>
      </c>
      <c r="H15" s="9" t="str">
        <f t="shared" ca="1" si="3"/>
        <v>VENCIDO</v>
      </c>
      <c r="I15" s="29"/>
      <c r="J15" s="31"/>
      <c r="K15" s="10"/>
      <c r="L15" s="43"/>
      <c r="M15" s="40"/>
      <c r="N15" s="43"/>
      <c r="O15" s="40"/>
      <c r="P15" s="40"/>
      <c r="Q15" s="65"/>
      <c r="R15" s="65"/>
    </row>
    <row r="16" spans="1:18" x14ac:dyDescent="0.25">
      <c r="A16" s="44"/>
      <c r="B16" s="30"/>
      <c r="C16" s="30"/>
      <c r="D16" s="30"/>
      <c r="E16" s="46"/>
      <c r="F16" s="46"/>
      <c r="G16" s="9">
        <f t="shared" ca="1" si="2"/>
        <v>-42913</v>
      </c>
      <c r="H16" s="9" t="str">
        <f t="shared" ca="1" si="3"/>
        <v>VENCIDO</v>
      </c>
      <c r="I16" s="45"/>
      <c r="J16" s="31"/>
      <c r="K16" s="43"/>
      <c r="L16" s="43"/>
      <c r="M16" s="40"/>
      <c r="N16" s="40"/>
      <c r="O16" s="40"/>
      <c r="P16" s="40"/>
      <c r="Q16" s="66"/>
      <c r="R16" s="67"/>
    </row>
  </sheetData>
  <mergeCells count="36">
    <mergeCell ref="A1:R1"/>
    <mergeCell ref="A2:C2"/>
    <mergeCell ref="D2:F2"/>
    <mergeCell ref="D3:F3"/>
    <mergeCell ref="G2:I2"/>
    <mergeCell ref="G3:I3"/>
    <mergeCell ref="P2:R2"/>
    <mergeCell ref="P3:R3"/>
    <mergeCell ref="J2:O2"/>
    <mergeCell ref="J3:O3"/>
    <mergeCell ref="A5:A6"/>
    <mergeCell ref="B5:B6"/>
    <mergeCell ref="C5:C6"/>
    <mergeCell ref="D5:D6"/>
    <mergeCell ref="A3:C3"/>
    <mergeCell ref="E5:E6"/>
    <mergeCell ref="F5:F6"/>
    <mergeCell ref="G5:G6"/>
    <mergeCell ref="H5:H6"/>
    <mergeCell ref="Q14:R14"/>
    <mergeCell ref="Q15:R15"/>
    <mergeCell ref="Q16:R16"/>
    <mergeCell ref="Q7:R7"/>
    <mergeCell ref="Q8:R8"/>
    <mergeCell ref="Q9:R9"/>
    <mergeCell ref="Q10:R10"/>
    <mergeCell ref="Q11:R11"/>
    <mergeCell ref="Q12:R12"/>
    <mergeCell ref="Q13:R13"/>
    <mergeCell ref="Q5:R6"/>
    <mergeCell ref="I5:I6"/>
    <mergeCell ref="J5:J6"/>
    <mergeCell ref="K5:K6"/>
    <mergeCell ref="L5:N5"/>
    <mergeCell ref="O5:O6"/>
    <mergeCell ref="P5:P6"/>
  </mergeCells>
  <conditionalFormatting sqref="H7:H16">
    <cfRule type="cellIs" dxfId="2" priority="3" operator="equal">
      <formula>"VENCIDO"</formula>
    </cfRule>
    <cfRule type="cellIs" dxfId="1" priority="2" operator="equal">
      <formula>"POR VENCER"</formula>
    </cfRule>
    <cfRule type="cellIs" dxfId="0" priority="1" operator="equal">
      <formula>"CON TIEMPO"</formula>
    </cfRule>
  </conditionalFormatting>
  <dataValidations count="2">
    <dataValidation type="date" operator="greaterThan" allowBlank="1" showInputMessage="1" showErrorMessage="1" errorTitle="Fecha equivocada" error="La fecha de finalización debe ser mayor a la inicial" sqref="F7">
      <formula1>E7</formula1>
    </dataValidation>
    <dataValidation type="date" operator="lessThan" allowBlank="1" showInputMessage="1" showErrorMessage="1" errorTitle="Fecha equivocada" error="Fecha inicial no debe ser mayor a la fecha de finalización del contrato" sqref="E7">
      <formula1>F7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CONTRATOS 2019</vt:lpstr>
      <vt:lpstr>Hoja1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ZFIP-SIG</cp:lastModifiedBy>
  <cp:lastPrinted>2014-11-21T18:27:17Z</cp:lastPrinted>
  <dcterms:created xsi:type="dcterms:W3CDTF">2012-10-30T14:05:43Z</dcterms:created>
  <dcterms:modified xsi:type="dcterms:W3CDTF">2019-03-13T18:41:00Z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ce2d9406-3edc-4e16-9cca-470382cd845c</vt:lpwstr>
  </property>
</Properties>
</file>