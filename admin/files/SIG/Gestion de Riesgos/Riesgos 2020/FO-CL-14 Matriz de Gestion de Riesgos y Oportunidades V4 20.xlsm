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drawings/drawing10.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checkCompatibility="1" autoCompressPictures="0"/>
  <mc:AlternateContent xmlns:mc="http://schemas.openxmlformats.org/markup-compatibility/2006">
    <mc:Choice Requires="x15">
      <x15ac:absPath xmlns:x15ac="http://schemas.microsoft.com/office/spreadsheetml/2010/11/ac" url="C:\Users\ZFIP-SIG\Documents\Sistema Integado de Gestión\SIG\Sistema Integrado de Gestión\Procedimientos documentados\1. Gestion del riesgo\Riesgos 2020\"/>
    </mc:Choice>
  </mc:AlternateContent>
  <bookViews>
    <workbookView xWindow="0" yWindow="0" windowWidth="20490" windowHeight="9045" activeTab="3"/>
  </bookViews>
  <sheets>
    <sheet name="GERENCIA" sheetId="33" r:id="rId1"/>
    <sheet name="SIG" sheetId="37" r:id="rId2"/>
    <sheet name="GTC" sheetId="39" r:id="rId3"/>
    <sheet name="GJU-PH" sheetId="40" r:id="rId4"/>
    <sheet name="GCSC" sheetId="32" r:id="rId5"/>
    <sheet name="GOP" sheetId="34" r:id="rId6"/>
    <sheet name="GCF" sheetId="35" r:id="rId7"/>
    <sheet name="GTI" sheetId="38" r:id="rId8"/>
    <sheet name="GAD" sheetId="36" r:id="rId9"/>
    <sheet name="Valoración" sheetId="5" r:id="rId10"/>
    <sheet name="Indicador Comparativo 2018-2020" sheetId="23" r:id="rId11"/>
  </sheets>
  <functionGroups builtInGroupCount="18"/>
  <externalReferences>
    <externalReference r:id="rId12"/>
    <externalReference r:id="rId13"/>
  </externalReferences>
  <definedNames>
    <definedName name="_xlnm._FilterDatabase" localSheetId="8" hidden="1">GAD!$B$8:$AC$21</definedName>
    <definedName name="_xlnm._FilterDatabase" localSheetId="6" hidden="1">GCF!$B$8:$AC$13</definedName>
    <definedName name="_xlnm._FilterDatabase" localSheetId="4" hidden="1">GCSC!$B$8:$AC$19</definedName>
    <definedName name="_xlnm._FilterDatabase" localSheetId="0" hidden="1">GERENCIA!$B$8:$AC$16</definedName>
    <definedName name="_xlnm._FilterDatabase" localSheetId="3" hidden="1">'GJU-PH'!$B$8:$AC$25</definedName>
    <definedName name="_xlnm._FilterDatabase" localSheetId="5" hidden="1">GOP!$B$8:$AC$16</definedName>
    <definedName name="_xlnm._FilterDatabase" localSheetId="2" hidden="1">GTC!$B$8:$AC$15</definedName>
    <definedName name="_xlnm._FilterDatabase" localSheetId="7" hidden="1">GTI!$B$8:$AC$14</definedName>
    <definedName name="_xlnm._FilterDatabase" localSheetId="1" hidden="1">SIG!$B$8:$AC$15</definedName>
    <definedName name="_xlnm.Print_Area" localSheetId="8">GAD!$B$2:$AE$28</definedName>
    <definedName name="_xlnm.Print_Area" localSheetId="6">GCF!$B$2:$AE$22</definedName>
    <definedName name="_xlnm.Print_Area" localSheetId="4">GCSC!$B$2:$AE$26</definedName>
    <definedName name="_xlnm.Print_Area" localSheetId="0">GERENCIA!$B$2:$AE$23</definedName>
    <definedName name="_xlnm.Print_Area" localSheetId="3">'GJU-PH'!$B$2:$AE$32</definedName>
    <definedName name="_xlnm.Print_Area" localSheetId="5">GOP!$B$2:$AE$23</definedName>
    <definedName name="_xlnm.Print_Area" localSheetId="2">GTC!$B$2:$AE$22</definedName>
    <definedName name="_xlnm.Print_Area" localSheetId="7">GTI!$B$2:$AE$23</definedName>
    <definedName name="_xlnm.Print_Area" localSheetId="10">'Indicador Comparativo 2018-2020'!$A$1:$O$50</definedName>
    <definedName name="_xlnm.Print_Area" localSheetId="1">SIG!$B$2:$AE$22</definedName>
    <definedName name="_xlnm.Print_Area" localSheetId="9">Valoración!$A$1:$Y$23</definedName>
    <definedName name="_xlnm.Print_Titles" localSheetId="8">GAD!$6:$8</definedName>
    <definedName name="_xlnm.Print_Titles" localSheetId="6">GCF!$6:$8</definedName>
    <definedName name="_xlnm.Print_Titles" localSheetId="4">GCSC!$6:$8</definedName>
    <definedName name="_xlnm.Print_Titles" localSheetId="0">GERENCIA!$6:$8</definedName>
    <definedName name="_xlnm.Print_Titles" localSheetId="3">'GJU-PH'!$6:$8</definedName>
    <definedName name="_xlnm.Print_Titles" localSheetId="5">GOP!$6:$8</definedName>
    <definedName name="_xlnm.Print_Titles" localSheetId="2">GTC!$6:$8</definedName>
    <definedName name="_xlnm.Print_Titles" localSheetId="7">GTI!$6:$8</definedName>
    <definedName name="_xlnm.Print_Titles" localSheetId="1">SIG!$6:$8</definedName>
  </definedNames>
  <calcPr calcId="152511"/>
  <extLst>
    <ext xmlns:mx="http://schemas.microsoft.com/office/mac/excel/2008/main" uri="{7523E5D3-25F3-A5E0-1632-64F254C22452}">
      <mx:ArchID Flags="2"/>
    </ext>
  </extLst>
</workbook>
</file>

<file path=xl/calcChain.xml><?xml version="1.0" encoding="utf-8"?>
<calcChain xmlns="http://schemas.openxmlformats.org/spreadsheetml/2006/main">
  <c r="U26" i="40" l="1"/>
  <c r="N26" i="40"/>
  <c r="U16" i="39"/>
  <c r="N16" i="39"/>
  <c r="U17" i="38"/>
  <c r="N17" i="38"/>
  <c r="U16" i="37"/>
  <c r="N16" i="37"/>
  <c r="U16" i="35"/>
  <c r="N16" i="35"/>
  <c r="U22" i="36"/>
  <c r="N22" i="36"/>
  <c r="U17" i="34"/>
  <c r="N17" i="34"/>
  <c r="U17" i="33"/>
  <c r="N17" i="33"/>
  <c r="U20" i="32"/>
  <c r="N20" i="32"/>
  <c r="J21" i="33"/>
  <c r="E27" i="23"/>
  <c r="U13" i="33"/>
  <c r="T13" i="33"/>
  <c r="R13" i="33"/>
  <c r="N13" i="33"/>
  <c r="M13" i="33"/>
  <c r="K13" i="33"/>
  <c r="U25" i="40"/>
  <c r="T25" i="40"/>
  <c r="R25" i="40"/>
  <c r="N25" i="40"/>
  <c r="M25" i="40"/>
  <c r="K25" i="40"/>
  <c r="U15" i="39"/>
  <c r="T15" i="39"/>
  <c r="R15" i="39"/>
  <c r="N15" i="39"/>
  <c r="M15" i="39"/>
  <c r="K15" i="39"/>
  <c r="U16" i="38"/>
  <c r="T16" i="38"/>
  <c r="R16" i="38"/>
  <c r="N16" i="38"/>
  <c r="M16" i="38"/>
  <c r="K16" i="38"/>
  <c r="U15" i="34"/>
  <c r="T15" i="34"/>
  <c r="R15" i="34"/>
  <c r="N15" i="34"/>
  <c r="M15" i="34"/>
  <c r="K15" i="34"/>
  <c r="U14" i="35"/>
  <c r="T14" i="35"/>
  <c r="R14" i="35"/>
  <c r="N14" i="35"/>
  <c r="M14" i="35"/>
  <c r="K14" i="35"/>
  <c r="U18" i="36"/>
  <c r="T18" i="36"/>
  <c r="R18" i="36"/>
  <c r="N18" i="36"/>
  <c r="M18" i="36"/>
  <c r="K18" i="36"/>
  <c r="J32" i="40"/>
  <c r="J23" i="38"/>
  <c r="J22" i="37"/>
  <c r="J22" i="35"/>
  <c r="J26" i="36"/>
  <c r="J28" i="36"/>
  <c r="J22" i="39"/>
  <c r="U14" i="37"/>
  <c r="T14" i="37"/>
  <c r="R14" i="37"/>
  <c r="N14" i="37"/>
  <c r="M14" i="37"/>
  <c r="K14" i="37"/>
  <c r="U16" i="34"/>
  <c r="T16" i="34"/>
  <c r="R16" i="34"/>
  <c r="N16" i="34"/>
  <c r="M16" i="34"/>
  <c r="K16" i="34"/>
  <c r="D31" i="23"/>
  <c r="D29" i="23"/>
  <c r="D28" i="23"/>
  <c r="D27" i="23"/>
  <c r="U21" i="36"/>
  <c r="R21" i="36"/>
  <c r="T21" i="36"/>
  <c r="N21" i="36"/>
  <c r="M21" i="36"/>
  <c r="K21" i="36"/>
  <c r="U19" i="32"/>
  <c r="T19" i="32"/>
  <c r="R19" i="32"/>
  <c r="N19" i="32"/>
  <c r="M19" i="32"/>
  <c r="K19" i="32"/>
  <c r="U20" i="36"/>
  <c r="T20" i="36"/>
  <c r="R20" i="36"/>
  <c r="N20" i="36"/>
  <c r="M20" i="36"/>
  <c r="K20" i="36"/>
  <c r="U18" i="32"/>
  <c r="T18" i="32"/>
  <c r="R18" i="32"/>
  <c r="N18" i="32"/>
  <c r="M18" i="32"/>
  <c r="K18" i="32"/>
  <c r="U15" i="35"/>
  <c r="T15" i="35"/>
  <c r="R15" i="35"/>
  <c r="N15" i="35"/>
  <c r="M15" i="35"/>
  <c r="K15" i="35"/>
  <c r="U24" i="40"/>
  <c r="T24" i="40"/>
  <c r="R24" i="40"/>
  <c r="N24" i="40"/>
  <c r="M24" i="40"/>
  <c r="K24" i="40"/>
  <c r="U15" i="37"/>
  <c r="J20" i="37"/>
  <c r="T15" i="37"/>
  <c r="R15" i="37"/>
  <c r="N15" i="37"/>
  <c r="M15" i="37"/>
  <c r="K15" i="37"/>
  <c r="U14" i="34"/>
  <c r="T14" i="34"/>
  <c r="R14" i="34"/>
  <c r="N14" i="34"/>
  <c r="M14" i="34"/>
  <c r="K14" i="34"/>
  <c r="U17" i="32"/>
  <c r="T17" i="32"/>
  <c r="R17" i="32"/>
  <c r="N17" i="32"/>
  <c r="M17" i="32"/>
  <c r="K17" i="32"/>
  <c r="U15" i="38"/>
  <c r="T15" i="38"/>
  <c r="R15" i="38"/>
  <c r="N15" i="38"/>
  <c r="M15" i="38"/>
  <c r="K15" i="38"/>
  <c r="U14" i="39"/>
  <c r="J20" i="39"/>
  <c r="T14" i="39"/>
  <c r="R14" i="39"/>
  <c r="N14" i="39"/>
  <c r="M14" i="39"/>
  <c r="K14" i="39"/>
  <c r="U16" i="32"/>
  <c r="T16" i="32"/>
  <c r="R16" i="32"/>
  <c r="N16" i="32"/>
  <c r="M16" i="32"/>
  <c r="K16" i="32"/>
  <c r="U15" i="32"/>
  <c r="T15" i="32"/>
  <c r="R15" i="32"/>
  <c r="N15" i="32"/>
  <c r="M15" i="32"/>
  <c r="K15" i="32"/>
  <c r="J20" i="38"/>
  <c r="J21" i="38"/>
  <c r="J19" i="38"/>
  <c r="J18" i="35"/>
  <c r="J20" i="35"/>
  <c r="J19" i="35"/>
  <c r="U16" i="33"/>
  <c r="T16" i="33"/>
  <c r="R16" i="33"/>
  <c r="N16" i="33"/>
  <c r="M16" i="33"/>
  <c r="K16" i="33"/>
  <c r="U15" i="33"/>
  <c r="T15" i="33"/>
  <c r="R15" i="33"/>
  <c r="N15" i="33"/>
  <c r="M15" i="33"/>
  <c r="K15" i="33"/>
  <c r="U15" i="36"/>
  <c r="T15" i="36"/>
  <c r="R15" i="36"/>
  <c r="N15" i="36"/>
  <c r="M15" i="36"/>
  <c r="K15" i="36"/>
  <c r="U11" i="36"/>
  <c r="U13" i="36"/>
  <c r="T13" i="36"/>
  <c r="R13" i="36"/>
  <c r="N13" i="36"/>
  <c r="M13" i="36"/>
  <c r="K13" i="36"/>
  <c r="U14" i="33"/>
  <c r="T14" i="33"/>
  <c r="R14" i="33"/>
  <c r="N14" i="33"/>
  <c r="M14" i="33"/>
  <c r="K14" i="33"/>
  <c r="U23" i="40"/>
  <c r="J30" i="40"/>
  <c r="T23" i="40"/>
  <c r="R23" i="40"/>
  <c r="N23" i="40"/>
  <c r="M23" i="40"/>
  <c r="K23" i="40"/>
  <c r="U14" i="32"/>
  <c r="T14" i="32"/>
  <c r="R14" i="32"/>
  <c r="N14" i="32"/>
  <c r="M14" i="32"/>
  <c r="K14" i="32"/>
  <c r="N16" i="36"/>
  <c r="M16" i="36"/>
  <c r="K16" i="36"/>
  <c r="K14" i="36"/>
  <c r="M14" i="36"/>
  <c r="N14" i="36"/>
  <c r="R14" i="36"/>
  <c r="T14" i="36"/>
  <c r="U14" i="36"/>
  <c r="U21" i="40"/>
  <c r="U22" i="40"/>
  <c r="T21" i="40"/>
  <c r="T22" i="40"/>
  <c r="R21" i="40"/>
  <c r="R22" i="40"/>
  <c r="N21" i="40"/>
  <c r="N22" i="40"/>
  <c r="M21" i="40"/>
  <c r="M22" i="40"/>
  <c r="K21" i="40"/>
  <c r="K22" i="40"/>
  <c r="U12" i="40"/>
  <c r="U13" i="40"/>
  <c r="U14" i="40"/>
  <c r="U15" i="40"/>
  <c r="U16" i="40"/>
  <c r="U17" i="40"/>
  <c r="U18" i="40"/>
  <c r="U19" i="40"/>
  <c r="U20" i="40"/>
  <c r="T12" i="40"/>
  <c r="T13" i="40"/>
  <c r="T14" i="40"/>
  <c r="T15" i="40"/>
  <c r="T16" i="40"/>
  <c r="T17" i="40"/>
  <c r="T18" i="40"/>
  <c r="T19" i="40"/>
  <c r="T20" i="40"/>
  <c r="R12" i="40"/>
  <c r="R13" i="40"/>
  <c r="R14" i="40"/>
  <c r="R15" i="40"/>
  <c r="R16" i="40"/>
  <c r="R17" i="40"/>
  <c r="R18" i="40"/>
  <c r="R19" i="40"/>
  <c r="R20" i="40"/>
  <c r="K12" i="40"/>
  <c r="K13" i="40"/>
  <c r="K14" i="40"/>
  <c r="K15" i="40"/>
  <c r="K16" i="40"/>
  <c r="K17" i="40"/>
  <c r="K18" i="40"/>
  <c r="K19" i="40"/>
  <c r="K20" i="40"/>
  <c r="M12" i="40"/>
  <c r="M13" i="40"/>
  <c r="M14" i="40"/>
  <c r="M15" i="40"/>
  <c r="M16" i="40"/>
  <c r="M17" i="40"/>
  <c r="M18" i="40"/>
  <c r="M19" i="40"/>
  <c r="M20" i="40"/>
  <c r="N12" i="40"/>
  <c r="N13" i="40"/>
  <c r="N14" i="40"/>
  <c r="N15" i="40"/>
  <c r="N16" i="40"/>
  <c r="N17" i="40"/>
  <c r="N18" i="40"/>
  <c r="N19" i="40"/>
  <c r="N20" i="40"/>
  <c r="N12" i="39"/>
  <c r="N13" i="39"/>
  <c r="M12" i="39"/>
  <c r="M13" i="39"/>
  <c r="K12" i="39"/>
  <c r="K13" i="39"/>
  <c r="U12" i="39"/>
  <c r="U13" i="39"/>
  <c r="T12" i="39"/>
  <c r="T13" i="39"/>
  <c r="R12" i="39"/>
  <c r="R13" i="39"/>
  <c r="K23" i="38"/>
  <c r="J23" i="34"/>
  <c r="K23" i="34"/>
  <c r="U11" i="34"/>
  <c r="U12" i="34"/>
  <c r="U13" i="34"/>
  <c r="AI73" i="40"/>
  <c r="AH73" i="40"/>
  <c r="AG73" i="40"/>
  <c r="AJ37" i="40"/>
  <c r="AJ36" i="40"/>
  <c r="AJ34" i="40"/>
  <c r="AJ33" i="40"/>
  <c r="AJ32" i="40"/>
  <c r="K32" i="40"/>
  <c r="AJ31" i="40"/>
  <c r="AJ30" i="40"/>
  <c r="AJ29" i="40"/>
  <c r="AJ28" i="40"/>
  <c r="AJ27" i="40"/>
  <c r="AJ73" i="40"/>
  <c r="AJ26" i="40"/>
  <c r="AJ11" i="40"/>
  <c r="U11" i="40"/>
  <c r="J29" i="40"/>
  <c r="T11" i="40"/>
  <c r="R11" i="40"/>
  <c r="N11" i="40"/>
  <c r="M11" i="40"/>
  <c r="K11" i="40"/>
  <c r="AJ10" i="40"/>
  <c r="U10" i="40"/>
  <c r="T10" i="40"/>
  <c r="R10" i="40"/>
  <c r="N10" i="40"/>
  <c r="M10" i="40"/>
  <c r="K10" i="40"/>
  <c r="AJ9" i="40"/>
  <c r="U9" i="40"/>
  <c r="T9" i="40"/>
  <c r="R9" i="40"/>
  <c r="N9" i="40"/>
  <c r="M9" i="40"/>
  <c r="K9" i="40"/>
  <c r="U12" i="38"/>
  <c r="U13" i="38"/>
  <c r="T12" i="38"/>
  <c r="T13" i="38"/>
  <c r="R12" i="38"/>
  <c r="R13" i="38"/>
  <c r="N12" i="38"/>
  <c r="N13" i="38"/>
  <c r="M12" i="38"/>
  <c r="M13" i="38"/>
  <c r="K12" i="38"/>
  <c r="K13" i="38"/>
  <c r="AI63" i="39"/>
  <c r="AH63" i="39"/>
  <c r="AG63" i="39"/>
  <c r="AJ27" i="39"/>
  <c r="AJ26" i="39"/>
  <c r="AJ24" i="39"/>
  <c r="AJ23" i="39"/>
  <c r="AJ22" i="39"/>
  <c r="K22" i="39"/>
  <c r="AJ21" i="39"/>
  <c r="AJ20" i="39"/>
  <c r="AJ19" i="39"/>
  <c r="AJ18" i="39"/>
  <c r="AJ17" i="39"/>
  <c r="AJ16" i="39"/>
  <c r="AJ15" i="39"/>
  <c r="AJ11" i="39"/>
  <c r="U11" i="39"/>
  <c r="T11" i="39"/>
  <c r="R11" i="39"/>
  <c r="N11" i="39"/>
  <c r="M11" i="39"/>
  <c r="K11" i="39"/>
  <c r="AJ10" i="39"/>
  <c r="U10" i="39"/>
  <c r="T10" i="39"/>
  <c r="R10" i="39"/>
  <c r="N10" i="39"/>
  <c r="M10" i="39"/>
  <c r="K10" i="39"/>
  <c r="AJ9" i="39"/>
  <c r="AJ63" i="39"/>
  <c r="U9" i="39"/>
  <c r="T9" i="39"/>
  <c r="R9" i="39"/>
  <c r="N9" i="39"/>
  <c r="M9" i="39"/>
  <c r="K9" i="39"/>
  <c r="U12" i="35"/>
  <c r="U13" i="35"/>
  <c r="T12" i="35"/>
  <c r="T13" i="35"/>
  <c r="R12" i="35"/>
  <c r="R13" i="35"/>
  <c r="N12" i="35"/>
  <c r="N13" i="35"/>
  <c r="M12" i="35"/>
  <c r="M13" i="35"/>
  <c r="K12" i="35"/>
  <c r="K13" i="35"/>
  <c r="J18" i="39"/>
  <c r="J19" i="39"/>
  <c r="AI64" i="38"/>
  <c r="AH64" i="38"/>
  <c r="AG64" i="38"/>
  <c r="AJ28" i="38"/>
  <c r="AJ27" i="38"/>
  <c r="AJ25" i="38"/>
  <c r="AJ24" i="38"/>
  <c r="AJ23" i="38"/>
  <c r="AJ22" i="38"/>
  <c r="AJ21" i="38"/>
  <c r="AJ20" i="38"/>
  <c r="AJ19" i="38"/>
  <c r="AJ18" i="38"/>
  <c r="AJ17" i="38"/>
  <c r="AJ14" i="38"/>
  <c r="U14" i="38"/>
  <c r="T14" i="38"/>
  <c r="R14" i="38"/>
  <c r="N14" i="38"/>
  <c r="M14" i="38"/>
  <c r="K14" i="38"/>
  <c r="AJ11" i="38"/>
  <c r="U11" i="38"/>
  <c r="T11" i="38"/>
  <c r="R11" i="38"/>
  <c r="N11" i="38"/>
  <c r="M11" i="38"/>
  <c r="K11" i="38"/>
  <c r="AJ10" i="38"/>
  <c r="U10" i="38"/>
  <c r="T10" i="38"/>
  <c r="R10" i="38"/>
  <c r="N10" i="38"/>
  <c r="M10" i="38"/>
  <c r="K10" i="38"/>
  <c r="AJ9" i="38"/>
  <c r="AJ64" i="38"/>
  <c r="U9" i="38"/>
  <c r="T9" i="38"/>
  <c r="R9" i="38"/>
  <c r="N9" i="38"/>
  <c r="M9" i="38"/>
  <c r="K9" i="38"/>
  <c r="U13" i="37"/>
  <c r="T13" i="37"/>
  <c r="R13" i="37"/>
  <c r="N13" i="37"/>
  <c r="M13" i="37"/>
  <c r="K13" i="37"/>
  <c r="U12" i="37"/>
  <c r="T12" i="37"/>
  <c r="R12" i="37"/>
  <c r="N12" i="37"/>
  <c r="M12" i="37"/>
  <c r="K12" i="37"/>
  <c r="AI63" i="37"/>
  <c r="AH63" i="37"/>
  <c r="AG63" i="37"/>
  <c r="AJ27" i="37"/>
  <c r="AJ26" i="37"/>
  <c r="AJ24" i="37"/>
  <c r="AJ23" i="37"/>
  <c r="AJ22" i="37"/>
  <c r="K22" i="37"/>
  <c r="AJ21" i="37"/>
  <c r="AJ20" i="37"/>
  <c r="AJ19" i="37"/>
  <c r="AJ18" i="37"/>
  <c r="AJ17" i="37"/>
  <c r="AJ16" i="37"/>
  <c r="AJ15" i="37"/>
  <c r="AJ11" i="37"/>
  <c r="U11" i="37"/>
  <c r="T11" i="37"/>
  <c r="R11" i="37"/>
  <c r="N11" i="37"/>
  <c r="M11" i="37"/>
  <c r="K11" i="37"/>
  <c r="AJ10" i="37"/>
  <c r="U10" i="37"/>
  <c r="T10" i="37"/>
  <c r="R10" i="37"/>
  <c r="N10" i="37"/>
  <c r="M10" i="37"/>
  <c r="K10" i="37"/>
  <c r="AJ9" i="37"/>
  <c r="U9" i="37"/>
  <c r="T9" i="37"/>
  <c r="R9" i="37"/>
  <c r="N9" i="37"/>
  <c r="M9" i="37"/>
  <c r="K9" i="37"/>
  <c r="R16" i="36"/>
  <c r="T16" i="36"/>
  <c r="U16" i="36"/>
  <c r="U17" i="36"/>
  <c r="U19" i="36"/>
  <c r="T19" i="36"/>
  <c r="R19" i="36"/>
  <c r="N19" i="36"/>
  <c r="M19" i="36"/>
  <c r="K19" i="36"/>
  <c r="U12" i="36"/>
  <c r="T12" i="36"/>
  <c r="T17" i="36"/>
  <c r="R12" i="36"/>
  <c r="R17" i="36"/>
  <c r="N12" i="36"/>
  <c r="N17" i="36"/>
  <c r="M12" i="36"/>
  <c r="M17" i="36"/>
  <c r="K12" i="36"/>
  <c r="K17" i="36"/>
  <c r="AJ63" i="37"/>
  <c r="J18" i="37"/>
  <c r="AI69" i="36"/>
  <c r="AH69" i="36"/>
  <c r="AG69" i="36"/>
  <c r="AJ33" i="36"/>
  <c r="AJ32" i="36"/>
  <c r="AJ30" i="36"/>
  <c r="AJ29" i="36"/>
  <c r="AJ28" i="36"/>
  <c r="K28" i="36"/>
  <c r="AJ27" i="36"/>
  <c r="AJ26" i="36"/>
  <c r="AJ25" i="36"/>
  <c r="AJ24" i="36"/>
  <c r="AJ23" i="36"/>
  <c r="AJ22" i="36"/>
  <c r="AJ21" i="36"/>
  <c r="AJ11" i="36"/>
  <c r="T11" i="36"/>
  <c r="R11" i="36"/>
  <c r="N11" i="36"/>
  <c r="M11" i="36"/>
  <c r="K11" i="36"/>
  <c r="AJ10" i="36"/>
  <c r="U10" i="36"/>
  <c r="T10" i="36"/>
  <c r="R10" i="36"/>
  <c r="N10" i="36"/>
  <c r="M10" i="36"/>
  <c r="K10" i="36"/>
  <c r="AJ9" i="36"/>
  <c r="AJ69" i="36"/>
  <c r="U9" i="36"/>
  <c r="T9" i="36"/>
  <c r="R9" i="36"/>
  <c r="N9" i="36"/>
  <c r="M9" i="36"/>
  <c r="K9" i="36"/>
  <c r="T10" i="35"/>
  <c r="T11" i="35"/>
  <c r="T9" i="35"/>
  <c r="R10" i="35"/>
  <c r="R11" i="35"/>
  <c r="R9" i="35"/>
  <c r="M10" i="35"/>
  <c r="M11" i="35"/>
  <c r="M9" i="35"/>
  <c r="K10" i="35"/>
  <c r="K11" i="35"/>
  <c r="K9" i="35"/>
  <c r="T10" i="34"/>
  <c r="T11" i="34"/>
  <c r="T12" i="34"/>
  <c r="T13" i="34"/>
  <c r="T9" i="34"/>
  <c r="R10" i="34"/>
  <c r="R11" i="34"/>
  <c r="R12" i="34"/>
  <c r="R13" i="34"/>
  <c r="R9" i="34"/>
  <c r="M10" i="34"/>
  <c r="M11" i="34"/>
  <c r="M12" i="34"/>
  <c r="M13" i="34"/>
  <c r="M9" i="34"/>
  <c r="K10" i="34"/>
  <c r="K11" i="34"/>
  <c r="K12" i="34"/>
  <c r="K13" i="34"/>
  <c r="K9" i="34"/>
  <c r="K22" i="35"/>
  <c r="T10" i="32"/>
  <c r="T11" i="32"/>
  <c r="T12" i="32"/>
  <c r="T13" i="32"/>
  <c r="T9" i="32"/>
  <c r="J26" i="32"/>
  <c r="K26" i="32"/>
  <c r="J23" i="33"/>
  <c r="K23" i="33"/>
  <c r="R10" i="32"/>
  <c r="R11" i="32"/>
  <c r="R12" i="32"/>
  <c r="R13" i="32"/>
  <c r="R9" i="32"/>
  <c r="M10" i="32"/>
  <c r="M11" i="32"/>
  <c r="M12" i="32"/>
  <c r="M13" i="32"/>
  <c r="M9" i="32"/>
  <c r="K9" i="32"/>
  <c r="K10" i="32"/>
  <c r="K11" i="32"/>
  <c r="K12" i="32"/>
  <c r="K13" i="32"/>
  <c r="T10" i="33"/>
  <c r="T11" i="33"/>
  <c r="T12" i="33"/>
  <c r="T9" i="33"/>
  <c r="R10" i="33"/>
  <c r="R11" i="33"/>
  <c r="R12" i="33"/>
  <c r="R9" i="33"/>
  <c r="M9" i="33"/>
  <c r="M10" i="33"/>
  <c r="M11" i="33"/>
  <c r="M12" i="33"/>
  <c r="K9" i="33"/>
  <c r="K10" i="33"/>
  <c r="K11" i="33"/>
  <c r="K12" i="33"/>
  <c r="U12" i="32"/>
  <c r="U13" i="32"/>
  <c r="N12" i="32"/>
  <c r="N13" i="32"/>
  <c r="J25" i="36"/>
  <c r="J24" i="36"/>
  <c r="U12" i="33"/>
  <c r="N12" i="33"/>
  <c r="N12" i="34"/>
  <c r="N13" i="34"/>
  <c r="AI63" i="35"/>
  <c r="AH63" i="35"/>
  <c r="AG63" i="35"/>
  <c r="AJ27" i="35"/>
  <c r="AJ26" i="35"/>
  <c r="AJ24" i="35"/>
  <c r="AJ23" i="35"/>
  <c r="AJ22" i="35"/>
  <c r="AJ21" i="35"/>
  <c r="AJ20" i="35"/>
  <c r="AJ19" i="35"/>
  <c r="AJ18" i="35"/>
  <c r="AJ17" i="35"/>
  <c r="AJ16" i="35"/>
  <c r="AJ11" i="35"/>
  <c r="U11" i="35"/>
  <c r="N11" i="35"/>
  <c r="AJ10" i="35"/>
  <c r="U10" i="35"/>
  <c r="N10" i="35"/>
  <c r="AJ9" i="35"/>
  <c r="U9" i="35"/>
  <c r="N9" i="35"/>
  <c r="AJ63" i="35"/>
  <c r="AI64" i="34"/>
  <c r="AH64" i="34"/>
  <c r="AG64" i="34"/>
  <c r="AJ28" i="34"/>
  <c r="AJ27" i="34"/>
  <c r="AJ25" i="34"/>
  <c r="AJ24" i="34"/>
  <c r="AJ23" i="34"/>
  <c r="AJ22" i="34"/>
  <c r="AJ21" i="34"/>
  <c r="AJ20" i="34"/>
  <c r="AJ19" i="34"/>
  <c r="AJ18" i="34"/>
  <c r="AJ17" i="34"/>
  <c r="AJ64" i="34"/>
  <c r="AJ11" i="34"/>
  <c r="N11" i="34"/>
  <c r="AJ10" i="34"/>
  <c r="U10" i="34"/>
  <c r="J21" i="34"/>
  <c r="N10" i="34"/>
  <c r="AJ9" i="34"/>
  <c r="U9" i="34"/>
  <c r="J19" i="34"/>
  <c r="N9" i="34"/>
  <c r="AI64" i="33"/>
  <c r="AH64" i="33"/>
  <c r="AG64" i="33"/>
  <c r="AJ28" i="33"/>
  <c r="AJ27" i="33"/>
  <c r="AJ25" i="33"/>
  <c r="AJ24" i="33"/>
  <c r="AJ23" i="33"/>
  <c r="AJ22" i="33"/>
  <c r="AJ21" i="33"/>
  <c r="AJ20" i="33"/>
  <c r="AJ19" i="33"/>
  <c r="AJ18" i="33"/>
  <c r="AJ17" i="33"/>
  <c r="AJ11" i="33"/>
  <c r="AJ64" i="33"/>
  <c r="U11" i="33"/>
  <c r="N11" i="33"/>
  <c r="AJ10" i="33"/>
  <c r="U10" i="33"/>
  <c r="N10" i="33"/>
  <c r="AJ9" i="33"/>
  <c r="U9" i="33"/>
  <c r="J19" i="33"/>
  <c r="N9" i="33"/>
  <c r="AI67" i="32"/>
  <c r="AH67" i="32"/>
  <c r="AG67" i="32"/>
  <c r="AJ31" i="32"/>
  <c r="AJ30" i="32"/>
  <c r="AJ28" i="32"/>
  <c r="AJ27" i="32"/>
  <c r="AJ26" i="32"/>
  <c r="AJ25" i="32"/>
  <c r="AJ24" i="32"/>
  <c r="AJ23" i="32"/>
  <c r="AJ22" i="32"/>
  <c r="AJ21" i="32"/>
  <c r="AJ20" i="32"/>
  <c r="AJ19" i="32"/>
  <c r="AJ11" i="32"/>
  <c r="U11" i="32"/>
  <c r="N11" i="32"/>
  <c r="AJ10" i="32"/>
  <c r="U10" i="32"/>
  <c r="N10" i="32"/>
  <c r="AJ9" i="32"/>
  <c r="U9" i="32"/>
  <c r="N9" i="32"/>
  <c r="J24" i="32"/>
  <c r="J22" i="32"/>
  <c r="J23" i="32"/>
  <c r="AJ67" i="32"/>
  <c r="C29" i="23"/>
  <c r="C28" i="23"/>
  <c r="C27" i="23"/>
  <c r="J28" i="40"/>
  <c r="J31" i="40"/>
  <c r="K28" i="40"/>
  <c r="J19" i="37"/>
  <c r="J21" i="37"/>
  <c r="J20" i="34"/>
  <c r="J22" i="34"/>
  <c r="K19" i="34"/>
  <c r="C30" i="23"/>
  <c r="C32" i="23"/>
  <c r="J21" i="35"/>
  <c r="K20" i="35"/>
  <c r="J25" i="32"/>
  <c r="K23" i="32"/>
  <c r="J21" i="39"/>
  <c r="K19" i="39"/>
  <c r="K22" i="32"/>
  <c r="K24" i="32"/>
  <c r="J22" i="38"/>
  <c r="J27" i="36"/>
  <c r="K26" i="36"/>
  <c r="E31" i="23"/>
  <c r="J20" i="33"/>
  <c r="J22" i="33"/>
  <c r="E29" i="23"/>
  <c r="K20" i="39"/>
  <c r="K18" i="39"/>
  <c r="K21" i="39"/>
  <c r="K20" i="37"/>
  <c r="K18" i="37"/>
  <c r="K19" i="37"/>
  <c r="K20" i="34"/>
  <c r="K19" i="35"/>
  <c r="K18" i="35"/>
  <c r="K21" i="34"/>
  <c r="K24" i="36"/>
  <c r="K25" i="36"/>
  <c r="K25" i="32"/>
  <c r="K20" i="38"/>
  <c r="K19" i="38"/>
  <c r="K21" i="38"/>
  <c r="K21" i="33"/>
  <c r="K19" i="33"/>
  <c r="E28" i="23"/>
  <c r="K20" i="33"/>
  <c r="K29" i="40"/>
  <c r="K30" i="40"/>
  <c r="E30" i="23"/>
  <c r="E32" i="23"/>
  <c r="K21" i="37"/>
  <c r="K27" i="36"/>
  <c r="K22" i="34"/>
  <c r="K21" i="35"/>
  <c r="K31" i="40"/>
  <c r="K22" i="38"/>
  <c r="K22" i="33"/>
  <c r="D30" i="23" l="1"/>
  <c r="D32" i="23" s="1"/>
</calcChain>
</file>

<file path=xl/comments1.xml><?xml version="1.0" encoding="utf-8"?>
<comments xmlns="http://schemas.openxmlformats.org/spreadsheetml/2006/main">
  <authors>
    <author>ZFIP004</author>
  </authors>
  <commentList>
    <comment ref="D7" authorId="0" shapeId="0">
      <text>
        <r>
          <rPr>
            <b/>
            <sz val="9"/>
            <color indexed="81"/>
            <rFont val="Tahoma"/>
            <family val="2"/>
          </rPr>
          <t>ZFIP004:</t>
        </r>
        <r>
          <rPr>
            <sz val="9"/>
            <color indexed="81"/>
            <rFont val="Tahoma"/>
            <family val="2"/>
          </rPr>
          <t xml:space="preserve">
ANÁLISIS DEL PROCESO
CONTEXTO
PI
POLÍTICA
ALCANCE
CADENA DE SUMINISTRO
Y  TODAS LAS CONVINACIONES QUE SURJAN.</t>
        </r>
      </text>
    </comment>
  </commentList>
</comments>
</file>

<file path=xl/comments2.xml><?xml version="1.0" encoding="utf-8"?>
<comments xmlns="http://schemas.openxmlformats.org/spreadsheetml/2006/main">
  <authors>
    <author>ZFIP004</author>
  </authors>
  <commentList>
    <comment ref="D7" authorId="0" shapeId="0">
      <text>
        <r>
          <rPr>
            <b/>
            <sz val="9"/>
            <color indexed="81"/>
            <rFont val="Tahoma"/>
            <family val="2"/>
          </rPr>
          <t>ZFIP004:</t>
        </r>
        <r>
          <rPr>
            <sz val="9"/>
            <color indexed="81"/>
            <rFont val="Tahoma"/>
            <family val="2"/>
          </rPr>
          <t xml:space="preserve">
ANÁLISIS DEL PROCESO
CONTEXTO
PI
POLÍTICA
ALCANCE
CADENA DE SUMINISTRO
Y  TODAS LAS CONVINACIONES QUE SURJAN.</t>
        </r>
      </text>
    </comment>
  </commentList>
</comments>
</file>

<file path=xl/comments3.xml><?xml version="1.0" encoding="utf-8"?>
<comments xmlns="http://schemas.openxmlformats.org/spreadsheetml/2006/main">
  <authors>
    <author>ZFIP004</author>
  </authors>
  <commentList>
    <comment ref="D7" authorId="0" shapeId="0">
      <text>
        <r>
          <rPr>
            <b/>
            <sz val="9"/>
            <color indexed="81"/>
            <rFont val="Tahoma"/>
            <family val="2"/>
          </rPr>
          <t>ZFIP004:</t>
        </r>
        <r>
          <rPr>
            <sz val="9"/>
            <color indexed="81"/>
            <rFont val="Tahoma"/>
            <family val="2"/>
          </rPr>
          <t xml:space="preserve">
ANÁLISIS DEL PROCESO
CONTEXTO
PI
POLÍTICA
ALCANCE
CADENA DE SUMINISTRO
Y  TODAS LAS CONVINACIONES QUE SURJAN.</t>
        </r>
      </text>
    </comment>
  </commentList>
</comments>
</file>

<file path=xl/comments4.xml><?xml version="1.0" encoding="utf-8"?>
<comments xmlns="http://schemas.openxmlformats.org/spreadsheetml/2006/main">
  <authors>
    <author>ZFIP004</author>
  </authors>
  <commentList>
    <comment ref="D7" authorId="0" shapeId="0">
      <text>
        <r>
          <rPr>
            <b/>
            <sz val="9"/>
            <color indexed="81"/>
            <rFont val="Tahoma"/>
            <family val="2"/>
          </rPr>
          <t>ZFIP004:</t>
        </r>
        <r>
          <rPr>
            <sz val="9"/>
            <color indexed="81"/>
            <rFont val="Tahoma"/>
            <family val="2"/>
          </rPr>
          <t xml:space="preserve">
ANÁLISIS DEL PROCESO
CONTEXTO
PI
POLÍTICA
ALCANCE
CADENA DE SUMINISTRO
Y  TODAS LAS CONVINACIONES QUE SURJAN.</t>
        </r>
      </text>
    </comment>
  </commentList>
</comments>
</file>

<file path=xl/comments5.xml><?xml version="1.0" encoding="utf-8"?>
<comments xmlns="http://schemas.openxmlformats.org/spreadsheetml/2006/main">
  <authors>
    <author>ZFIP004</author>
  </authors>
  <commentList>
    <comment ref="D7" authorId="0" shapeId="0">
      <text>
        <r>
          <rPr>
            <b/>
            <sz val="9"/>
            <color indexed="81"/>
            <rFont val="Tahoma"/>
            <family val="2"/>
          </rPr>
          <t>ZFIP004:</t>
        </r>
        <r>
          <rPr>
            <sz val="9"/>
            <color indexed="81"/>
            <rFont val="Tahoma"/>
            <family val="2"/>
          </rPr>
          <t xml:space="preserve">
ANÁLISIS DEL PROCESO
CONTEXTO
PI
POLÍTICA
ALCANCE
CADENA DE SUMINISTRO
Y  TODAS LAS CONVINACIONES QUE SURJAN.</t>
        </r>
      </text>
    </comment>
    <comment ref="U9" authorId="0" shapeId="0">
      <text>
        <r>
          <rPr>
            <b/>
            <sz val="9"/>
            <color indexed="81"/>
            <rFont val="Tahoma"/>
            <family val="2"/>
          </rPr>
          <t>ZFIP004:</t>
        </r>
        <r>
          <rPr>
            <sz val="9"/>
            <color indexed="81"/>
            <rFont val="Tahoma"/>
            <family val="2"/>
          </rPr>
          <t xml:space="preserve">
 bajo de 30 a 20, bajo la probabilidad</t>
        </r>
      </text>
    </comment>
    <comment ref="U10" authorId="0" shapeId="0">
      <text>
        <r>
          <rPr>
            <b/>
            <sz val="9"/>
            <color indexed="81"/>
            <rFont val="Tahoma"/>
            <family val="2"/>
          </rPr>
          <t>ZFIP004:</t>
        </r>
        <r>
          <rPr>
            <sz val="9"/>
            <color indexed="81"/>
            <rFont val="Tahoma"/>
            <family val="2"/>
          </rPr>
          <t xml:space="preserve">
se mantiene</t>
        </r>
      </text>
    </comment>
    <comment ref="U11" authorId="0" shapeId="0">
      <text>
        <r>
          <rPr>
            <b/>
            <sz val="9"/>
            <color indexed="81"/>
            <rFont val="Tahoma"/>
            <family val="2"/>
          </rPr>
          <t>ZFIP004:</t>
        </r>
        <r>
          <rPr>
            <sz val="9"/>
            <color indexed="81"/>
            <rFont val="Tahoma"/>
            <family val="2"/>
          </rPr>
          <t xml:space="preserve">
continua igual</t>
        </r>
      </text>
    </comment>
    <comment ref="U12" authorId="0" shapeId="0">
      <text>
        <r>
          <rPr>
            <b/>
            <sz val="9"/>
            <color indexed="81"/>
            <rFont val="Tahoma"/>
            <family val="2"/>
          </rPr>
          <t>ZFIP004:</t>
        </r>
        <r>
          <rPr>
            <sz val="9"/>
            <color indexed="81"/>
            <rFont val="Tahoma"/>
            <family val="2"/>
          </rPr>
          <t xml:space="preserve">
sigue igual.</t>
        </r>
      </text>
    </comment>
  </commentList>
</comments>
</file>

<file path=xl/comments6.xml><?xml version="1.0" encoding="utf-8"?>
<comments xmlns="http://schemas.openxmlformats.org/spreadsheetml/2006/main">
  <authors>
    <author>ZFIP004</author>
  </authors>
  <commentList>
    <comment ref="D7" authorId="0" shapeId="0">
      <text>
        <r>
          <rPr>
            <b/>
            <sz val="9"/>
            <color indexed="81"/>
            <rFont val="Tahoma"/>
            <family val="2"/>
          </rPr>
          <t>ZFIP004:</t>
        </r>
        <r>
          <rPr>
            <sz val="9"/>
            <color indexed="81"/>
            <rFont val="Tahoma"/>
            <family val="2"/>
          </rPr>
          <t xml:space="preserve">
ANÁLISIS DEL PROCESO
CONTEXTO
PI
POLÍTICA
ALCANCE
CADENA DE SUMINISTRO
Y  TODAS LAS CONVINACIONES QUE SURJAN.</t>
        </r>
      </text>
    </comment>
  </commentList>
</comments>
</file>

<file path=xl/comments7.xml><?xml version="1.0" encoding="utf-8"?>
<comments xmlns="http://schemas.openxmlformats.org/spreadsheetml/2006/main">
  <authors>
    <author>ZFIP004</author>
  </authors>
  <commentList>
    <comment ref="D7" authorId="0" shapeId="0">
      <text>
        <r>
          <rPr>
            <b/>
            <sz val="9"/>
            <color indexed="81"/>
            <rFont val="Tahoma"/>
            <family val="2"/>
          </rPr>
          <t>ZFIP004:</t>
        </r>
        <r>
          <rPr>
            <sz val="9"/>
            <color indexed="81"/>
            <rFont val="Tahoma"/>
            <family val="2"/>
          </rPr>
          <t xml:space="preserve">
ANÁLISIS DEL PROCESO
CONTEXTO
PI
POLÍTICA
ALCANCE
CADENA DE SUMINISTRO
Y  TODAS LAS CONVINACIONES QUE SURJAN.</t>
        </r>
      </text>
    </comment>
    <comment ref="N9" authorId="0" shapeId="0">
      <text>
        <r>
          <rPr>
            <b/>
            <sz val="9"/>
            <color indexed="81"/>
            <rFont val="Tahoma"/>
            <family val="2"/>
          </rPr>
          <t>ZFIP004:</t>
        </r>
        <r>
          <rPr>
            <sz val="9"/>
            <color indexed="81"/>
            <rFont val="Tahoma"/>
            <family val="2"/>
          </rPr>
          <t xml:space="preserve">
baja la consecuencia a 10</t>
        </r>
      </text>
    </comment>
    <comment ref="U9" authorId="0" shapeId="0">
      <text>
        <r>
          <rPr>
            <b/>
            <sz val="9"/>
            <color indexed="81"/>
            <rFont val="Tahoma"/>
            <family val="2"/>
          </rPr>
          <t>ZFIP004:</t>
        </r>
        <r>
          <rPr>
            <sz val="9"/>
            <color indexed="81"/>
            <rFont val="Tahoma"/>
            <family val="2"/>
          </rPr>
          <t xml:space="preserve">
bajo nivel de riesgo a 10 porque baja la consecuencia.</t>
        </r>
      </text>
    </comment>
    <comment ref="U12" authorId="0" shapeId="0">
      <text>
        <r>
          <rPr>
            <b/>
            <sz val="9"/>
            <color indexed="81"/>
            <rFont val="Tahoma"/>
            <family val="2"/>
          </rPr>
          <t>ZFIP004:</t>
        </r>
        <r>
          <rPr>
            <sz val="9"/>
            <color indexed="81"/>
            <rFont val="Tahoma"/>
            <family val="2"/>
          </rPr>
          <t xml:space="preserve">
bajo el impacto de 20 a 10, por ende el nivel de riesgo bajo de 40 a 20.</t>
        </r>
      </text>
    </comment>
  </commentList>
</comments>
</file>

<file path=xl/comments8.xml><?xml version="1.0" encoding="utf-8"?>
<comments xmlns="http://schemas.openxmlformats.org/spreadsheetml/2006/main">
  <authors>
    <author>ZFIP004</author>
  </authors>
  <commentList>
    <comment ref="D7" authorId="0" shapeId="0">
      <text>
        <r>
          <rPr>
            <b/>
            <sz val="9"/>
            <color indexed="81"/>
            <rFont val="Tahoma"/>
            <family val="2"/>
          </rPr>
          <t>ZFIP004:</t>
        </r>
        <r>
          <rPr>
            <sz val="9"/>
            <color indexed="81"/>
            <rFont val="Tahoma"/>
            <family val="2"/>
          </rPr>
          <t xml:space="preserve">
ANÁLISIS DEL PROCESO
CONTEXTO
PI
POLÍTICA
ALCANCE
CADENA DE SUMINISTRO
Y  TODAS LAS CONVINACIONES QUE SURJAN.</t>
        </r>
      </text>
    </comment>
  </commentList>
</comments>
</file>

<file path=xl/comments9.xml><?xml version="1.0" encoding="utf-8"?>
<comments xmlns="http://schemas.openxmlformats.org/spreadsheetml/2006/main">
  <authors>
    <author>ZFIP004</author>
  </authors>
  <commentList>
    <comment ref="D7" authorId="0" shapeId="0">
      <text>
        <r>
          <rPr>
            <b/>
            <sz val="9"/>
            <color indexed="81"/>
            <rFont val="Tahoma"/>
            <family val="2"/>
          </rPr>
          <t>ZFIP004:</t>
        </r>
        <r>
          <rPr>
            <sz val="9"/>
            <color indexed="81"/>
            <rFont val="Tahoma"/>
            <family val="2"/>
          </rPr>
          <t xml:space="preserve">
ANÁLISIS DEL PROCESO
CONTEXTO
PI
POLÍTICA
ALCANCE
CADENA DE SUMINISTRO
Y  TODAS LAS CONVINACIONES QUE SURJAN.</t>
        </r>
      </text>
    </comment>
    <comment ref="U11" authorId="0" shapeId="0">
      <text>
        <r>
          <rPr>
            <b/>
            <sz val="9"/>
            <color indexed="81"/>
            <rFont val="Tahoma"/>
            <family val="2"/>
          </rPr>
          <t>ZFIP004:</t>
        </r>
        <r>
          <rPr>
            <sz val="9"/>
            <color indexed="81"/>
            <rFont val="Tahoma"/>
            <family val="2"/>
          </rPr>
          <t xml:space="preserve">
aumento de 20 a 40</t>
        </r>
      </text>
    </comment>
    <comment ref="U12" authorId="0" shapeId="0">
      <text>
        <r>
          <rPr>
            <b/>
            <sz val="9"/>
            <color indexed="81"/>
            <rFont val="Tahoma"/>
            <family val="2"/>
          </rPr>
          <t>ZFIP004:</t>
        </r>
        <r>
          <rPr>
            <sz val="9"/>
            <color indexed="81"/>
            <rFont val="Tahoma"/>
            <family val="2"/>
          </rPr>
          <t xml:space="preserve">
bajo de 20 a 10 porque bajo el nivel de probabilidad </t>
        </r>
      </text>
    </comment>
  </commentList>
</comments>
</file>

<file path=xl/sharedStrings.xml><?xml version="1.0" encoding="utf-8"?>
<sst xmlns="http://schemas.openxmlformats.org/spreadsheetml/2006/main" count="2215" uniqueCount="1032">
  <si>
    <t>IDENTIFICACIÓN</t>
  </si>
  <si>
    <t>Escala de Consecuencias</t>
  </si>
  <si>
    <t>CONSECUENCIA</t>
  </si>
  <si>
    <t>MEDIO</t>
    <phoneticPr fontId="4" type="noConversion"/>
  </si>
  <si>
    <t>Alto</t>
    <phoneticPr fontId="4" type="noConversion"/>
  </si>
  <si>
    <t>Medio</t>
    <phoneticPr fontId="4" type="noConversion"/>
  </si>
  <si>
    <t>Bajo</t>
    <phoneticPr fontId="4" type="noConversion"/>
  </si>
  <si>
    <t>¿Qué puede suceder en mi proceso?</t>
  </si>
  <si>
    <t>PROCESO</t>
  </si>
  <si>
    <t>Descripción</t>
  </si>
  <si>
    <t>Causas</t>
  </si>
  <si>
    <t>Escala de Probabilidad</t>
  </si>
  <si>
    <t>PROBABILIDAD</t>
  </si>
  <si>
    <t>Quién lo ocasiona (persona)?</t>
  </si>
  <si>
    <t>CRITERIOS DE VALORACIÓN</t>
  </si>
  <si>
    <t>Posibilidad de ocurrencia de un riesgo, que el riesgo se materialice.</t>
  </si>
  <si>
    <t>Alta</t>
  </si>
  <si>
    <t>Baja</t>
  </si>
  <si>
    <t>Daño que se deriva de la consecuencia de un riesgo. Es el impacto en términos: Económico - Operacionales - Imagen.</t>
  </si>
  <si>
    <t>EVALUACIÓN DEL RIESGO</t>
  </si>
  <si>
    <t>Igual a 5</t>
  </si>
  <si>
    <t>De 10 a 20</t>
  </si>
  <si>
    <t>De 30 a 60</t>
  </si>
  <si>
    <t>BAJO</t>
    <phoneticPr fontId="4" type="noConversion"/>
  </si>
  <si>
    <t>ALTO</t>
    <phoneticPr fontId="4" type="noConversion"/>
  </si>
  <si>
    <t>Fecha de revisión</t>
  </si>
  <si>
    <t>Alto</t>
    <phoneticPr fontId="1" type="noConversion"/>
  </si>
  <si>
    <t>Medio</t>
    <phoneticPr fontId="1" type="noConversion"/>
  </si>
  <si>
    <t>Bajo</t>
    <phoneticPr fontId="1" type="noConversion"/>
  </si>
  <si>
    <t xml:space="preserve">Valor </t>
    <phoneticPr fontId="1" type="noConversion"/>
  </si>
  <si>
    <t xml:space="preserve">Bajo </t>
    <phoneticPr fontId="1" type="noConversion"/>
  </si>
  <si>
    <t xml:space="preserve">Medio </t>
    <phoneticPr fontId="1" type="noConversion"/>
  </si>
  <si>
    <t xml:space="preserve">Alto </t>
    <phoneticPr fontId="1" type="noConversion"/>
  </si>
  <si>
    <t xml:space="preserve">Probabilidad </t>
    <phoneticPr fontId="1" type="noConversion"/>
  </si>
  <si>
    <t>Medio</t>
  </si>
  <si>
    <t>PÁGINA</t>
  </si>
  <si>
    <t xml:space="preserve">FO-CL-14 </t>
  </si>
  <si>
    <t>CÓDIGO</t>
  </si>
  <si>
    <t>VERSIÓN</t>
  </si>
  <si>
    <t xml:space="preserve">BAJOS </t>
  </si>
  <si>
    <t xml:space="preserve">MEDIOS </t>
  </si>
  <si>
    <t>ALTOS</t>
  </si>
  <si>
    <t xml:space="preserve">TOTAL </t>
  </si>
  <si>
    <t xml:space="preserve">Ponderación </t>
  </si>
  <si>
    <t xml:space="preserve">RIESGOS BAJOS </t>
  </si>
  <si>
    <t xml:space="preserve">RIESGOS MEDIOS </t>
  </si>
  <si>
    <t xml:space="preserve">RIESGOS ALTOS </t>
  </si>
  <si>
    <t>De 31 a 60</t>
  </si>
  <si>
    <t>De 6 a 30</t>
  </si>
  <si>
    <t xml:space="preserve">Total </t>
  </si>
  <si>
    <t>1 de 1</t>
  </si>
  <si>
    <t xml:space="preserve">PLAN DE MEJORA </t>
  </si>
  <si>
    <t xml:space="preserve">ACTIVIDADES </t>
  </si>
  <si>
    <t xml:space="preserve">FECHA </t>
  </si>
  <si>
    <t xml:space="preserve">RESPONSABLE </t>
  </si>
  <si>
    <t>RECURSOS</t>
  </si>
  <si>
    <t xml:space="preserve">TRATAMIENTO </t>
  </si>
  <si>
    <t xml:space="preserve"> Impacto</t>
    <phoneticPr fontId="4" type="noConversion"/>
  </si>
  <si>
    <t>CLASIFICACIÓN: RIESGO (R) U OPORTUNIDAD (O)</t>
  </si>
  <si>
    <t>RIESGO / OPORTUNIDAD</t>
  </si>
  <si>
    <t>VALORACIÓN DEL RIESGO INHERENTE</t>
  </si>
  <si>
    <t>VALORACIÓN DEL RIESGO RESIDUAL</t>
  </si>
  <si>
    <t>Cómo sucede el riesgo u oportunidad?</t>
  </si>
  <si>
    <t>Por qué se ocasiona el riesgo u oportunidad?</t>
  </si>
  <si>
    <t>Consecuencia que ocasiona el riesgo en caso de materializarse u la oportunidad en caso de aprovecharse</t>
  </si>
  <si>
    <t>Aplicación y frecuencia del control// probabilidad del riesgo</t>
  </si>
  <si>
    <t>consecuencia del riesgo</t>
  </si>
  <si>
    <t>ESCALA DE EVALUACIÓN</t>
  </si>
  <si>
    <t>TIPO DE RIESGO/AÑO</t>
  </si>
  <si>
    <t>RIESGO</t>
  </si>
  <si>
    <t>CONTEXTO INTERNO</t>
  </si>
  <si>
    <t>Gerencia</t>
  </si>
  <si>
    <t>OPORTUNIDAD</t>
  </si>
  <si>
    <t xml:space="preserve">GOBIERNO </t>
  </si>
  <si>
    <t>CONTEXTO EXTERNO</t>
  </si>
  <si>
    <t>ANÁLISIS DE PROCESO</t>
  </si>
  <si>
    <t>TRABAJADORES</t>
  </si>
  <si>
    <t>BASC</t>
  </si>
  <si>
    <t>BUREAU VERITAS</t>
  </si>
  <si>
    <t xml:space="preserve">DIAN Y MINISTERIO DE COMERCIO INDUSTRIA Y TURISMO </t>
  </si>
  <si>
    <t xml:space="preserve">CONTRATISTAS Y/O PROVEEDORES </t>
  </si>
  <si>
    <t>ACCIONISTAS</t>
  </si>
  <si>
    <t>COMUNIDAD</t>
  </si>
  <si>
    <t>N/A</t>
  </si>
  <si>
    <t>SI</t>
  </si>
  <si>
    <t>NO</t>
  </si>
  <si>
    <t>ANÁLISIS DE LAS PI</t>
  </si>
  <si>
    <t>COMPROMISOS DE LA POLÍTICA</t>
  </si>
  <si>
    <t>ANÁLISIS DEL ALCANCE</t>
  </si>
  <si>
    <t>FUENTE DE IDENTIFICACIÓN</t>
  </si>
  <si>
    <t>CONTROL ACTUAL</t>
  </si>
  <si>
    <t>EFICACIA DEL CONTROL
(OBSERVACIONES)</t>
  </si>
  <si>
    <t>FORTALEZA</t>
  </si>
  <si>
    <t>NIVEL DE RIESGO INHERENTE</t>
  </si>
  <si>
    <t>POLÍTICA DE TRATAMIENTO</t>
  </si>
  <si>
    <t>ASUMIR</t>
  </si>
  <si>
    <t>EVITAR</t>
  </si>
  <si>
    <t>TRANSFERIR</t>
  </si>
  <si>
    <t>ELIMINAR</t>
  </si>
  <si>
    <t>EFICACIA 
(observaciones)</t>
  </si>
  <si>
    <t>NIVEL DE RIESGO RESIDUAL</t>
  </si>
  <si>
    <r>
      <t xml:space="preserve">CONTROLES ACTUALES
</t>
    </r>
    <r>
      <rPr>
        <b/>
        <i/>
        <sz val="18"/>
        <rFont val="Arial"/>
        <family val="2"/>
      </rPr>
      <t>(Este campo no aplica para las Oportunidades)</t>
    </r>
  </si>
  <si>
    <t>Fuente del riesgo (Amenaza u oportunidad)</t>
  </si>
  <si>
    <t>RIESGO INHERENTE Y RESIDUAL</t>
  </si>
  <si>
    <t>ALTO</t>
    <phoneticPr fontId="7" type="noConversion"/>
  </si>
  <si>
    <t>MEDIO</t>
    <phoneticPr fontId="7" type="noConversion"/>
  </si>
  <si>
    <t>BAJO</t>
    <phoneticPr fontId="7" type="noConversion"/>
  </si>
  <si>
    <t>FECHA DE ACTUALIZACIÓN</t>
  </si>
  <si>
    <t xml:space="preserve">FECHA DE IMPLEMENTACIÓN </t>
  </si>
  <si>
    <t>MATRIZ DE GESTIÓN DE RIESGOS Y OPORTUNIDADES.</t>
  </si>
  <si>
    <t>* No tener definida la planeación estratégica</t>
  </si>
  <si>
    <t>No realizando la debida planeación estratégica con las personas que deben de estar involucradas</t>
  </si>
  <si>
    <t xml:space="preserve">Alta Dirección - Junta Directiva Gerencia </t>
  </si>
  <si>
    <t xml:space="preserve">No priorización de este mecanismo para el desarrollo de la organización. </t>
  </si>
  <si>
    <t>Tomar decisiones estratégicas sin un norte definido y estructurado de acuerdo a unos objetivos específicos</t>
  </si>
  <si>
    <t>Confiabilidad en una Planeación por la alta Gerencia. Comités de Gerencia, junta directiva, Asamblea  de Accionistas</t>
  </si>
  <si>
    <t>X</t>
  </si>
  <si>
    <t xml:space="preserve">Llevar a cabo el cronograma establecido para las diferentes reuniones </t>
  </si>
  <si>
    <t xml:space="preserve">Gerente </t>
  </si>
  <si>
    <t xml:space="preserve">No aplica </t>
  </si>
  <si>
    <t>*Toma de decisiones equivocadas</t>
  </si>
  <si>
    <t>Decisiones no acordes a la estrategia, decisiones tomadas en momentos de presión</t>
  </si>
  <si>
    <t>Alta Dirección (Gerencia, Junta Directiva, Accionistas), lideres de proceso.</t>
  </si>
  <si>
    <t>Mala planeación y falta de conocimiento</t>
  </si>
  <si>
    <t>Impactos económicos(sobrecostos operativos y/o generales), multas y sanciones, demandas, perdida de clientes, perdida de credibilidad y confianza.</t>
  </si>
  <si>
    <t xml:space="preserve">Gerente 
Lideres de proceso </t>
  </si>
  <si>
    <t>*Incumplimiento a Requisitos Legales</t>
  </si>
  <si>
    <t xml:space="preserve">Incumplimiento a las fechas y/o requisitos establecidas dentro del marco de la ley. </t>
  </si>
  <si>
    <t>Todas los procesos  involucrados con los diferentes requisitos</t>
  </si>
  <si>
    <t>Falta de Capacitación, falta de seguimiento por el U.O y/o Externos, por omisión.</t>
  </si>
  <si>
    <t>Impactos económicos(sobrecostos operativos y/o generales), multas y sanciones, demandas, perdida de clientes, perdida de credibilidad y confianza, perdida de la declaratoria de Régimen Franco.</t>
  </si>
  <si>
    <t>Abril</t>
  </si>
  <si>
    <t xml:space="preserve">* Procesos sin indicadores de gestión y sin medición. </t>
  </si>
  <si>
    <t>No construcción y medición de los procesos</t>
  </si>
  <si>
    <t>Todos los procesos involucrados con los diferentes requisitos</t>
  </si>
  <si>
    <t>Poca cultura Organizacional, falta de capacitación, falta de conocimiento.</t>
  </si>
  <si>
    <t xml:space="preserve">Incumplimiento en el desarrollo de las actividades, procesos sin objetivos claros y medibles </t>
  </si>
  <si>
    <t xml:space="preserve">Control, análisis y reporte de acuerdo a los indicadores. 
Ejecución de indicadores. </t>
  </si>
  <si>
    <t>Mensual</t>
  </si>
  <si>
    <t xml:space="preserve">RIESGOS RESIDUALES BAJOS </t>
  </si>
  <si>
    <t xml:space="preserve">RIESGOS RESIDUALES MEDIOS </t>
  </si>
  <si>
    <t xml:space="preserve">RIESGOS RESIDUALES ALTOS </t>
  </si>
  <si>
    <t>TOTAL DE RIESGOS RESIDUALES</t>
  </si>
  <si>
    <t>Gestión Comercial y de Servicio al Cliente</t>
  </si>
  <si>
    <t xml:space="preserve">* Cambio en la normatividad del régimen franco que resten competitividad y herramientas de atracción a la inversión. </t>
  </si>
  <si>
    <t>*Cambio por parte del Gobierno Nacional de las condiciones actuales del régimen y de los decretos y normas ligados al mismo.</t>
  </si>
  <si>
    <t>Entidades gubernamentales.</t>
  </si>
  <si>
    <t xml:space="preserve">Decisiones del gobierno para cambiar la dinámica en la cual operan las empresas. </t>
  </si>
  <si>
    <t xml:space="preserve">Según programación  </t>
  </si>
  <si>
    <t xml:space="preserve">* Gerencia 
* Coordinación Comercial y Servicio al Cliente </t>
  </si>
  <si>
    <t xml:space="preserve">Agremiaciones (ANDI, ANALDEX, ADICOMEX) Procolombia, </t>
  </si>
  <si>
    <t>* Ambiente macroeconómico poco favorable.</t>
  </si>
  <si>
    <t xml:space="preserve">* Cambios en las condiciones macroeconómicas del mercado colombiano         </t>
  </si>
  <si>
    <t xml:space="preserve">* Desaceleración económica por factores y/o decisiones de la economía interna y global, además de las decisiones del Gobierno Nacional causando pérdida de competitividad.            </t>
  </si>
  <si>
    <t xml:space="preserve">
* Condiciones no favorables para la reinversión nacional.
* Condiciones no favorables para la expansión de empresas nacionales.
* Condiciones no favorables para la atracción  y retención de inversión extranjera.</t>
  </si>
  <si>
    <t>*Al ser un gremio tan competido por la existencia de tantos parques, la diferenciación de uno con una propuesta de mayor interés a la nuestra puede representar perdida de cliente</t>
  </si>
  <si>
    <t xml:space="preserve">* Incursión de competidores con estrategias diferenciadoras.               </t>
  </si>
  <si>
    <t>Otras Zonas Francas Permanentes</t>
  </si>
  <si>
    <t>*Por parte de terceros ofrecer dinero u objetos a los funcionarios de la empresa para obtener información confidencial y privilegiada.</t>
  </si>
  <si>
    <t>Terceros.</t>
  </si>
  <si>
    <t xml:space="preserve"> *La competencia desleal de terceros
* Querer sobrepasar las normas internas y externas de la empresa.
* Obtener información confidencial.</t>
  </si>
  <si>
    <t>* Perdidas económicas y de información y rotación de personal</t>
  </si>
  <si>
    <t>* Cada contrato es acompañado por acuerdos de confidencialidad, adicionalmente se establece dentro del reglamento de trabajo, las sanciones de carácter disciplinario para a el caso de violación de dicho acuerdo.</t>
  </si>
  <si>
    <t>* Capacitación sobre practica de prevención de corrupción y soborno.
* Capacitación SIPLA</t>
  </si>
  <si>
    <t>* Coordinación Sistema Integrado de Gestión</t>
  </si>
  <si>
    <t>*Afectación de la imagen de la ZFIP.</t>
  </si>
  <si>
    <t>*Uso inadecuado del manual de identidad visual corporativa. *Terrorismo, narcotráfico o lavado de activos. 
* Inundación del parque 
* Manejo inadecuado de residuos.</t>
  </si>
  <si>
    <t xml:space="preserve">Personal externo no identificado.
Personal interno.
Condiciones ambientales </t>
  </si>
  <si>
    <t>Gestión de Operaciones</t>
  </si>
  <si>
    <t xml:space="preserve">*Por falta de conocimiento y control del personal de operaciones y/o quien tenga las responsabilidad del cumplimiento. 
</t>
  </si>
  <si>
    <t>*Personal interno de la organización. 
* Usuario Calificado</t>
  </si>
  <si>
    <t xml:space="preserve">* Mala imagen de la empresa.
* Sanciones legales cuantificadas en UVT.                                              * Pérdida de la declaratoria. </t>
  </si>
  <si>
    <t xml:space="preserve">* Falta de conocimiento y entrenamiento del personal.                                      
     </t>
  </si>
  <si>
    <t>* Revisión de normas y estándares por parte de los responsables.
* Capacitación en actualización normativa.</t>
  </si>
  <si>
    <t xml:space="preserve">Director de Operaciones  </t>
  </si>
  <si>
    <t xml:space="preserve">No Aplica </t>
  </si>
  <si>
    <t xml:space="preserve">* Presentación de documentación falsa o información errónea.                                           *Desconocimiento de requisitos para aprobación de cartilla por parte del comité de revisión de cartilla y/o  usuarios a calificar.                                    </t>
  </si>
  <si>
    <t xml:space="preserve">Personal externo no identificado, usuarios a calificar y usuario operador. </t>
  </si>
  <si>
    <t xml:space="preserve">*Falta de conocimiento de antecedentes del cliente   
* Ausencia de controles de los requisitos necesarios para calificación                                    </t>
  </si>
  <si>
    <t>*Sanciones Legales. 
*  Pérdida de la declaratoria de la ZF.</t>
  </si>
  <si>
    <t xml:space="preserve">* Calificar a un usuario que no cumpla con lo establecido. </t>
  </si>
  <si>
    <t>*Verificación documental y cruce de información con entidades de apoyo. 
* Formato establecido en el sistema de gestión que incluye los requisitos para calificación de usuarios</t>
  </si>
  <si>
    <t xml:space="preserve">* Actualización de datos socios, accionistas y Representantes Legales de las compañías.
* Uso del formato FO-OP-01-PR-01 Lista de Chequeo Calificación de Usuarios.  </t>
  </si>
  <si>
    <t xml:space="preserve">* Antes de calificarse y Anualmente (Agosto)
* Previo a la calificación del usuario </t>
  </si>
  <si>
    <t xml:space="preserve">* Directora Jurídica y PH 
* Directores de proceso </t>
  </si>
  <si>
    <t xml:space="preserve">*Inexactitud en las operaciones de comercio exterior. </t>
  </si>
  <si>
    <t>*Desconocimiento de procedimientos por parte de los usuarios calificados. 
* Fallas en medios de comunicación (internet, sistema de control de inventarios, sistemas informáticos aduaneros, inventarios de zonas francas y Appolo).
* Aprobación indebida de FMM.</t>
  </si>
  <si>
    <t xml:space="preserve">*Usuarios Calificados
* Personal de Operaciones </t>
  </si>
  <si>
    <t xml:space="preserve">* Complicidad de alguno de los actores de la cadena de comercio exterior  
*Errores en digitación y conteo de mercancía.
*Errores en la aprobación de FMM. </t>
  </si>
  <si>
    <t xml:space="preserve">*Sanciones Legales, tanto para usuario calificado como para el usuario operador. </t>
  </si>
  <si>
    <t xml:space="preserve">* Auditoria externa en donde se revise la implementación del SIPLA de los Usuarios Calificados.
* Inspección soportada en acta con firma del analista encargado y Usuario Calificado aprobando el conteo.
* Revisión aleatoria  mensual de los formularios (FMM) aprobados
</t>
  </si>
  <si>
    <t>* Anual.
* A la llegada de Mercancía del Resto del Mundo.
* Mensual</t>
  </si>
  <si>
    <t xml:space="preserve">
* Auditoria Externa
* Director de Operaciones.
* Analista de Operaciones.
* Analista II de Operaciones
 </t>
  </si>
  <si>
    <t>* Operaciones sospechosas</t>
  </si>
  <si>
    <t>* Operaciones que realizan los Usuarios Calificados de la ZFIP</t>
  </si>
  <si>
    <t xml:space="preserve">*Usuarios calificados y sus clientes </t>
  </si>
  <si>
    <t>Por falta de conocimiento de los clientes - falta de investigación</t>
  </si>
  <si>
    <t>Sanciones de las entidades de control - Mala reputación de la compañía</t>
  </si>
  <si>
    <t>*Reporte mensual de operaciones sospechosas
* SIPLA</t>
  </si>
  <si>
    <t>* Cada mes se realiza el reporte a la UIAF, por parte del oficial de cumplimiento, de actividades sospechosas, dando a su vez cumplimiento al manual SIPLA.</t>
  </si>
  <si>
    <t>* Producto  contaminado.</t>
  </si>
  <si>
    <t>*Contaminación  de mercancías  en las operaciones de comercio exterior</t>
  </si>
  <si>
    <t>*Usuarios Calificados y/o Terceros.</t>
  </si>
  <si>
    <t>*Por falta de competencia                                                                          y omisión a los controles para los procedimientos de seguridad establecidos.</t>
  </si>
  <si>
    <t xml:space="preserve">* Mala imagen de la empresa.
* Sanciones legales. </t>
  </si>
  <si>
    <t>*Verificación de precintos.             
*Acceso restringido al centro de operaciones.  
*Reporte de actividades sospechosas. 
*Capacitación del personal
* Circuito Cerrado de Televisión (CCTV)
* Patrullaje motorizado y a pie en el perímetro del parque.
* Control de vehículos en ingreso y salida.</t>
  </si>
  <si>
    <t>* Consecución de mano de obra a bajos costos.</t>
  </si>
  <si>
    <t>Resultado. Gestión del Riesgo y Oportunidades</t>
  </si>
  <si>
    <t>TOTAL OPORTUNIDADES</t>
  </si>
  <si>
    <t>Resultado. Gestión del Riesgos y Oportunidades</t>
  </si>
  <si>
    <t>Gestión Administrativa</t>
  </si>
  <si>
    <t>* Colaboradores de la compañía</t>
  </si>
  <si>
    <t xml:space="preserve">*Filtración de información, espionaje corporativo, hurto interno, chantaje y extorción a funcionarios.                                    *Sabotaje a operaciones aduaneras. 
* Contaminación  de mercancía  con sustancias ilícitas, explosivos, armas y/o contrabando. 
</t>
  </si>
  <si>
    <t>* Desarrollar de forma inadecuada  los procesos para la selección, visitas domiciliarias y requisitos de la contratación.
* No se realiza seguimiento y control a la dotación del personal retirado de la empresa.
* No se realiza seguimiento y control a la validación de los documentos de cada colaborador.
* No realizar una adecuada custodia de la documentación sensible.</t>
  </si>
  <si>
    <t xml:space="preserve">* Selección no apropiada. </t>
  </si>
  <si>
    <t>* Dirección Gestión Administrativa</t>
  </si>
  <si>
    <t>No Aplica</t>
  </si>
  <si>
    <t xml:space="preserve">Por ausencia de control en los peligros identificados </t>
  </si>
  <si>
    <t xml:space="preserve">Colaboradores, Contratistas e instalaciones locativas 
 </t>
  </si>
  <si>
    <t xml:space="preserve">Actos y condiciones inseguras </t>
  </si>
  <si>
    <t>* Accidente laboral grave o mortal, ausentismo masivo de colaboradores por enfermedad o calamidad</t>
  </si>
  <si>
    <t>* Conspiración interna.</t>
  </si>
  <si>
    <t xml:space="preserve">* Dirección Gestión Administrativa
* Auxiliar SST 
* Colaboradores </t>
  </si>
  <si>
    <t xml:space="preserve">* Problemas de adicción en los colaboradores </t>
  </si>
  <si>
    <t xml:space="preserve">*Colaboradores. </t>
  </si>
  <si>
    <t xml:space="preserve">*Factores intra y extra laborales. </t>
  </si>
  <si>
    <t xml:space="preserve">*Improductividad en los procesos. 
* Accidentes de trabajado *Consumo en las instalaciones. 
*Posible contaminación de la carga. 
*Otorgar beneficios a los clientes en contra de las políticas de la compañía para obtener beneficio propio.
* Ausentismo laboral </t>
  </si>
  <si>
    <t xml:space="preserve">*Omisión de responsabilidades por parte de los procesos. </t>
  </si>
  <si>
    <t xml:space="preserve">*Diferentes procesos. </t>
  </si>
  <si>
    <t xml:space="preserve">*No cumplimiento de los Manuales, Políticas y Procedimientos en los procesos. </t>
  </si>
  <si>
    <t xml:space="preserve">*Auditorias Internas por lo menos una vez al año.
*Capacitación y certificación de Auditores internos en la norma. </t>
  </si>
  <si>
    <t xml:space="preserve">Según programación </t>
  </si>
  <si>
    <t xml:space="preserve">* Auditores internos
* Coordinación del sistema integrado de gestión </t>
  </si>
  <si>
    <t>Normas BASC, ISO 9001:2015, ISO 28000</t>
  </si>
  <si>
    <t xml:space="preserve">* Seguimiento al cumplimiento de los procedimientos, política y manuales del sistema de gestión </t>
  </si>
  <si>
    <t xml:space="preserve">* Procesos sin acciones de mejora. 
</t>
  </si>
  <si>
    <t xml:space="preserve">*No se evidencia una mejora continua en los procesos. </t>
  </si>
  <si>
    <t xml:space="preserve">*Procesos. </t>
  </si>
  <si>
    <t xml:space="preserve">*Perdida de dinamismo e incentivación de hacer las cosas mejor. </t>
  </si>
  <si>
    <t xml:space="preserve">*Perdida de talento humano.  
*Perdida de competitividad al interior de la empresa. </t>
  </si>
  <si>
    <t>*Comité de Gerencia el cual aporta a la mejora continua de la organización.
* Indicador de acciones preventivas y acciones de mejora de todos los procesos.</t>
  </si>
  <si>
    <t xml:space="preserve">Seguimiento a las acciones planteadas por cada proceso según indicador </t>
  </si>
  <si>
    <t xml:space="preserve">Coordinación del Sistema Integrado de Gestión </t>
  </si>
  <si>
    <t>No aplica</t>
  </si>
  <si>
    <t>* Pérdida de información clave por sustracción, eliminación o deterioro (procedimientos, manuales, anexos, entre otros)</t>
  </si>
  <si>
    <t xml:space="preserve">* Robo de información importante de la empresa.
* Eliminación de un documento del sistema.  
* Falla en el sistema SADOC </t>
  </si>
  <si>
    <t>*Personal interno o externo de la organización.
*Configuración del sistema de gestión documental SADOC</t>
  </si>
  <si>
    <t xml:space="preserve">* Ausencia de medidas de seguridad (robo, perdida o eliminación involuntaria de información) o daño en el servidor.
</t>
  </si>
  <si>
    <t>* Perdida completa de la información.</t>
  </si>
  <si>
    <t xml:space="preserve">*Copias de seguridad de la información (Back Up).        
* Contraseñas de acceso y/o no tener al publico estas especificaciones.
* Servidores de repuesto. </t>
  </si>
  <si>
    <t>Analista Tecnología e Informática</t>
  </si>
  <si>
    <t xml:space="preserve">*No Respuesta a eventos críticos. </t>
  </si>
  <si>
    <t xml:space="preserve">*La organización no se encuentra preparada para la respuesta ante eventos críticos. </t>
  </si>
  <si>
    <t xml:space="preserve">* Todos los procesos 
* Jefe de Seguridad </t>
  </si>
  <si>
    <t xml:space="preserve">*Falta de identificación y planeación para atender una situación critica. </t>
  </si>
  <si>
    <t xml:space="preserve">*Impactos económicos, perdidas humanas. </t>
  </si>
  <si>
    <t xml:space="preserve">*Procedimientos de emergencias y de respuesta a eventos críticos. </t>
  </si>
  <si>
    <t>* Coordinación Sistema Integrado de Gestión 
* Dirección Jurídica y Propiedad Horizontal</t>
  </si>
  <si>
    <t xml:space="preserve">* No mantener los registros de manera adecuada. </t>
  </si>
  <si>
    <t>* No se manejan documentos legibles, ordenados, no se tienen en carpetas definidas.</t>
  </si>
  <si>
    <t xml:space="preserve">Todos los procesos </t>
  </si>
  <si>
    <t xml:space="preserve">* Falta de cuidado y desconocimiento de las normas en las cuales nos encontramos certificados. </t>
  </si>
  <si>
    <t xml:space="preserve">* No conformidades en auditorias.
* Documentos no legibles.
* Perdida de confiablidad.
* Falsificación de información.  </t>
  </si>
  <si>
    <t xml:space="preserve">* Procedimiento control de documentos
* Auditoria Interna </t>
  </si>
  <si>
    <t>* Mediante el cumplimiento del procedimiento de control documental y de auditorias internas, se garantiza el control de registros de la organización.</t>
  </si>
  <si>
    <t xml:space="preserve">* Coordinación Sistema Integrado de Gestión 
</t>
  </si>
  <si>
    <t>Gestión Contable y Financiera</t>
  </si>
  <si>
    <t>* Reportes a centrales de riesgos.</t>
  </si>
  <si>
    <t xml:space="preserve">* Reporte a centrales de riesgo en la que se evidencia que la ZFIP no es un cliente confiable. </t>
  </si>
  <si>
    <t xml:space="preserve">*Personas externas y proveedores y entidades financieras. </t>
  </si>
  <si>
    <t xml:space="preserve">*Perdida de confiabilidad crediticia. </t>
  </si>
  <si>
    <t xml:space="preserve">*Manipulación de información.                 </t>
  </si>
  <si>
    <t xml:space="preserve">*Aprovechamiento negativo por parte de los funcionarios responsables de la información financiera. </t>
  </si>
  <si>
    <t xml:space="preserve">* Integrantes de los diferentes procesos de la compañía y personal externo con acceso a la información. </t>
  </si>
  <si>
    <t xml:space="preserve">*Chantaje por parte de los funcionarios, suministro de información a la competencia o personal que puedan ocasionar daños. </t>
  </si>
  <si>
    <t>*Pérdida de información contable</t>
  </si>
  <si>
    <t xml:space="preserve">* Ingreso de personas no autorizadas y/o colaboradores al proceso financiero extrayendo información crítica.
* Falla de equipo tecnológico por infección de virus u otras causales.  
                                        </t>
  </si>
  <si>
    <t xml:space="preserve">Personas externas a la organización e integrantes de todos los procesos. </t>
  </si>
  <si>
    <t>*Sanciones de entes de control. 
* Malos reportes ante la DIAN.  
* Información financiera que no permita tomar las decisiones adecuadas.
* Falta de disponibilidad de la información a los usuarios. 
*Uso inadecuado de la información. 
* Implicaciones legales, judiciales y trastornos  a nivel interno de la compañía.</t>
  </si>
  <si>
    <t xml:space="preserve">*Robo (Plataformas virtuales y estafa).  </t>
  </si>
  <si>
    <t>*Clonación de cuentas bancarias - tarjetas de crédito     
* Asalto a funcionario que transporte dinero.                                   *Empresa fachada o de dudosa procedencia.</t>
  </si>
  <si>
    <t xml:space="preserve">Personas externas a la organización o integrantes de los procesos. </t>
  </si>
  <si>
    <t>*Perdida de fondos de las cuentas bancarias. 
*Disminución de recursos para atender las necesidades urgentes.         
*Lesiones que atentan contra la vida de los funcionarios.</t>
  </si>
  <si>
    <t xml:space="preserve">*No pago de impuestos y o presentación de Informes </t>
  </si>
  <si>
    <t xml:space="preserve">*Cuando no se cumple con las fecha establecidas para realizar el pago de impuestos municipales y nacionales o presentación de informes  </t>
  </si>
  <si>
    <t>*Proceso Gestión Contable y Financiera</t>
  </si>
  <si>
    <t xml:space="preserve">* Sanciones por los entes de control.   </t>
  </si>
  <si>
    <t>*Calendario Tributario actualizado. /Capacitaciones constantes. 
* Revisoría fiscal mensual</t>
  </si>
  <si>
    <t xml:space="preserve">Capacitaciones actualización tributaria </t>
  </si>
  <si>
    <t xml:space="preserve">Anual </t>
  </si>
  <si>
    <t xml:space="preserve">Entes externos </t>
  </si>
  <si>
    <t xml:space="preserve">Económicos 
Software contable </t>
  </si>
  <si>
    <t xml:space="preserve">Software no licenciado    </t>
  </si>
  <si>
    <t xml:space="preserve">* Fecha de vencimiento, falta de renovación, instalación y/o  desinstalación por el usuario                                </t>
  </si>
  <si>
    <t>*Usuarios de Computo.
*Proceso Tecnología e Informática
*Agentes externos</t>
  </si>
  <si>
    <t xml:space="preserve">* Falta de gestión por parte de analista de sistemas o por infracción del usuario. </t>
  </si>
  <si>
    <t>* Sanciones o multas a la empresa.   
* Fallas en los equipos de computo.</t>
  </si>
  <si>
    <t>*Control de inventarios de licencias.  
*Asignación de equipos de cómputo
* Equipos con cuentas de administrador y cuentas estándar.</t>
  </si>
  <si>
    <t xml:space="preserve">Proceso Gestión Tecnología e Informática </t>
  </si>
  <si>
    <t xml:space="preserve">* Violación de contraseñas.            </t>
  </si>
  <si>
    <t xml:space="preserve">*Divulgación de contraseñas.
* Hurto de archivo físico o digital. 
* Hackeo de las cuentas.                      </t>
  </si>
  <si>
    <t xml:space="preserve">*Usuarios de Computo y/o personal externo de la organización. </t>
  </si>
  <si>
    <t xml:space="preserve">* Pérdida de confidencialidad de la información.
* Robo de cuentas.
* Suplantación de identidad. 
</t>
  </si>
  <si>
    <t>* Cambio y actualización de contraseñas como plazo máximo el tiempo estipulado en el Manual de Gestión Tecnología e Informática o por casos de fuerza mayor cuando lo considera pertinente el analista del proceso de Gestión de Tecnología e Informática. 
*Adopción de medidas disciplinarias.</t>
  </si>
  <si>
    <t xml:space="preserve">Tecnológicos </t>
  </si>
  <si>
    <t xml:space="preserve">* Virus Informáticos.                    </t>
  </si>
  <si>
    <t xml:space="preserve">* Vencimiento de antivirus, descargas provocados por lo usuarios, USB infectadas, uso de paginas no autorizadas por la empresa. </t>
  </si>
  <si>
    <t xml:space="preserve">*Usuarios de Computo y/o responsable del proceso de Gestión Tecnología e Informática. 
* Usuario externo
</t>
  </si>
  <si>
    <t>* No instalación de antivirus y descargas no autorizadas por los usuarios. 
* Fallas en el equipo de seguridad.</t>
  </si>
  <si>
    <t xml:space="preserve"> * Bajo rendimiento de los equipos.
* Perdida de información. </t>
  </si>
  <si>
    <t>* Dispositivo de seguridad informática Fortigate 60D.
* Antivirus (protección local en estaciones de trabajo), firewall local, políticas y estándares de seguridad informáticas, administración total de la red.</t>
  </si>
  <si>
    <t xml:space="preserve">Software informático de seguridad </t>
  </si>
  <si>
    <t xml:space="preserve">* Ataque Informático                                       </t>
  </si>
  <si>
    <t>*Usuario externo que mediante internet vulnera la seguridad informática de la empresa.</t>
  </si>
  <si>
    <t>* Software malicioso externo</t>
  </si>
  <si>
    <t xml:space="preserve">* Robo o pérdida de información y dinero.
* Mala imagen de la compañía. </t>
  </si>
  <si>
    <t xml:space="preserve">
*Actualizar el software del dispositivo de seguridad 
</t>
  </si>
  <si>
    <t xml:space="preserve">Según aplique </t>
  </si>
  <si>
    <t xml:space="preserve">Software (Sistema operativo y características de seguridad) </t>
  </si>
  <si>
    <t xml:space="preserve">Plataforma con ultima actualización  aplicada.
Red protegida </t>
  </si>
  <si>
    <t>*Interrupción de Operación de la empresa.</t>
  </si>
  <si>
    <t>*Caída de internet (masiva externa).
* Errores de conexión.</t>
  </si>
  <si>
    <t>*Mantenimiento de las redes informáticas de la empresa. 
* Plan de contingencia de las dos redes cableadas con diferente prestador de servicio, Red inalámbrica, módem USB.</t>
  </si>
  <si>
    <t>*Fallas en los equipos de computo y servidores incluyendo el sistema de control de ingresos</t>
  </si>
  <si>
    <t xml:space="preserve">*Usuarios de Computo y/o personal externo de la organización.
*Medio ambiente </t>
  </si>
  <si>
    <t>* demoras en e funcionamiento y adecuado desarrollo de los procesos</t>
  </si>
  <si>
    <t xml:space="preserve">*Vida útil vencida, fallas eléctricas y otros.     
* Virus informático.
                                         </t>
  </si>
  <si>
    <t xml:space="preserve">Los proponentes sugeridos para la ejecución de obra no cumplen con el alcance contratado. </t>
  </si>
  <si>
    <t>Desgaste de  equipos, herramienta e infraestructura en general</t>
  </si>
  <si>
    <t xml:space="preserve">
Deterioro de la Infraestructura, Equipos y Herramientas </t>
  </si>
  <si>
    <t>No cumplir con normas y estándares de construcción</t>
  </si>
  <si>
    <t xml:space="preserve">*Al ser contratados los cálculos, éstos no cumplan con normas
*En la ejecución de las obras, los contratistas no cumplan los controles de calidad de los procesos o materiales usados </t>
  </si>
  <si>
    <t xml:space="preserve"> *No se aprueba en curaduría los diseños de obra
*Rechazo de las obras</t>
  </si>
  <si>
    <t xml:space="preserve">En el momento en que aplique </t>
  </si>
  <si>
    <t>Mal funcionamiento de las básculas</t>
  </si>
  <si>
    <t>Variación de las medidas de pesaje conforme a las desviaciones de error establecidas en los manuales de operación</t>
  </si>
  <si>
    <t xml:space="preserve">Usuarios de las básculas </t>
  </si>
  <si>
    <t xml:space="preserve">
*Falta de mantenimientos preventivos y calibración de las básculas de acuerdo a lo establecido en el procedimiento de seguimiento a Bascula. 
*Manipulación inadecuada de los componentes de los equipos de pesaje</t>
  </si>
  <si>
    <t>Terceros</t>
  </si>
  <si>
    <t xml:space="preserve">* Información puede llegar a manos delictivas. 
* Soborno.
* Plagio de diseños y estudios. 
</t>
  </si>
  <si>
    <t>Verificación de la existencia del aviso de confidencialidad en la firma del correo del Director Técnico</t>
  </si>
  <si>
    <t>al momento de un cambio en la firma del correo.</t>
  </si>
  <si>
    <t>Revisión permanente de los expedientes</t>
  </si>
  <si>
    <t>* Facilidad de intrusión de personal externo no autorizado y rompimiento de cerramiento perimetral</t>
  </si>
  <si>
    <t>* Daños en la malla, 
* Intrusión.</t>
  </si>
  <si>
    <t>Personal externo no identificado, usuarios calificados y usuario operador, visitantes, proveedores y contratistas</t>
  </si>
  <si>
    <t>Posible caída del tronco sobre el sistema de enmallado.</t>
  </si>
  <si>
    <t xml:space="preserve">Personal externo y eventos naturales </t>
  </si>
  <si>
    <t xml:space="preserve">Revisión por parte del personal de mantenimiento, vigilancia permanente por parte de los  ronderos con control de punto de marcación mediante bastón electrónico, CCTV 24/7, verificación perimetral a pie con informe semanal del estado del cerramiento. </t>
  </si>
  <si>
    <t>* Personal de mantenimiento zonas comunes
*Personal de seguridad 
* CCTV</t>
  </si>
  <si>
    <t>Identificación de correspondencia y paquetes sospechosos</t>
  </si>
  <si>
    <t>Personal informal de entrega de correspondencia</t>
  </si>
  <si>
    <t>Presencia de maleza en la parte exterior de la  malla perimetral</t>
  </si>
  <si>
    <t>Incumplimiento del cronograma de mantenimiento</t>
  </si>
  <si>
    <t>*Contratista mantenimiento</t>
  </si>
  <si>
    <t>Gestión Jurídica y PH</t>
  </si>
  <si>
    <t>*Fallas en el sistema de alarmas y video cámaras</t>
  </si>
  <si>
    <t>* Vandalismo
* Vida útil vencida, fallas eléctricas y otros.
* Elementos de seguridad electrónica con fallas. 
* Eventos naturales.</t>
  </si>
  <si>
    <t xml:space="preserve">* Personal externo 
* Medio Ambiente </t>
  </si>
  <si>
    <t xml:space="preserve">Condiciones ambientales </t>
  </si>
  <si>
    <t xml:space="preserve">*Amenazas y riesgos de falla física. </t>
  </si>
  <si>
    <t xml:space="preserve">*Impactos económicos.   *Perdidas Humanas.                            *Afectaciones a las instalaciones. </t>
  </si>
  <si>
    <t xml:space="preserve">* Producto  contaminado.
</t>
  </si>
  <si>
    <t xml:space="preserve">*Contaminación  de mercancías  en las operaciones de comercio exterior </t>
  </si>
  <si>
    <t xml:space="preserve">*Usuarios Calificados y/o Terceros. 
</t>
  </si>
  <si>
    <t xml:space="preserve">*Por falta de competencia                                                                          y omisión a los controles para los procedimientos de seguridad establecidos. 
</t>
  </si>
  <si>
    <t>*Asegurar el cumplimiento de un asociado de negocio, cuando en realidad no cumple con los procedimientos establecidos por la empresa.</t>
  </si>
  <si>
    <t>Empresa de seguridad</t>
  </si>
  <si>
    <t xml:space="preserve">Empresa de seguridad </t>
  </si>
  <si>
    <t>Por negligencia, olvido, falta de consulta e interpretación errada de las normas</t>
  </si>
  <si>
    <t>Personal encargado de los procesos</t>
  </si>
  <si>
    <t>Falta de actualización, revisión y consulta de las normas</t>
  </si>
  <si>
    <t>Elaboración incorrecta de documentos legales
Conceptos legales equivocados</t>
  </si>
  <si>
    <t xml:space="preserve">
*Descuido al momento de elaboración de documentos y emisión de conceptos
*Desconocimiento de norma y ámbito de aplicación</t>
  </si>
  <si>
    <t>Sanciones pecuniarias, demandas externas, detrimento patrimonial</t>
  </si>
  <si>
    <t>* Actualización de matriz de requisitos legales. 
* LEGISMOVIL, 
* Códigos LEGIS con actualización periódica.</t>
  </si>
  <si>
    <t>Se poseen modelos y minutas adecuadas a la normatividad actual vigente.
Capacitación en temas puntuales relativos a la actividad de la empresa</t>
  </si>
  <si>
    <t>Organismos capacitadores y de actualización confiables</t>
  </si>
  <si>
    <t>No registro oportuno de actas de asamblea de accionistas</t>
  </si>
  <si>
    <t>Olvido o descuido en la elaboración del acta</t>
  </si>
  <si>
    <t>Dirección Jurídica</t>
  </si>
  <si>
    <t xml:space="preserve">Plazos cortos para la elaboración y entrega de actas </t>
  </si>
  <si>
    <t>Lavado de Activos</t>
  </si>
  <si>
    <t>Usuarios Potenciales
Usuarios calificados y clientes</t>
  </si>
  <si>
    <t xml:space="preserve"> Elaboración oportuna de actas (programación de actividades del proceso)</t>
  </si>
  <si>
    <t>* Se realiza el cambio de contraseñas dejando evidencia en el formato de FO-TI-10.
* No se han presentado situaciones en las cuales se llegue a la medida disciplinaria.</t>
  </si>
  <si>
    <t>* se evidencia soporte de renovación de licencia del dispositivo, la cual se renueva en el mes de enero del 2020.
* se evidencia antivirus en cada equipo de computo, la licencia F-A7AE676AF, por un año vence el 27 de junio de 2020</t>
  </si>
  <si>
    <t>* se evidencia soporte de renovación de licencia del dispositivo, la cual se renueva en el mes de enero del 2020.
* se evidencia antivirus en cada equipo de computo, la licencia F-A7AE676AF, por un año vence el 27 de junio de 2021</t>
  </si>
  <si>
    <t>* Se realiza mantenimiento preventivo a  los dispositivos de redes según cronograma de mantenimiento.
* Se evidencia red UNE, y Mediacomers Y MODEM DE MOVISTAR.</t>
  </si>
  <si>
    <t>los asignados para tal fin</t>
  </si>
  <si>
    <t>ZFIP</t>
  </si>
  <si>
    <t>* Permanencia del personal de planta al año.</t>
  </si>
  <si>
    <t>* Cumplimiento del plan de bienestar.
* Cumplimiento al plan de formación.
* Realización de evaluación de desempeño.</t>
  </si>
  <si>
    <t xml:space="preserve">
* Cuando aplique.
* Anual</t>
  </si>
  <si>
    <t>* Dirección Gestión Administrativa
* Jefe Inmediato</t>
  </si>
  <si>
    <t>Dirección Gestión Administrativa</t>
  </si>
  <si>
    <t>* Cuando aplique</t>
  </si>
  <si>
    <t>*Cuadro de pagos. 
*Control en registro magnético y físico de los documentos recibidos
*Revisión mensual mediante indicador de presupuesto
* Cobro oportuno de la cartera.
*Control de correspondencia.
* Programación en el calendario para efectuar pagos.</t>
  </si>
  <si>
    <t xml:space="preserve">* Software Contable
* Archivo de correspondencia </t>
  </si>
  <si>
    <t xml:space="preserve">
* Revisiones periódicas de información crítica digitada en software contable.
* Registro de visitantes.                                                                        * Registro del control de llaves.
* Instalación y actualización de antivirus en cada computador de la compañía.                                                       
*Control en documentos emitidos por el sistema contable.                
*Back Up.
* Registro de préstamo de documentos de archivo.
* Registro de personas que ingresan al área critica archivo y CCTV</t>
  </si>
  <si>
    <t xml:space="preserve">* Falta de control adecuado de tiempos de conservación y destrucción de los documentos en el archivo, de acuerdo a la legislación contable.
* Equipos tecnológicos sin mantenimiento preventivo causados por la no programación o no aprobación económica, copias de seguridad y falta de control de dispositivos externos.
* No tener control de las personas externas que ingresen.  </t>
  </si>
  <si>
    <t>Según cronograma de mantenimiento CASALIMPIA</t>
  </si>
  <si>
    <t>* la detección oportuna de actividades sospechosas gracias a la aplicación de los procedimientos de seguridad.</t>
  </si>
  <si>
    <t>* Reporte mensual de ausencia de operaciones sospechosas.</t>
  </si>
  <si>
    <t>* Se verifica que las actas de la junta y asamblea son redactadas y enviadas al comité evaluador de manera oportuna.</t>
  </si>
  <si>
    <t>Nivel</t>
  </si>
  <si>
    <t>Nombre</t>
  </si>
  <si>
    <t>Frecuencia</t>
  </si>
  <si>
    <t>Casi Seguro</t>
  </si>
  <si>
    <t>Se espera que ocurra en la mayoría de las circunstancias.</t>
  </si>
  <si>
    <t>Se produce más de una vez al año</t>
  </si>
  <si>
    <t>Posible</t>
  </si>
  <si>
    <t>Es posible que ocurra en algunas veces.</t>
  </si>
  <si>
    <t>Se produce una vez al año</t>
  </si>
  <si>
    <t>Improbable</t>
  </si>
  <si>
    <t>Podría ocurrir en algunas veces.</t>
  </si>
  <si>
    <t>Se produce una vez cada 5 años</t>
  </si>
  <si>
    <t>Nivel de Consecuencia</t>
  </si>
  <si>
    <t xml:space="preserve">Financiero    </t>
  </si>
  <si>
    <t>Calidad / Cliente</t>
  </si>
  <si>
    <t>Control y Seguridad</t>
  </si>
  <si>
    <t>Seguridad y Salud en el trabajo</t>
  </si>
  <si>
    <t>Ambiental</t>
  </si>
  <si>
    <t>Perdida de 1 a 3 SMLV</t>
  </si>
  <si>
    <t>Insatisfacción leve y quejas</t>
  </si>
  <si>
    <t>Incumplimiento menor detectado externamente pero que no genera sanción</t>
  </si>
  <si>
    <t>Incidente</t>
  </si>
  <si>
    <t>Contaminación leve y reversible</t>
  </si>
  <si>
    <t>Perdida de 3 a 15 SMLV</t>
  </si>
  <si>
    <t>Insatisfacción moderada y quejas</t>
  </si>
  <si>
    <t>Incumplimiento detectado externamente que genera sanción</t>
  </si>
  <si>
    <t>Accidente o enfermedad profesional con incapacidad menor a (1) días y mayor a un (5) días.</t>
  </si>
  <si>
    <t>Contaminación media reversible</t>
  </si>
  <si>
    <t>Perdida mayor a 15 SMLV</t>
  </si>
  <si>
    <t>Insatisfacción total, perdida del cliente y demandas</t>
  </si>
  <si>
    <t>Incumplimiento detectado externamente que genera sanción y daño a la imagen de la organización y de la operación</t>
  </si>
  <si>
    <t>Accidente o enfermedad profesional con incapacidad mayor a cinco (5) días.</t>
  </si>
  <si>
    <t>Contaminación alta y no reversible</t>
  </si>
  <si>
    <t>Alto</t>
  </si>
  <si>
    <t>Debe ponerse en conocimiento de los Directores y Gerentes, requiere acción inmediata.</t>
  </si>
  <si>
    <t>Requiere la atención de los directores de proceso.</t>
  </si>
  <si>
    <t>Bajo</t>
  </si>
  <si>
    <t>Requiere atención moderada</t>
  </si>
  <si>
    <t>5 - Bajo</t>
  </si>
  <si>
    <t>10 - Medio</t>
  </si>
  <si>
    <t>20 - Alto</t>
  </si>
  <si>
    <t xml:space="preserve">Proceso utilizado por la organización para determinar la magnitud de los riesgos en la organización, con relación a los criterios: probabilidad  por consecuencia. </t>
  </si>
  <si>
    <t>* No cumplimiento del ordenamiento jurídico consignado en la matriz de requisitos legales</t>
  </si>
  <si>
    <t>* Realización de comités de Gerencia mensuales (ver registros de acta).
* Realización de junta directiva de manera trimestral (ver registro de acta).
* Realización de asamblea de accionistas mínimo 1 vez al año o si de manera extraordinaria se requiere (ver registros de acta)</t>
  </si>
  <si>
    <t>* Cada líder de proceso, instaura sus propios indicadores, de acuerdo al cumplimiento de los objetivos del mismo, los cuales son presentados de manera mensual en los comités de Gerencia, como parte de la RXD. (ver registros de acta).</t>
  </si>
  <si>
    <t xml:space="preserve">*Procedimientos de Operaciones.
*Auditoria externa.
* Simulacro aleatorios.    </t>
  </si>
  <si>
    <t xml:space="preserve">Coordinador comercial </t>
  </si>
  <si>
    <t>* Aplicación de la encuesta de satisfacción al cliente.
* Seguimiento al canal de atención de PQRS.
* Seguimiento al cumplimiento de las propuestas comerciales.</t>
  </si>
  <si>
    <t>anual
Permanente.
Permanente</t>
  </si>
  <si>
    <t>* Incumplimiento de requisitos de las normas y estándares.</t>
  </si>
  <si>
    <t>* No garantía de la eficiencia, eficacia y efectividad de los procesos. 
* Pérdida de la certificación de las normas.</t>
  </si>
  <si>
    <t>La comunidad</t>
  </si>
  <si>
    <t>* Afectación a la imagen corporativa,
* Daños Físicos o de Infraestructura.</t>
  </si>
  <si>
    <t>* Pérdida de la declaratoria de ZF.</t>
  </si>
  <si>
    <t>Retiro o cancelación de la declaratoria.</t>
  </si>
  <si>
    <t>DIAN y Ministerio de Industria y Turismo</t>
  </si>
  <si>
    <t>* Prorroga de la declaratoria de ZF</t>
  </si>
  <si>
    <t>Agosto</t>
  </si>
  <si>
    <t>Gerente y Líderes de Proceso</t>
  </si>
  <si>
    <t>Económico</t>
  </si>
  <si>
    <t>* Proceso de compras y contratación sin el debido seguimiento</t>
  </si>
  <si>
    <t>* Se presenta incumplimiento de requisitos contractuales entre las partes.</t>
  </si>
  <si>
    <t>Proveedores, contratistas, ZFIP</t>
  </si>
  <si>
    <t>* Demandas Laborales a la Compañía.</t>
  </si>
  <si>
    <t>Instauración de demanda al ministerio de trabajo que afecta la ZF</t>
  </si>
  <si>
    <t>Colaboradores</t>
  </si>
  <si>
    <t>permanente</t>
  </si>
  <si>
    <t>ANÁLISIS DELAS PI Y EL ALCANCE</t>
  </si>
  <si>
    <t>* Gerencia 
*Coordinación Comercial y de Servicio al Cliente 
* Dirección de Operaciones.</t>
  </si>
  <si>
    <t xml:space="preserve">* Agremiaciones </t>
  </si>
  <si>
    <t>* Se evaluará durante el año 2020</t>
  </si>
  <si>
    <t>* Actualización constante en la normatividad del régimen de Zonas Francas, socializando dicha actualización a los usuarios calificados. 
* Estrategias de venta y valores agregados de la ZFIP diferentes a los incentivos tributarios y aduaneros que otorga el régimen franco.
* Moderno parque  industrial, dotado para el cumplimiento de necesidades de los clientes.</t>
  </si>
  <si>
    <t>Condiciones del mercado tales como: inflación, desempleo, factores socio-políticos, riesgo a la inversión extranjera directa, fluctuación de divisas, capitales y/o inversiones golondrina, entre otras.</t>
  </si>
  <si>
    <t xml:space="preserve">*Contar con incentivos no ligados al régimen franco como son los ofrecimiento de valores agregados por la prestación de servicios de alta calidad de la ZFIP </t>
  </si>
  <si>
    <t>* Se mantienen los clientes actuales y se evidencia calificación de nuevos usuarios.</t>
  </si>
  <si>
    <t xml:space="preserve">* Según programación.
* Mayo 2020 </t>
  </si>
  <si>
    <t>* Cierre NO exitoso de la negociación.                         *Perdida de competitividad.
* Desinterés del Usuario Calificado en permanecer en ZFIP.
* Pérdida de clientes nuevos.</t>
  </si>
  <si>
    <t xml:space="preserve">Coordinación Comercial y Servicio al Cliente 
* Gerencia </t>
  </si>
  <si>
    <t>* N/A</t>
  </si>
  <si>
    <t>*Contar con acuerdos de confidencialidad y sanciones  disciplinarias y legales frente a la violación del mismo. 
* Actividades de buenas practicas empresariales.</t>
  </si>
  <si>
    <t>* Según programación.</t>
  </si>
  <si>
    <t>* Diagnostico interno sobre licenciamiento</t>
  </si>
  <si>
    <t xml:space="preserve">Proceso Gestión Tecnología e Informática  </t>
  </si>
  <si>
    <t xml:space="preserve">
N/A</t>
  </si>
  <si>
    <t>* Se verificará eficacia en Julio del 2020</t>
  </si>
  <si>
    <t>* Campaña de sensibilización de la importancia del resguardo de las contraseñas.
* simulacro de transferencia de contraseñas.
* Retroalimentación al simulacro</t>
  </si>
  <si>
    <t>* Se verificará en Diciembre.</t>
  </si>
  <si>
    <t>* se verificará en Julio y en Diciembre.</t>
  </si>
  <si>
    <t>*Empresa con quien se contrata el servicio.
* Proceso Gestión Tecnología e Informática.
* Personal externo.</t>
  </si>
  <si>
    <t xml:space="preserve">* Retrasos en la operación de los procesos
* Insatisfacción del cliente. </t>
  </si>
  <si>
    <t>Se revisará eficacia en julio y diciembre.</t>
  </si>
  <si>
    <t>*Por fallas, desconfiguración o daño en los equipos, las cuales impiden su adecuado uso. 
Mal uso de los mismos.
* Incumplimiento con el mantenimiento preventivo.
* Reinicios no programados.</t>
  </si>
  <si>
    <t>Julio</t>
  </si>
  <si>
    <t>Se verificará en Julio del 2020</t>
  </si>
  <si>
    <t>* Pérdidas económicas, información, confiabilidad de clientes, confusión de las PI al momento de utilizar el LOGO.</t>
  </si>
  <si>
    <t>*Implementación de medidas de seguridad a través del sistema de gestión BASC e ISO 28000. 
*Divulgación y control del manual de identidad visual corporativa de la ZFIP.
* Elevación de la plataforma sobre la cual esta construida la ZFIP y existencia de jarillones en el perímetro colindante con el rio Cauca y la quebrada la Leticia.
* Control de residuos especiales.</t>
  </si>
  <si>
    <t>* Correo de sensibilización, con el fin de promover el uso adecuado de la marca, incluyendo sanción a incumplimiento.</t>
  </si>
  <si>
    <t>Mayo</t>
  </si>
  <si>
    <t>Coordinador comercial</t>
  </si>
  <si>
    <t>* Seguimiento de las actividades del cronograma de mantenimiento
* Seguimiento a presupuesto proyectado  
* Seguimiento a las solicitudes de mantenimiento.</t>
  </si>
  <si>
    <t xml:space="preserve">
Mensual</t>
  </si>
  <si>
    <t>* Cumplimiento del cronograma de mantenimiento de basculas 
* Socialización del manejo de los equipos</t>
  </si>
  <si>
    <t>* Pérdida de confiabilidad en el proveedor.</t>
  </si>
  <si>
    <t>* Bandas delincuenciales dentro de la organización.
* Robo o extravío de hojas de vida.
*Falsificación de la dotación de la empresa.
* Suplantación del personal.  *Rebelión de empleados contra normas, políticas y procedimientos</t>
  </si>
  <si>
    <t>* Continuar con la implementación del manual de gestión Humana.
* Tercerizar las visitas domiciliarias con un proveedor de seguridad mientras se ejecuta el fortalecimiento de la competencia de la dirección administrativa en realización de visitas domiciliarias con enfoque a seguridad.</t>
  </si>
  <si>
    <t xml:space="preserve">* Al ingreso de personal nuevo.
*  Al momento del retiro del personal.
* Enero (tercerizar)
* Septiembre (Formación)
</t>
  </si>
  <si>
    <t>*Dirección Gestión Administrativa.</t>
  </si>
  <si>
    <t>* Se evaluará en diciembre del 2020.</t>
  </si>
  <si>
    <t>* Reestructuración de los ítems a evaluar en la evaluación de desempeño, de tal manera que se generen conceptos objetivos y no subjetivos.</t>
  </si>
  <si>
    <t>* Agosto 2020.</t>
  </si>
  <si>
    <t>* Se evaluará de acuerdo al resultado de la siguiente evaluación de desempeño en diciembre.</t>
  </si>
  <si>
    <t>* Octubre</t>
  </si>
  <si>
    <t>Humanos</t>
  </si>
  <si>
    <t>* Monitoreo periódico a los resultados  de  pruebas de alcohol y drogas y ejecución de plan de acción. 
* Puesta en marcha del programa de adicciones.
* Plan de formación.
* Ejecución del plan de bienestar.</t>
  </si>
  <si>
    <t>* Aplicación de pruebas de farmacodependencia según matriz de cargos críticos.</t>
  </si>
  <si>
    <t>*Verificación de referencias y antecedentes disciplinarios.
 *visita domiciliaria y de seguimiento.
*Actualización y seguimiento a la información de los empleados 
*Programa de adicciones
*Programas de bienestar laboral 
* destrucción de logo en dotación devuelta.
* Cumplimiento del reglamento de trabajo por parte de los colaboradores.</t>
  </si>
  <si>
    <r>
      <t xml:space="preserve">* Resultado de las pruebas de consumo negativas.
</t>
    </r>
    <r>
      <rPr>
        <sz val="12"/>
        <color rgb="FFFF0000"/>
        <rFont val="Arial"/>
        <family val="2"/>
      </rPr>
      <t xml:space="preserve">
* Nivel de ausentismo relacionado con el riesgo nulo.
* Permanencia en la planta de personal.</t>
    </r>
  </si>
  <si>
    <t>* Marzo</t>
  </si>
  <si>
    <t>* Se verificará en julio la eficacia de la actividad.</t>
  </si>
  <si>
    <t>* Se evaluará en julio del 2020</t>
  </si>
  <si>
    <t>* Generación de contratos a colaboradores en los tiempos establecidos.
* Pago de nomina y seguridad social aplicable.
* Sistema de Gestión de SST.</t>
  </si>
  <si>
    <t>* Inducción y reinducción reglamento de trabajo.</t>
  </si>
  <si>
    <t>* Dirección Gestión Administrativa.
* Gestión Jurídica</t>
  </si>
  <si>
    <t>* Retiro del proveedor.
* Suspensión de entrega de producto o servicio.</t>
  </si>
  <si>
    <t>* Por incumplimiento a pago oportuno.
* Incumplimiento a requisitos contractuales.
* Manejo inapropiado al proveedor.</t>
  </si>
  <si>
    <t>* Seguimiento a evaluaciones de proveedores.
* Negociación en cuanto al pago con los proveedores.</t>
  </si>
  <si>
    <t>* Se cuenta con un plan de formación integral, en el cual se plantean las capacitaciones referentes a normatividad aplicable, dirigida al personal responsable de hacer cumplir dichas obligaciones legales.
* se realizan auditorias mensuales de formularios aleatorios, con el fin de revisar su correcto diligenciamiento, dando como resultado "a satisfacción"  con un 96% al mes de Diciembre del 2019.</t>
  </si>
  <si>
    <t>* Capacitación al personal de operaciones sobre actualidad normativa.
* ejecución de simulacro</t>
  </si>
  <si>
    <t>Según plan de formación operaciones 2020.
Noviembre</t>
  </si>
  <si>
    <t>* Se garantizan los pasos en el procesos de calificación de usuarios dando cumplimiento a los lineamientos establecidos para tal fin.
* Se  realiza estudio de antecedentes previo a la vinculación del usuario, con el fin de evaluar la viabilidad de calificación como usuario.</t>
  </si>
  <si>
    <t>* Revisión por parte de la auditoria externa, del cumplimiento del SIPLA en usuarios.</t>
  </si>
  <si>
    <t>Dirección de Operaciones</t>
  </si>
  <si>
    <t>* Se verificará en Agosto del 2020.</t>
  </si>
  <si>
    <t>* Capacitación en Gestión del riesgo.</t>
  </si>
  <si>
    <t>Febrero</t>
  </si>
  <si>
    <t>BASC - PROCOLOMBIA</t>
  </si>
  <si>
    <t>Mensual 
Cuando aplique</t>
  </si>
  <si>
    <t>Directora Contable y Financiera.</t>
  </si>
  <si>
    <t xml:space="preserve">* Pérdidas económicas, 
* Pérdida de declaratoria, 
* Pérdida de seguridad de altos directivos y accionistas de la compañía.
* Pérdida de clientes y de proveedores. </t>
  </si>
  <si>
    <t>*Cláusula de confidencialidad,  procesos de selección adecuados. 
* Destrucción de documentos con información sensible. 
* Manejo restringido de la información contable.
* Oficina de contabilidad aislada con puerta y cerradura.</t>
  </si>
  <si>
    <t>* Estudio de las sanciones del reglamento de trabajo por mal manejo de la información sensible.</t>
  </si>
  <si>
    <t>* Dirección Gestión Administrativa
* Dirección Gestión Contable y financiera.</t>
  </si>
  <si>
    <t>* Delincuencia común o abuso de confianza. 
* Soborno.</t>
  </si>
  <si>
    <t>* Capacitación de delitos informáticos</t>
  </si>
  <si>
    <t xml:space="preserve">
* Según programación.</t>
  </si>
  <si>
    <t xml:space="preserve">
Analista Tecnología e Informática 
Dirección Contable y Financiera</t>
  </si>
  <si>
    <t>* Se verificará en diciembre 2020.</t>
  </si>
  <si>
    <t>n/a</t>
  </si>
  <si>
    <t>* Ejecución del cronograma de mantenimiento.</t>
  </si>
  <si>
    <t xml:space="preserve">* Hurto. 
* Atentando terrorista.
* Daños en las instalaciones.
* Perdidas humanas. </t>
  </si>
  <si>
    <t xml:space="preserve">
* Trimestral</t>
  </si>
  <si>
    <t>Seguimiento al Cronograma de mantenimiento apropiado</t>
  </si>
  <si>
    <t>* Cada cuatro meses.
* De manera escalonada durante el 2020.</t>
  </si>
  <si>
    <t>* Empresa de seguridad.
* Personal de mantenimiento (Casa Limpia).</t>
  </si>
  <si>
    <t>* Sensibilización con el personal de seguridad y personal de la ZF, del la respuesta eventos (material de lectura)</t>
  </si>
  <si>
    <t>Personal externo no identificado.
Personal interno.</t>
  </si>
  <si>
    <t>* Actualización de la póliza todo riesgo.
* Retroalimentación con el esquema de seguridad en prevención e implementación de medidas de seguridad.</t>
  </si>
  <si>
    <t>Diciembre de 2020
* Trimestral</t>
  </si>
  <si>
    <t>*Todos los procesos.</t>
  </si>
  <si>
    <t>* Sensibilización SARLAFT.</t>
  </si>
  <si>
    <t>* Mayo
* Trimestral</t>
  </si>
  <si>
    <t>* Se evaluará en Diciembre del 2020.</t>
  </si>
  <si>
    <t>* Se verifica cumplimiento en cuanto a la evaluación de requisitos aplicables a la compañía, la actualización del 2020 esta programada para octubre de 2020, sin embargo se han realizado diversas actualizaciones, a causa de la emergencia por COVID-19.</t>
  </si>
  <si>
    <t>* Anual
* Agosto</t>
  </si>
  <si>
    <t>Se verificará en Diciembre del 2020.</t>
  </si>
  <si>
    <t>* Mayo
*Octubre</t>
  </si>
  <si>
    <t>Se han realizado durante el año 2020, 2 reuniones de Junta Directiva y 1 asamblea extraordinaria, de las cuales se evidencia registro de actas.</t>
  </si>
  <si>
    <t>* Disturbios o atentados a la propiedad por parte de la comunidad.</t>
  </si>
  <si>
    <t>* Ocupación ilegal.
* Protestas directas en contra de la ZF.</t>
  </si>
  <si>
    <t>* Por percepción de incumplimiento al compromiso de generación de empleo formal.
* Poca respuesta a las necesidad de la comunidad en general.</t>
  </si>
  <si>
    <t>Cuando aplique</t>
  </si>
  <si>
    <t>* Mensual (comité de Gerencia).
* Anual (Asamblea)
* Junta directiva (trimestral)</t>
  </si>
  <si>
    <t>* Realización de comités de Gerencia mensuales (ver registros de acta).
* Realización de junta directiva de manera trimestral (ver registro de acta).
* Realización de asamblea de accionistas mínimo 1 vez al año o si de manera extraordinaria se requiere (ver registros de acta).
* Ejecución y mantenimiento de sistemas de gestión de BASC, ISO 28000 e ISO 9001. (ver certificaciones).
* Se lleva proceso de revisoría fiscal (ver informes de revisoría).
* Auditoria anual a la operación (ver informe de auditoría).</t>
  </si>
  <si>
    <t>* Revisión con las áreas del resultado de auditorias.
* Seguimiento a los compromisos resultantes de los comités de gerencia.</t>
  </si>
  <si>
    <t>Cuando aplique.
Mensual</t>
  </si>
  <si>
    <t>Matriz de requisitos legales 
Capacitaciones. 
Participación gremial.</t>
  </si>
  <si>
    <t>* Se realiza la actualización de los requisitos legales de manera anual o cuando se presenten cambios normativos, se verifica su cumplimiento y se  plantean actividades para aquellos requisitos que aun no se cumplen a cabalidad (ver matriz de requisitos legales).
* Se programan capacitaciones en actualidad normativa aplicable a la organización (ver programa de capacitación).
* Análisis de boletines de actualización normativa y participación de capacitaciones ofrecidas por los gremios.</t>
  </si>
  <si>
    <t>Retroalimentación al equipo sobre conceptos de operaciones.</t>
  </si>
  <si>
    <t>Octubre</t>
  </si>
  <si>
    <t>Septiembre</t>
  </si>
  <si>
    <t>Revisión de los indicadores que sufrieron modificación para evaluar su funcionalidad.</t>
  </si>
  <si>
    <t>* Seguimiento a la generación de empleo de manera permanente y reporte al Ministerio.
* Cumplimiento de requisitos normativos.
* Seguimiento a propuestas comerciales.
* Revisión y presentación de informe de auditoria externa ante el ministerio y la DIAN.</t>
  </si>
  <si>
    <t>* Se verificará en Diciembre del 2020.</t>
  </si>
  <si>
    <t>* Cese de actividades por causa mayor o caso fortuito.</t>
  </si>
  <si>
    <t>Imposibilidad de operar.</t>
  </si>
  <si>
    <t>* Disposiciones nacionales de contención, de epidemias y pandemias u otros eventos de fuerza mayor o casos fortuitos.</t>
  </si>
  <si>
    <t>Gobierno nacional.
Entidades territoriales.</t>
  </si>
  <si>
    <t>* Disminución o imposibilidad de generación de ingresos.
* Incumplimiento de los compromisos financieros.</t>
  </si>
  <si>
    <t>* Soportes de entrega de EPP.
* Registros de capacitaciones.
* Socialización de protocolos de bioseguridad.</t>
  </si>
  <si>
    <t>* Implementación de protocolos de bioseguridad.
* Ajustes en los protocolos de ingreso.
* Fortalecimiento en las entregas de los elementos de protección personal.
* Implementación de trabajo remoto.
* Seguimiento a encuesta de condiciones de salud.</t>
  </si>
  <si>
    <t>* Recepción de visitas de entes gubernamentales que verifiquen el cumplimiento de protocolos de bioseguridad.</t>
  </si>
  <si>
    <t>Seguridad y Salud en el Trabajo</t>
  </si>
  <si>
    <t>* Corrupción y soborno</t>
  </si>
  <si>
    <t>En procesos de contratación incluyendo Talento Humano.
Ventas de terrenos.
Trámites con entidades públicas o entes de control.</t>
  </si>
  <si>
    <t>Contratistas.
Clientes.
Funcionarios públicos.
Colaboradores.</t>
  </si>
  <si>
    <t>* Denuncias penales.
* Sanciones.
* Afectación a la imagen corporativa.
* Malas negociaciones para la compañía.
* Detrimento patrimonial.
* Menores ingresos.
* Baja calidad de productos o servicios.</t>
  </si>
  <si>
    <t>* Limitaciones del representante legal ante Cámara de Comercio.
* Autorización de actuaciones del Representante Legal por parte de la Junta Directiva.
* Revisoría fiscal.
* Código de Ética Conducta y Buen Gobierno.
* Reglamento de trabajo.</t>
  </si>
  <si>
    <t>* Actas de Junta Directiva.
* Informes de Revisoría Fiscal.
* Registros de socialización del Código de Ética y Buen Gobierno y el Reglamento de Trabajo.</t>
  </si>
  <si>
    <t>Coordinador SIG</t>
  </si>
  <si>
    <r>
      <t xml:space="preserve">Fecha de Actualización: </t>
    </r>
    <r>
      <rPr>
        <sz val="18"/>
        <rFont val="Arial"/>
        <family val="2"/>
      </rPr>
      <t>18/05/2020</t>
    </r>
  </si>
  <si>
    <t>ANÁLISIS DE CONTEXTO</t>
  </si>
  <si>
    <t>Alta rotación de personal</t>
  </si>
  <si>
    <t>* Retiro de colaboradores.</t>
  </si>
  <si>
    <t>los colaboradores</t>
  </si>
  <si>
    <t>* Sobrecostos en contratación de personal.
* Reprocesos.
* Accidentes de trabajo.
* Sobrecarga laboral.</t>
  </si>
  <si>
    <t>* Se revisara con el cierre del año 2020</t>
  </si>
  <si>
    <t>* Se revisara con el cierre del año 2020.</t>
  </si>
  <si>
    <t>* Interacción organizacional quebrantada.</t>
  </si>
  <si>
    <t>ZFIP y comunidad.
Colaboradores</t>
  </si>
  <si>
    <t>* Afectación a la imagen corporativa.</t>
  </si>
  <si>
    <t>* Presupuesto de RSE.</t>
  </si>
  <si>
    <t>* Se llevan a cabo actividades con la comunidad, que permiten fortalecer las relaciones entre las partes.</t>
  </si>
  <si>
    <t>x</t>
  </si>
  <si>
    <t>Durante el año</t>
  </si>
  <si>
    <t>Gestión de Tecnología e Informática</t>
  </si>
  <si>
    <t>• Desconocimiento de la razón de ser de la compañía entre la comunidad.</t>
  </si>
  <si>
    <t>* Por falta de  retroalimentación al personal interno sobre temas relacionados con la compañía</t>
  </si>
  <si>
    <t>* fortalecimiento el conocimiento de la empresa para que se presente de forma clara la realidad de la compañía</t>
  </si>
  <si>
    <t>* Por dificultades en la comunicación con la comunidad.
• Deficiencia en la comunicación entre procesos y clientes.
• Manejo inadecuado del cliente.</t>
  </si>
  <si>
    <t>* Afectación a la imagen corporativa.
*Insatisfacción del cliente.</t>
  </si>
  <si>
    <t>Durante el año
segundo semestre 2020</t>
  </si>
  <si>
    <t>Dirección Gestión Administrativa
Analista TI</t>
  </si>
  <si>
    <t>* Fortalecimiento de la integración social con la comunidad.
* Dinamizar el banco de hojas de vida.</t>
  </si>
  <si>
    <t>Afectación de beneficios gubernamentales.</t>
  </si>
  <si>
    <t>Ausencia de beneficios gubernamentales</t>
  </si>
  <si>
    <t>Gobierno local</t>
  </si>
  <si>
    <t>• Pausa en el otorgamiento de Incentivos tributarios por parte del gobierno local.</t>
  </si>
  <si>
    <t>* Seguimiento a solicitud de renovación de beneficios gubernamentales locales.</t>
  </si>
  <si>
    <t>Gerencia
Coordinador Comercial</t>
  </si>
  <si>
    <t>Segundo semestre</t>
  </si>
  <si>
    <t>* Registros existentes digitalizar y almacenar virtual.</t>
  </si>
  <si>
    <t>* Registros existentes digitalizar y almacenar virtual.
* Ejecución de auditorias remotas.</t>
  </si>
  <si>
    <t>• Herramientas tecnológicas existentes</t>
  </si>
  <si>
    <t>* Por la necesidad de sobrepasar fronteras.</t>
  </si>
  <si>
    <t>* Atracción de nuevos clientes.
* Internacionalización de la compañía.</t>
  </si>
  <si>
    <t xml:space="preserve"> • Uso continuo de las redes sociales, implementación de nuevos métodos de comunicación y participación en eventos que impulsen tanto el nombre de la empresa como el servicio prestado y sus beneficios y garanticen la cercanía empresa – cliente, con cobertura cada vez más amplia</t>
  </si>
  <si>
    <t>Coord. Comercial y SC
Analista de TI</t>
  </si>
  <si>
    <t>• Número poblacional aledaño</t>
  </si>
  <si>
    <t>La Zona Franca colinda con 2 municipios, los cuales cuentan con gran flujo poblacional.</t>
  </si>
  <si>
    <t>Por el numero poblacional que rodea a la compañía</t>
  </si>
  <si>
    <t>Promoción de la educación técnica acorde a los requisitos laborales de las empresas de la ZF</t>
  </si>
  <si>
    <t>Entes gubernamentales</t>
  </si>
  <si>
    <t>• Red de aliados comercial y de temas de interés empresarial</t>
  </si>
  <si>
    <t>ZFIP, terceros</t>
  </si>
  <si>
    <t>* Comunicación de beneficios desde los clientes a empresas externas.
* Construcción de grupos de trabajo con intereses similares.</t>
  </si>
  <si>
    <t>• Uso continuo de las redes sociales, implementación de nuevos métodos de comunicación y participación en eventos que impulsen tanto el nombre de la empresa como el servicio prestado y sus beneficios y garanticen la cercanía empresa – cliente.
* una red de referidos proveniente de las diferentes agremiaciones e identidades gubernamentales.
* mantenimiento de las certificaciones de normas se convierte en foco de atracción y permanencia de clientes y proveedores.</t>
  </si>
  <si>
    <t>Coord. Comercial y SC
Analista de TI
Coord. SIG</t>
  </si>
  <si>
    <t>• Trabajo colaborativo con los organismos de control</t>
  </si>
  <si>
    <t>presencia de necesidades en común entre partes interesadas</t>
  </si>
  <si>
    <t>clientes
ZFIP</t>
  </si>
  <si>
    <t>Fidelización de clientes.
Aumento de dinamismos organizacional.</t>
  </si>
  <si>
    <t>* creación de círculos empresariales que permitan fortalecer conceptos de interés. (mesas de ayuda y sectoriales)</t>
  </si>
  <si>
    <t>Dirección de Operaciones.
Coordinación Comercial</t>
  </si>
  <si>
    <t>• Gestión del conocimiento</t>
  </si>
  <si>
    <t>Posesión de saberes por parte del personal</t>
  </si>
  <si>
    <t>* Retroalimentación.
* Dinamismo organizacional.</t>
  </si>
  <si>
    <t>Dirección Gestión Administrativa
Comercial
Gerencia</t>
  </si>
  <si>
    <t>*Trasmisión de saberes a las partes interesadas directas e indirectas responsables de este desarrollo.
* plataforma integral de auto diagnóstico, auto gestión y formación).
* importante incluir tanto la parte interesada vinculada en el cumplimiento, como la actualidad normativa  en el plan de formación</t>
  </si>
  <si>
    <t>Segundo semestre
Cuando aplique</t>
  </si>
  <si>
    <t xml:space="preserve">*Corrupción y soborno. </t>
  </si>
  <si>
    <t>* Corrupción y Soborno</t>
  </si>
  <si>
    <t>* Implementación del programa de anticorrupción dentro de la compañía.</t>
  </si>
  <si>
    <t>*  Estructuración del programa anticorrupción.
* Socialización del programa.</t>
  </si>
  <si>
    <t>Se evaluará en Diciembre</t>
  </si>
  <si>
    <t>Permanente</t>
  </si>
  <si>
    <t>Analista Tecnología e Informática
Coord. SIG</t>
  </si>
  <si>
    <t xml:space="preserve">
* Revisión de la matriz de identificación de riesgo. 
* Sensibilización de los protocolos de actuación según programa de respuesta a eventos.
 </t>
  </si>
  <si>
    <t>* Abril
* Segundo semestre</t>
  </si>
  <si>
    <t>Fecha de Actualización: 19/05/2020</t>
  </si>
  <si>
    <t>Sucede al momento de aceptar  por parte de los colaboradores,  (Operativos o Directivos), dejar de dar cumplimiento a  algún procedimiento requerido dentro de la compañía,  para beneficiar a una entidad y/o cliente o persona, a cambio de algún incentivo.</t>
  </si>
  <si>
    <t xml:space="preserve">*Por incumplimiento en el proceso de selección.
* por el incumplimiento a los protocolos y políticas establecidas dentro de la organización definidos
en el Sistema Integral de Gestión. </t>
  </si>
  <si>
    <t>* Sanciones, obligación de Indemnizar a terceros, perjuicios como resultado del incumplimiento de normas y/o de obligaciones contractuales.
* Afectación a la imagen corporativa.</t>
  </si>
  <si>
    <t>A la fecha no se han evidenciado problemas legales que impliquen a los colaboradores en temas de soborno o corrupción.</t>
  </si>
  <si>
    <t>* Manual de Gestión Humana.
* Reglamento de trabajo.
* Código de ética y buen gobierno.</t>
  </si>
  <si>
    <t>* Dirección Gestión Administrativa
* Directora Jurídica y PH</t>
  </si>
  <si>
    <t>* Se revisará en Diciembre de 2020</t>
  </si>
  <si>
    <t>Colaboradores.
Personal externo</t>
  </si>
  <si>
    <t>Por que no existen los protocolos de seguridad suficientes para evitarlo.</t>
  </si>
  <si>
    <t>* Pérdida de información.
* Pérdida de bienes materiales.
* Pérdida de dinero.
* Pérdida de imagen reputacional.
* Pérdida de empleados.</t>
  </si>
  <si>
    <t xml:space="preserve">* Acuerdo de confidencialidad firmado tanto por los empleados como con asociaos de negocio críticos.
* Pagos con control dual.
* Autorización de pago previa por parte de gerencia.
* Revisión constante por parte de la Revisoría Fiscal.
* Cambio de usuarios y contraseñas de acceso del personal retirado. </t>
  </si>
  <si>
    <t>Se pueden evidenciar lo controles y a su vez la eficacia, por que hasta el momento se nos ha materializado el riesgo.</t>
  </si>
  <si>
    <t>Retroalimentación  a la Auxiliar Contable y Financiera de los controles existentes y las consecuencias del no cumplimiento.</t>
  </si>
  <si>
    <t>* Se evaluará en Diciembre de 2020</t>
  </si>
  <si>
    <t>AGOSTO DE 2020</t>
  </si>
  <si>
    <t>* Participación en campañas de prevención de la corrupción y soborno</t>
  </si>
  <si>
    <t>Fecha de Actualización: 15/05/2020</t>
  </si>
  <si>
    <t>Fecha de Actualización: 03 de marzo del 2020</t>
  </si>
  <si>
    <t>Fecha de Actualización: 03/03/2020</t>
  </si>
  <si>
    <t>Fecha de Actualización: 07/05/2020</t>
  </si>
  <si>
    <t>Terroristas - Delincuencia común.
Proveedores - Contratistas</t>
  </si>
  <si>
    <t>Interés de ocasionar daños o atentados que ponen en riesgo la integridad de la compañía y sus ocupantes.
Por ofrecimiento de dadivas al favorecer un proveedor</t>
  </si>
  <si>
    <t>vigencia 2020 
Segundo semestre</t>
  </si>
  <si>
    <t>Fecha de Actualización: 28/05/2020</t>
  </si>
  <si>
    <t>Ofrecimiento de dinero o algún beneficio para entrega información o permita el ingreso en los sistemas informáticos.</t>
  </si>
  <si>
    <t>Tercero
Colaborador</t>
  </si>
  <si>
    <t>Por descontento con la organización, falta de lealtad, crisis económica del personal o amenazas</t>
  </si>
  <si>
    <t>* Perdida de información, robo de activos, la no continuidad del negocio</t>
  </si>
  <si>
    <t>* Hasta el momento muy eficaces ya que no se a materializado ninguna situación.</t>
  </si>
  <si>
    <t>CADENA DE SUMINISTRO</t>
  </si>
  <si>
    <t>ALCANCE Y CADENA DE SUMINISTRO</t>
  </si>
  <si>
    <t>SISTEMA INTEGRADO DE GESTIÓN</t>
  </si>
  <si>
    <t>*  Por insinuaciones o solicitudes de terceros externos o internos</t>
  </si>
  <si>
    <t>Han sido eficaces en el sentido que no se han presentado casos de corrupción o soborno al interior de la compañía.</t>
  </si>
  <si>
    <t>Capitulo BASC</t>
  </si>
  <si>
    <t>* Cese de actividades por fuerza mayor o caso fortuito.</t>
  </si>
  <si>
    <t>Gobierno nacional.
Entidades territoriales.
Circunstancias ambientales.
Personas externas.</t>
  </si>
  <si>
    <t>* Disposiciones nacionales de contención, de epidemias y pandemias u otros eventos de fuerza mayor o casos fortuitos.
* Por que surge de manera inesperada, sin tenerse plan de contingencia para enfrentarlo.</t>
  </si>
  <si>
    <t>*Conexión remota para tener acceso a la información y al programa contable.
*Solicitud a todas las partes interesadas del envío de facturas y documentos contables vía e-mail.
* Envío de facturas a los clientes vía e-mail solicitando confirmación de recibido.
* Solicitud de notificación de compras a todos los líderes de procesos, para así realizar seguimiento a las facturas pendientes de entrega por parte de los proveedores.
* Almacenamiento de la información en el equipo corporativo.
* Establecimiento de plan de trabajo y asignación de responsabilidades con fechas concretas de entrega.
* Comité de Gerencia mensual.</t>
  </si>
  <si>
    <t>* Correos electrónicos.
* Almacenamiento de la información.
* Carátulas comité de Gerencia.
* Las actividades contables han logrado efectuarse de manera remota, garantizando la continuidad del proceso.</t>
  </si>
  <si>
    <t>Capacitación en como trabajar desde casa forma segura y los hábitos que se deben implementar para continuar con el cumplimiento de los objetivos organizacionales</t>
  </si>
  <si>
    <t>Directora Contable y Financiera</t>
  </si>
  <si>
    <t>CONTEXTO</t>
  </si>
  <si>
    <t>* Incumplimiento al decreto 2147 y 1165.</t>
  </si>
  <si>
    <t>CADENA DE SUMINISTRO, POLÍTICA, PI Y ALCANCE</t>
  </si>
  <si>
    <t>POLÍTICA</t>
  </si>
  <si>
    <t>PI</t>
  </si>
  <si>
    <t>CONTEXTO Y PI</t>
  </si>
  <si>
    <t>PI Y POLÍTICA</t>
  </si>
  <si>
    <t>* Disposiciones nacionales de contención, de epidemias y pandemias u otros eventos de fuerza mayor o casos fortuitos.
* Amenaza de Atentado terroristas.</t>
  </si>
  <si>
    <t>* Incumplimiento en compromisos propios del proceso.
* Pérdidas de bienes financieros y  estructurales.</t>
  </si>
  <si>
    <t>ALCANCE</t>
  </si>
  <si>
    <t>Tercero  o personal interno</t>
  </si>
  <si>
    <t>Colaboradores, visitantes, contratistas,
proveedores</t>
  </si>
  <si>
    <t>* Por el incumplimiento a las normas dispuestas por la Autoridades Nacionales y/o Locales y por el incumplimiento a los protocolos de bioseguridad para el manejo y control de la pandemia establecido dentro de la organización. Así mismo, se ocasiona por el no uso de las medidas de protección establecidas y por la falta de autocuidado de cada uno.</t>
  </si>
  <si>
    <t>Sucede en el momento que no se da cumplimiento a
las directrices impartidas por las Autoridades Nacionales por
parte de cada persona.</t>
  </si>
  <si>
    <t>* Protocolo de bioseguridad. 
* Capacitaciones a todo el persona. 
* Entrega de EPP. 
* Seguimiento estado de salud de los colaboradores. Seguimiento al cumplimiento del protocolo de bioseguridad.
* Disposición de lavamanos, toma de temperatura y
tapabocas al ingreso al parque. 
* Seguimiento a las empresas usuarias del cumplimiento a los protocolos de bioseguridad. 
* Restricción ingreso a la empresa.
* Restricción ingreso por incumplimiento de los
protocolos. 
* Aprobación trabajo remoto. 
* Aprobación trabajo por turnos. 
* Cumplimiento a la Normatividad emitida por las autoridades Nacionales. 
* Sanciones disciplinarias a los colaboradores por incumplimiento a los protocolos de bioseguridad.</t>
  </si>
  <si>
    <t>* Soportes de entrega de EPP.
* Registros de capacitaciones.
* Socialización de protocolos de bioseguridad.
* Evidencia por medio de cámaras del cumplimiento del protocolo al ingreso al parque y a las oficinas.</t>
  </si>
  <si>
    <t>* Colaboradores en estado de cuarentena lo cual
genera el no contar con personal calificado para el
desarrollo de sus actividades. 
*No operación de áreas
fundamentales para el cumplimiento del objetivo de la empresa. 
* Aumento de ausentismo dentro de la organización. *Cierre del ingreso al parque.
* Enfermedad laboral.</t>
  </si>
  <si>
    <t>* Elaboración protocolo trabajo remoto.</t>
  </si>
  <si>
    <t>30 de junio de 2020</t>
  </si>
  <si>
    <t>* Dirección Gestión Administrativa.</t>
  </si>
  <si>
    <t>hecho imprevisto sin culpa del proceso que obligue a suspender actividades presenciales.</t>
  </si>
  <si>
    <t xml:space="preserve"> 1) Septiembre 2020
 2) octubre 2020
 3) diciembre 2020</t>
  </si>
  <si>
    <t xml:space="preserve"> Dirección Jurídica y PH, Dirección Administrativa y Analista de Sistemas</t>
  </si>
  <si>
    <t>Gobierno nacional.
Entidades territoriales.
Eventos naturales</t>
  </si>
  <si>
    <t>* Disminución o imposibilidad de generación de ingresos.
* Incumplimiento de los compromisos financieros.
* Copias de seguridad irregulares.</t>
  </si>
  <si>
    <t>Segundo semestre del año</t>
  </si>
  <si>
    <t>DIAN MIN.COMERCIO</t>
  </si>
  <si>
    <t xml:space="preserve"> </t>
  </si>
  <si>
    <t>.</t>
  </si>
  <si>
    <t>Solicitar información a los usuarios sobre las sumas de inversión que llevan hasta el momento y el numero de empleados que tiene cada uno.</t>
  </si>
  <si>
    <t>Coord. Comercial y SC</t>
  </si>
  <si>
    <t>* Recesión económica.</t>
  </si>
  <si>
    <t>* Factores Naturales, ambientales.
* Gobierno (políticas económicas).
* Terceros de manera intencional o accidental.</t>
  </si>
  <si>
    <t>* Controles presupuestales.
* Control de revisión del Gasto.
* Modificación de financiamiento a largo plazo.</t>
  </si>
  <si>
    <t>* Revisión presupuestal.
* Revisión del Gasto</t>
  </si>
  <si>
    <t>Puede evidenciarse cuando se presenta un crecimiento negativo del producto interno bruto nacional en al menos 2 trimestres consecutivos. Igualmente, puede evidenciarse el incremento en los índices de desempleo a nivel nacional así como la contracción del consumo de las personas.</t>
  </si>
  <si>
    <t>Por factores macro económicos que impactan la economía colombiana, desaceleración de la misma o por situaciones externas como crisis ambientales, sanitarias o pandemias. Situaciones de post guerra, entre otras afectaciones.</t>
  </si>
  <si>
    <t>Gerencia
Dirección Contable y Financiera</t>
  </si>
  <si>
    <t>Sistema Integrados de Gestión, Comités de Gerencia, Junta directiva, Asamblea de socios, Revisoría Fiscal, Auditoría Externa, a los sistemas de gestión y a la operación.</t>
  </si>
  <si>
    <t>* Menores ingresos por el bajo desempeño de la economía y que generan impacto en la operación.
* Disminución de clientes potenciales y postergación de  proyectos.
* Contracción del consumo de los hogares y sector industrial que impacta el funcionamiento de las empresas al interior de la zona franca y por ende a la compañía.</t>
  </si>
  <si>
    <t>* Ajustes contractuales.
* Actas de refinanciación de créditos. 
* Suspensión de contratos.
Han sido efectivos los controles, ya que se ha logrado en la actualidad continuar con algunas actividades de la compañía, en menor nivel pero no se paró de manera permanente.</t>
  </si>
  <si>
    <t>* Incumplimiento de requisitos y compromisos ligados al otorgamiento de la declaratoria, como generación de empleo, generación de economías de escala, etc.
* Cumplimiento de plazo inicial sin la aprobación de la extensión de la declaratoria.</t>
  </si>
  <si>
    <t>* Aumento en el desempleo.
* Cierre de Empresa.
* Afectaciones económicas.
* Posibles demandas por pérdida de la declaratoria.</t>
  </si>
  <si>
    <t>* Desde el Proceso de Operaciones se envía el reporte trimestral de generación de empleo.
* Se maneja matriz de requisitos legales, con la cual se evalúa el cumplimiento de estos.
* Desde la parte de Comercial se maneja el seguimiento de propuestas comerciales, incentivando la atracción de nuevas empresas.
* Soporte de radicación de informe ante ministerio y DIAN.</t>
  </si>
  <si>
    <t>Insinuación de terceros.
Cumplimiento de disposiciones legales sin el lleno de requisitos aplicables.</t>
  </si>
  <si>
    <t>* Se mantiene permanencia en las afiliaciones a entidades que brinden actualidad legal, con el fin de poder socializar por medio de capacitaciones a los usuarios.
* Se crean estrategias de ventas con diferenciadores significativos, como resultado de estudios, logísticos.</t>
  </si>
  <si>
    <t xml:space="preserve">* Asistencia a reuniones que promueven la inversión en el país y ayudan a la expansión de la región.
* Reuniones de actualización en cuanto al avance comercio exterior colombiano.
* Agilización de la petición de incentivos tributarios al gobierno local
</t>
  </si>
  <si>
    <t>* Seguimiento a clientes potenciales.
*Contar con una propuesta de valor agregado diferenciadora y que no se base solo en los beneficios del régimen.
* Participación en escenarios donde se dan los cambios en la normatividad del régimen franco, como la cámara de zonas francas de la Andi.
*Análisis de clientes Actuales.
* Capacitaciones al proceso Comercial y Servicio al Cliente.
* Acercamiento al usuario calificado.</t>
  </si>
  <si>
    <t>* Desde el área comercial, se lleva un seguimiento a todas las propuestas comerciales, garantizando no perder el contacto con el cliente.
* Las propuestas comerciales cuentan con factores diferenciadores que incentivan al cliente extranjero y nacional a establecerse en el parque, como lo  son los costos logísticos, cercanías a las principales ciudades y puerto de Buenaventura.
* Permanentemente el Coordinador comercial y de servicio al cliente se capacita. (ver plana de formación).
* Se cuenta con canales de comunicación cliente ZF, que garantiza la comunicación entre ambas partes.</t>
  </si>
  <si>
    <t>* Agilización de la petición de incentivos tributarios al gobierno local</t>
  </si>
  <si>
    <t>* Se mantienen las certificaciones en las normas BASC e ISO 28000.
* Por parte del área comercial, se realiza la socialización del manual de identidad visual.
* Se cuenta con un equipo de mantenimiento, quienes velan por el cuidado integral de las instalaciones y áreas comunes del parque así como una adecuada administración de los residuos.</t>
  </si>
  <si>
    <t>* Pérdida de cliente potencial o fijo</t>
  </si>
  <si>
    <t>* Descalificación de usuarios.
* Pérdida del interés de los clientes potenciales y fijos en instalarse o permanecer en la ZF</t>
  </si>
  <si>
    <t>* Por incumplimiento de las necesidades y expectativas de los clientes.</t>
  </si>
  <si>
    <t>* Disminución en la atracción de nuevos usuarios para el parque.  
*Pérdida de confiabilidad del cliente. 
* Afectación a la imagen corporativa.
* Pérdida de clientes actuales.</t>
  </si>
  <si>
    <t>* Canal de atención de PQRS.
* Control de propuesta comerciales.
* Encuesta de Satisfacción al cliente.
* Cumplimiento de requisitos normativos.
* Responsabilidad otorgada para la admón. del parque.</t>
  </si>
  <si>
    <t>* Se cuenta con protocolo de atención oportuna de PQRS, el cual garantiza respuesta oportuna de las inquietudes de los clientes.
* Se lleva un indicador de envío de propuestas comerciales enviadas, garantizando el contacto permanente con el cliente, así como asesoría en los requisitos a cumplir desde el inicio hasta el fin, así como también se opta por la capacidad de negociación.
* Se evalúa la satisfacción de manera anual, con el fin de identificar focos de mejora que permitan aumento de un buen servicio.
* La ZF, se rige bajo la normatividad de ZF`s y estatuto aduanero.</t>
  </si>
  <si>
    <t>Conceptos erróneos de la organización por parte de la comunidad</t>
  </si>
  <si>
    <t>* Plan de capacitación</t>
  </si>
  <si>
    <t>* Se lleva a cabo el desarrollo de diversas capacitaciones con temas relacionados a  la Zona Franca.</t>
  </si>
  <si>
    <t>Desventaja competitiva.
Bajo interés en clientes potenciales para instalarse en ZF.</t>
  </si>
  <si>
    <t>* Propuestas comerciales con factor diferenciador (localización).
* Seguimiento permanente a propuestas comerciales.
* Uso Continuo de redes sociales.</t>
  </si>
  <si>
    <t>* En la actualidad se cuenta con diferentes propuestas comerciales abiertas así como también se evidencian registros de 3 nuevas empresas.</t>
  </si>
  <si>
    <t>Revocatoria de la declaratoria como zona franca.</t>
  </si>
  <si>
    <t>*No se cumple con los empleos exigidos. 
*No se cumple con la inversión exigida. 
*Hallan operaciones avaladas por parte de U.O.
*El Ministerio no renueva la declaratoria.</t>
  </si>
  <si>
    <t>* Perdida de competitividad frente a otros parques industriales y ZF´s.
*Perdida de clientes para seguir operando desde el parque industrial.
*Cero beneficios aduaneros y tributarios nacionales y locales.</t>
  </si>
  <si>
    <t>* Informes trimestrales donde se muestran el numero de empleados e inversiones que cada empresa tiene.
* Controles a las operaciones de cada usuario.
*Controles a los inventarios de los usuarios.
*Inspección física por parte de la Dian.</t>
  </si>
  <si>
    <t>* Son eficaces ya que se mantiene la declaratoria y nunca ha surgido ningún inconveniente ante las entidades competentes.
* Con los informes que se le envían trimestralmente al ministerio.
*Con los informes de inventarios físicos.
*Informes a las inspecciones que hace la Dian.</t>
  </si>
  <si>
    <t>desarrollo de las tecnologías en cuanto a comunicación</t>
  </si>
  <si>
    <t>Transferencia de información de interés entre empresas de ZF y externas</t>
  </si>
  <si>
    <t>Dinámica organizacional interna y externa.</t>
  </si>
  <si>
    <t>* Se verificar eficacia en diciembre del 2020.</t>
  </si>
  <si>
    <t>* Se establecieron desde el proceso de operaciones los procedimientos a seguir de acuerdo  a la legislación aplicable, controlados a su vez por un sistema de gestión documental.
* Se realiza de manera anual una auditoria externa a los usuarios, con el fin de verificar la consistencia en los procesos de comercio exterior realizados por los usuarios.
* De manera anual se realizan simulacros a los riesgos altos y de manera aleatoria a los riesgos medios, con el fin de evaluar la respuesta a eventos críticos.</t>
  </si>
  <si>
    <t>Auditor Externo Linco</t>
  </si>
  <si>
    <t>* Se cuenta con personal de Operaciones, el cual se encarga de la revisión de los precintos de la cargas, así como también se controla por parte del personal de seguridad el ingreso y salida de personal  y de vehículos y realizan practicas que garantizan la seguridad (rondas).
* Se cuentan con monitoreo 24/7.
* A la fecha se evidencia reportes a la UIAF, los cuales han sido sin novedad.</t>
  </si>
  <si>
    <t>* Se toma capacitación de Gestión del riesgo ISO 31000 por parte de la directora de operaciones y 2 analistas de operaciones.</t>
  </si>
  <si>
    <t>Desarrollo de trabajo colaborativo entre los clientes, la ZF y los entes de control.</t>
  </si>
  <si>
    <t>* Se garantiza la entrega del 100% de la dotación con logo por parte del personal retirado, según registro de paz y salvo, y actas de destrucción de logos. así mismo se garantiza  la devolución de prendas con logo en momento de renovación de dotación.
* El personal contratado, no presenta ningún reporte negativo en la verificación de antecedentes, así mismo se evidencia comportamiento adecuado según el reglamento de trabajo.
* No se presentan eventos delincuenciales dentro de la compañía, propiciados por personal interno de  la organización.</t>
  </si>
  <si>
    <r>
      <t xml:space="preserve">*Aplicación de procedimientos de selección y contratación.
</t>
    </r>
    <r>
      <rPr>
        <sz val="12"/>
        <color rgb="FFFF0000"/>
        <rFont val="Arial"/>
        <family val="2"/>
      </rPr>
      <t xml:space="preserve">
* Realización de visita domiciliaria por parte de entidad de seguridad.</t>
    </r>
  </si>
  <si>
    <t>* Mediante la renovación de los contratos se demuestra la eficacia en cuanto al proceso de selección de personal adecuada, así como el cumplimiento de los indicadores de cada proceso, adicionalmente en comparación con empresas del mismo sector el nivel de accidentalidad es bajo, esto demuestra que la selección se realiza adecuadamente.</t>
  </si>
  <si>
    <r>
      <t xml:space="preserve">* Identificación de peligros y riesgos
* Plan de emergencia 
* Inducción y reinducción del cargo  
* Plan Estratégico de Seguridad Vial 
* Programas de promoción y prevención (PYP).
* Seguimiento a los conceptos médicos ocupacionales.
* Plan de formación.
</t>
    </r>
    <r>
      <rPr>
        <sz val="12"/>
        <color rgb="FFFF0000"/>
        <rFont val="Arial"/>
        <family val="2"/>
      </rPr>
      <t>* Seguimiento a reportes de incidentes y condiciones y actos  inseguros.
* Entrega de EPP.</t>
    </r>
  </si>
  <si>
    <t>* Nivel de consecuencia de los accidentes en el 2019, son menores con respecto a años anteriores, así como con el nivel de ausentismo por esta causa es menor al de años anteriores.</t>
  </si>
  <si>
    <t>* Simulacro con énfasis de sensibilización</t>
  </si>
  <si>
    <t xml:space="preserve">*Luego de realizar pruebas de ingreso o aleatorias, el resultado es positivo. 
</t>
  </si>
  <si>
    <t>Económicos
humanos</t>
  </si>
  <si>
    <t>* Por falta de control y seguimiento a los requerimientos generales y específicos de un contrato con terceros.
* Elección de proveedores y contratistas inadecuadamente.</t>
  </si>
  <si>
    <t>* Reprocesos.
* Improductividad.
* Demandas.</t>
  </si>
  <si>
    <t>* Implementación de procedimiento de Asociados de Negocios, Compras.
* Análisis de cotizaciones previas.
* Seguimiento al producto o servicio prestado.
* Evaluación del proveedor.</t>
  </si>
  <si>
    <t>*  Retroalimentación del procedimiento de compras y análisis de admón. de PPTO</t>
  </si>
  <si>
    <t>Por incumplimiento de requisitos normativos de carácter laboral.</t>
  </si>
  <si>
    <t>* Afectación a la imagen corporativa.
* Pérdidas económicas</t>
  </si>
  <si>
    <t>* Cumplimiento a Reglamento de trabajo.
* Pago oportuno de nominas.
* Cumplimiento al código sustantivo de trabajo.</t>
  </si>
  <si>
    <t>* Dificultad en la consecución de proveedores.
* tardanza en la ejecución de actividades programadas.
* Afectación a la imagen corporativa.</t>
  </si>
  <si>
    <t>* Permanecía del proveedor a lo largo del tiempo.
* Aumento en los proveedores recurrentes</t>
  </si>
  <si>
    <t>* Baja estabilidad laboral.
* nivelación salarial deficiente.
* Nula posibilidad de ascender y de estudiar.</t>
  </si>
  <si>
    <t>* Plan de bienestar días compensatorios, actividades de bienestar e incentivos).
* Promoción de cargo.
* Licencias remuneradas para educación.</t>
  </si>
  <si>
    <t>* Socialización de los punto aplicables al corrupción y soborno, contenidos dentro del reglamento de trabajo y el código de ética y buen gobierno.</t>
  </si>
  <si>
    <t>flujo de comunicación fragmentada.</t>
  </si>
  <si>
    <t>* Conceptos de interés manejados por personal de algunas áreas que son funcionales para otras personas.</t>
  </si>
  <si>
    <t>* Desde el proceso de Gestión Administrativa se maneja el cumplimiento del procedimiento de compras, siguiendo unos lineamientos de control establecidos para los diferentes momentos de una compra (antes, durante y después).
* Mantenimiento de proveedores a lo largo del tiempo.</t>
  </si>
  <si>
    <t>*Errores involuntarios de la Auxiliar Contable y Financiera.
*No pago de obligaciones financieras.
* Falta de recursos.
*Perdida de documentación que valide la obligación.
* Olvido involuntario por parte del personal responsable del pago.</t>
  </si>
  <si>
    <t>* Ha permanecido el cumplimiento del indicador de cartera, reflejando una optima gestión de los recursos, evidenciado en el análisis de indicador presupuestal de cada proceso, así mismo no se han presentado reportes negativos en centrales de riesgo.</t>
  </si>
  <si>
    <t>La información del área contable esta bajo custodia de la Directora Contable y la Auxiliar Contable, la cual cuenta con llaves de los archivadores y claves únicas de los portales y aplicaciones contables, razón por la cual no se ha presentado perdida de la información en ningún momento.</t>
  </si>
  <si>
    <t>* Se cuenta con un sistema de acceso restringido a la documentación sensible, dando cumplimiento a la política de llaves evitando de tal forma que la información se encuentre expuesta garantizando su custodia permanentemente.</t>
  </si>
  <si>
    <t>* Controles de proveedores.
* Control de llaves
* token bancarios. 
* Control del dinero a transportar. 
* Seguridad informática. 
* Capacitaciones de Seguridad Informática.
*Cambio de contraseñas bancarias (cada que el banco lo requiera).
* Póliza contractual.
* Manejo de tarjeta de crédito únicamente por la Gerencia.</t>
  </si>
  <si>
    <t xml:space="preserve">* Se verifica de acuerdo al plan de capacitación ejecución de la capacitación de seguridad informática, así como también se identifica el cambio de contraseñas bancarias por solicitud del banco, también se cuenta con token bancario.
</t>
  </si>
  <si>
    <t xml:space="preserve">*Falta de conocimiento.
/ Olvido involuntario.  
* Fallas en las plataformas de las entidades.
</t>
  </si>
  <si>
    <t>* Se verifican pago de obligaciones dentro del tiempo establecido para hacerlo, la información contable es revisada por la revisoría fiscal, presentando normalidad en las actividades del proceso.</t>
  </si>
  <si>
    <t>* Se efectúa capacitación actualización tributaria el 28 de enero.
* Se efectuó diplomado con el banco de occidente, del 3 de febrero al 24 de febrero.</t>
  </si>
  <si>
    <t>Este se da ante la imposibilidad de desarrollar las labores de manera presencial.</t>
  </si>
  <si>
    <t>* Se efectúa capacitación de Teletrabajo, tecnologías y protecciones fundamentales de ciberseguridad el 10 de junio del 2020: https://mail.google.com/mail/u/1/#inbox/FMfcgxwHNqCRhzXwdvRXrVkbSmmtGhhV</t>
  </si>
  <si>
    <t>* Cuando una persona mal intencionada propone a un integrante del proceso saltar algún protocolo, suministrar información o conceder alguna petición que será posible concederse en condiciones normales a cambio de algún beneficio.</t>
  </si>
  <si>
    <t>* Se cuenta con un procedimiento de auditorias internas, el cual se cumple cada año por medio de auditorias internas y externas, garantizando la continuidad de las certificaciones.
* Dentro del plan de formación se encuentran establecidos temas tendientes a fortalecer las habilidades de los auditores internos.</t>
  </si>
  <si>
    <t>* Se realiza seguimiento a las acciones de mejora de los procesos, mediante los indicadores que controla el proceso SIG, así mismo se presentan los resultados en los comités de gerencia, para evidenciar el dinamismo y la mejora continua de la compañía, por medio de los procesos.</t>
  </si>
  <si>
    <t>* Se evaluará en diciembre de 2020.</t>
  </si>
  <si>
    <t>* Cada líder de proceso, tiene como responsabilidad realizar la copia de seguridad, con periodicidad semanal. El control a la ejecución de esta actividad es llevada por el proceso de TI, así como la administración de contraseñas y mantenimiento de los servidores.</t>
  </si>
  <si>
    <t>* Capacitación Seguridad informática
* Sensibilización uso único del Software de Gestión documental.</t>
  </si>
  <si>
    <t>* Se realizan simulacros a aquellos riesgos con riesgo residual alto, y aleatoriamente a los riesgos medios, con el fin de evaluar los procedimientos y protocolos de expuesta a eventos críticos y emergencias.</t>
  </si>
  <si>
    <t>* Durante el año se realizan diferentes capacitaciones sobre los temas a tratar.
* en las inducciones se socializan los lineamientos contenidos en el reglamento de trabajo y código de ética y buen gobierno, con respecto al riesgo de corrupción y sobornos.</t>
  </si>
  <si>
    <t>Imposibilidad de operar En el lugar</t>
  </si>
  <si>
    <t>Gobierno nacional.
Entidades territoriales.
Personal externo.
Circunstancias ambientales.</t>
  </si>
  <si>
    <t>* Trabajo remoto.
* Ajustes presupuestales.
* Comités de Gerencia.
* Herramientas de trabajo tecnológicas adecuadas.</t>
  </si>
  <si>
    <t>* Actualmente con la aparición de la pandemia COVID-19, el proceso SIG a podido continuar con gran parte de sus labores mediante trabajo remoto, garantizando la continuidad del proceso y el cumplimiento de planes de trabajo establecidos.
* Actas de comité de Gerencia.
* Manejo de PPTO ajustado a la necesidad.
* Manejo de Equipo de cómputo corporativo.</t>
  </si>
  <si>
    <t>* Durante la última semana del mes de mayo y primera del mes de junio, se llevan a cabo las auditorias internas de manera remota para las normas BASC e ISO 28000, logrando culminar la actividad de manera satisfactoria, según el plan de auditoría establecido de manera previa.
*  Se verificará en Diciembre del 2020.</t>
  </si>
  <si>
    <t>* se realiza el diagnostico SAM por parte del proveedor TEK SOLUCIONES, el cual dio satisfactorio para la  vigencia 2019.
entrega con cuenta de administrador y cuenta estándar.
* Cada vez que ingresa personal nuevo se realiza asignación de equipo dejando registro en el formato FO-TI-03.
* Verificación de cuentas de los usuarios con cada mantenimiento realizado.</t>
  </si>
  <si>
    <t xml:space="preserve">* Por estar visibles y escritas en lugares no seguros. 
* Autoguardado de contraseñas en los navegadores. 
* Por persuasión de un tercero (ingeniería social).
                         </t>
  </si>
  <si>
    <t xml:space="preserve">
* Administración de la plataforma de antivirus y revisión de informes.</t>
  </si>
  <si>
    <t>*Errores de conexión. *Insuficiencia en cuanto la capacidad de usuarios.  
*Des configuración de redes y datos. 
* Daños ocasionados por terceros.</t>
  </si>
  <si>
    <t>* revisión periódica de los puntos de red.
* Monitoreo de la velocidad ofrecida por el proveedor de internet.
* Configuración de redes y datos.
* Restricción de paginas de alto consumo de datos innecesarias.</t>
  </si>
  <si>
    <t>* Mantenimiento preventivo para los  equipos (semestrales)
* Depuración mensual de registros del sistema de ingresos</t>
  </si>
  <si>
    <t>* Se realiza mantenimiento preventivo de manera semestral a cada equipo, se deja registro en el formato FO-TI-02.
* Funcionalidad permanente y rápida del sistema de ingresos.</t>
  </si>
  <si>
    <t>* sensibilización en cuanto al buen uso de los equipos de computo.</t>
  </si>
  <si>
    <t xml:space="preserve">* Red informática con buena capacidad de conexión para los servidores 
* Herramientas para el trabajo remoto
* Disponibilidad de equipos de computo para el préstamo a colaboradores para que puedan continuar sus labores desde el hogar.
* Planes de internet móvil adecuados para el funcionamiento de procesos vitales para la continuidad de la operación. </t>
  </si>
  <si>
    <t>Hasta el momento muy eficaces ya que no se a materializado ninguna situación donde debamos suspender nuestras actividades por un periodo prolongado, cada colaborador siguió realizando la mayoría de sus funciones desde sus hogares y como tal el funcionamiento de la empresa no se ha visto afectado en gran medida, los podemos evidenciar en el comité de Gerencia, donde se describen todas las actividades realizadas durante el mes</t>
  </si>
  <si>
    <t>*  Fortalecer los conocimientos de los colaboradores en cuanto al uso de herramientas digitales disponibles en la red. 
* Programar mesas de trabajo diagnostico con los procesos para identificar los registros que se puedan digitalizar.
* Registros existentes digitalizar y almacenar virtual.
* Fortalecimientos a las herramientas y equipos.</t>
  </si>
  <si>
    <t>Gestión de Tecnología e informática</t>
  </si>
  <si>
    <t>* Visitas domiciliarias, capacitaciones, estudio de seguridad al personal. 
* Código de Ética Buen Gobierno.
* Reglamento de trabajo.</t>
  </si>
  <si>
    <t>* Participación en capacitaciones referentes al tema de corrupción y soborno.</t>
  </si>
  <si>
    <t>Se sugieren los proponentes de la ejecución de obras y no se tiene en cuenta la modalidad de contratación para su ejecución</t>
  </si>
  <si>
    <t xml:space="preserve">*Junta directiva
*Gerencia 
*Dirección Técnica </t>
  </si>
  <si>
    <t>*Por no tener clara la modalidad de contratación buscando alternativas en función de menores costos. 
*Por causas externas como factores climáticos.</t>
  </si>
  <si>
    <t xml:space="preserve">* No se realizan las obras en los tiempos requeridos.
* Mayores costos en la ejecución de los proyectos. </t>
  </si>
  <si>
    <t xml:space="preserve">Se revisan las modalidades de contratación una vez se llega a una negociación aprobada por la Junta Directiva o por la Gerencia. 
</t>
  </si>
  <si>
    <t>Con cada cotización o propuesta de servicios u obra civil, se revisa que lo establecido en los contratos sea coherente con lo que realmente se cotizó, de tal manera que se cumplan con los requerimientos y solicitudes pactadas entre proveedor y contratante.</t>
  </si>
  <si>
    <t xml:space="preserve">Notificar a la gerencia las observaciones acerca de la  modalidad de contratación, (en caso de que se evidencie posible materialización del riesgo). </t>
  </si>
  <si>
    <t xml:space="preserve">Al momento de la negociación o durante el proceso de selección de las ofertas  </t>
  </si>
  <si>
    <t xml:space="preserve">Dirección Técnica </t>
  </si>
  <si>
    <t xml:space="preserve">* Usuarios 
* Dirección Técnica 
* Condiciones ambientales </t>
  </si>
  <si>
    <t xml:space="preserve">
* Falta de recursos para la ejecución de presupuesto
* La no ejecución de un programa de mantenimiento.</t>
  </si>
  <si>
    <t xml:space="preserve">* Mal aspecto de la infraestructura y mobiliario físico.
* Siniestros.
* Accidentes laborales. 
* Perdidas humanas y económicas. </t>
  </si>
  <si>
    <t>* Ejecución del Cronograma de mantenimiento. 
* Seguimiento predictivo del estado de la infraestructura. 
* Planeación y ejecución de presupuesto. 
* Atención de las solicitudes relacionadas con mantenimientos.
* Reporte de incidentes, actos y condiciones inseguras.</t>
  </si>
  <si>
    <t>Estos controles permiten identificar las posibles fallas que a futuro se pueden presentar en los equipos, herramientas e infraestructura, de tal forma que se puedan implementar acciones para mejorar el estado de estos o si bien se requiere ejecutar el cambio. así mismo se permite controlar los presupuestos y prever costos adicionales, logrando una atención oportuna a las diferentes solicitudes técnicas.</t>
  </si>
  <si>
    <t xml:space="preserve">*Contratistas.
*Dirección Técnica. </t>
  </si>
  <si>
    <t xml:space="preserve">Desconocimiento de la norma y estándares por parte del contratista y de la Dirección Técnica. </t>
  </si>
  <si>
    <t>* Revisión de normas y estándares de calidad por parte del contratante.
* Interventorías de obra.
* Evaluación de proveedores.</t>
  </si>
  <si>
    <t>Mediante la actualización de la matriz de requisitos legales, se garantiza el cumplimiento de la normatividad aplicable, así mismo se controla el cumplimiento de la normatividad y estándares en los contratistas mediante interventorías realizadas por el proceso técnico o con consultores externos, así como la realización de la evaluación de los proveedores.</t>
  </si>
  <si>
    <t xml:space="preserve"> Actualización de norma y estándares de construcción en matriz de requisitos legales </t>
  </si>
  <si>
    <t xml:space="preserve">* Dirección Jurídica y PH 
* Dirección Técnica </t>
  </si>
  <si>
    <t>*Error en los pesajes 
*Operación poco confiable 
*Sanciones en normatividad del régimen de ZF</t>
  </si>
  <si>
    <t>*Mantenimiento predictivo 
*Mantenimiento preventivo y calibración de la báscula.
* Supervisión de personal idóneo como laboratorios o servicios de calibración.</t>
  </si>
  <si>
    <t>* Confiabilidad constante en los registros de pesos, a causa de las calibraciones programadas por parte de los laboratorios certificados para tal fin.</t>
  </si>
  <si>
    <t xml:space="preserve">Dirección técnica </t>
  </si>
  <si>
    <t xml:space="preserve">* Proveedor de servicios 
* Equipos de logística externa necesarios para mantenimiento predictivo y calibraciones </t>
  </si>
  <si>
    <t>Manejo inadecuado de información  suministrada a terceros.</t>
  </si>
  <si>
    <t xml:space="preserve">Entregando información o documentación tales como planos, estudios, entre otros a proveedores y posibles clientes </t>
  </si>
  <si>
    <t xml:space="preserve">* Necesidad del proceso Gestión Comercial y de Servicio al Cliente, Gestión Técnica, Gerencia y Junta Directiva del suministro de dicha información a terceros. </t>
  </si>
  <si>
    <t>* Soporte de envío de información por medio de correo electrónico. 
* Notificación del manejo de confidencialidad sobre la información suministrada en el correo del remitente.</t>
  </si>
  <si>
    <t>* De manera permanente en los correos remitentes se anexa de manera predeterminada el aviso de manejo de información confidencial.</t>
  </si>
  <si>
    <t xml:space="preserve">* Dirección Técnica
* Analista TI .
</t>
  </si>
  <si>
    <t>* Disminución o imposibilidad de generación de ingresos.
* Incumplimiento de los compromisos financieros.
* No ejecución de las actividades de mantenimiento programadas.</t>
  </si>
  <si>
    <t>* Implementación de protocolos de bioseguridad.
* Ajustes en los protocolos de ingreso.
* Fortalecimiento en las entregas de los elementos de protección personal.
* Implementación de trabajo remoto.
* Seguimiento a encuesta de condiciones de salud.
* * Reprogramación de las actividades con proveedores de servicio de mantenimiento.</t>
  </si>
  <si>
    <t>Daños físicos, muerte, detrimento económico, confianza comercial.
Poca confiabilidad de otros proveedores del mercado con posibilidades de ofrecer mejores servicios y mejores precios.
Baja calidad de los trabajos.
Detrimento del recurso económico.</t>
  </si>
  <si>
    <t>* Hasta la fecha no se han presentado actos de vandalismo o terrorismo asociados al uso de información suministrada por el proceso.  Los remitentes en su mayoría son personas jurídicas o funcionarios de las mismas.
* *Siguiendo el procedimiento PR-TC-03 - se tiene una valoración previa de los costos o presupuesto oficial de un servicio u obra, dicho presupuesto es elaborado con precios y rendimientos locales, el cual es presentado a la Gerencia previa difusión, con el fin de tener una base que sirve para identificar posibles sobrecostos, asociados al riesgo analizado.
*Siempre que se requiere cotizar servicios u obras se presenta variedad de ofertas para su respectivo análisis y aprobación por parte de gerencia.
*Los mecanismos de control son validados por la Gerencia con la respectiva justificación o análisis de las cotizaciones.</t>
  </si>
  <si>
    <t>Presentar el indicador de presupuesto (administrativo y obras), identificando los rubros o ítems que se encuentren con sobre costos y la justificación de dicho sobrecosto; validada por el jefe inmediato (Gerencia) en comité de gerencia.
Implementación de backup del correo electrónico del proceso para no perder dicha información cuando el servidor se encuentre saturado</t>
  </si>
  <si>
    <t>Dirección Técnica
Tecnología e informática / Dirección Técnica</t>
  </si>
  <si>
    <t>* Se realiza actualización de la parte técnica en el mes de enero en la cual se incluye normatividad aplicable.
* Se revisará en el mes de octubre nuevamente.</t>
  </si>
  <si>
    <t xml:space="preserve">* Comunidad cerca al perímetro.
</t>
  </si>
  <si>
    <t>* Hurto, daños a las estaciones o al personal.
* Lesiones físicas.
* Afectación a la imagen corporativa.</t>
  </si>
  <si>
    <t>* Desde el CCTV, se maneja software de marcación quien permite evidenciar en tiempo real el proceso de marcación.
* Al final de cada turno de monitoreo se envía un informe con las ocurrencias del día o noche según aplique.
* En el CCTV existen cámaras que permiten evidenciar en tiempo real que el personal de esa área si este realizando las labores.
* Las evaluaciones de desempeño han arrojado resultados satisfactorios.</t>
  </si>
  <si>
    <t>* Capacitación en manejo tecnológicos.
* Retroalimentación con el esquema de seguridad en prevención e implementación de medidas de seguridad.</t>
  </si>
  <si>
    <t>* Personal de seguridad.
* Personal de mantenimiento zonas comunes.
* Dirección Jurídica y PH.</t>
  </si>
  <si>
    <t xml:space="preserve">Condiciones climáticas y deterioro de los arboles alrededor del perímetro </t>
  </si>
  <si>
    <t>Crecimiento de árboles cerca al cerramiento perimetral, fuertes lluvias que pueden ocasionar desprendimiento de ramas dañando la malla.
* Personal externos que intervine las áreas cercanas al cerramiento.</t>
  </si>
  <si>
    <t xml:space="preserve">* Daños a las estaciones, al personal y terceros 
*Facilitar el acceso de intrusos. </t>
  </si>
  <si>
    <t>* El monitoreo de plan de mantenimiento permite controlar el crecimiento de vegetación que pueda llegar a afectar la estructura del cerramiento, así mismo desde el área de monitoreo se apoya en el control visual e identificación de fallas al respecto.</t>
  </si>
  <si>
    <t>Alguna correspondencia y paquetes son entregados por personas no identificados que no son de empresas reconocidas que realicen el oficio. Desayunos sorpresas, cartas, almuerzos…entre otros</t>
  </si>
  <si>
    <t xml:space="preserve">Falta de cumplimiento del personal con relación a las políticas y procedimientos para autorizar el ingreso de este tipo de objetos </t>
  </si>
  <si>
    <t>* Atentados, 
* Pérdida de vidas. * Daños estructurales.
* Pérdidas económicas.</t>
  </si>
  <si>
    <t>* Procedimiento de ingresos.
* Control por parte de auxiliares de ingreso y personal de seguridad en cuanto a revisión de bolsos y vehículos.</t>
  </si>
  <si>
    <t>* El procedimiento garantiza solo el ingreso de personal autorizado.
* Se maneja la revisión de los elementos portados por cada persona que ingresa a las instalaciones.</t>
  </si>
  <si>
    <t>* Sensibilización con el personal con tips para identificar paquetes sospechosos (material de lectura etc.)</t>
  </si>
  <si>
    <t>* Dirección Jurídica y Propiedad Horizontal.
* SIG</t>
  </si>
  <si>
    <t xml:space="preserve">Posibilidad de ingreso de empleados, contratistas, visitantes, proveedores y vehículos no autorizados </t>
  </si>
  <si>
    <t>Incumplimiento de los procedimientos establecidos para el ingreso y desactivación de tarjetas de proximidad.</t>
  </si>
  <si>
    <t>* No se presenta a la fecha novedades relacionadas con el riesgo, que puedan afectar la seguridad de los usuarios, evidenciándose una satisfacción al cliente optima en lo que a este aspecto concierne.</t>
  </si>
  <si>
    <t>* desactivación de tarjetas de proximidad al personal de seguridad e ingresos.</t>
  </si>
  <si>
    <t xml:space="preserve">Dirección Jurídica y PH </t>
  </si>
  <si>
    <t>Falta de mantenimiento en el perímetro externo a la Zona Franca.</t>
  </si>
  <si>
    <t xml:space="preserve">* Intrusión de personal externo no autorizado. 
* No visualización de intruso por parte del CCTV </t>
  </si>
  <si>
    <t xml:space="preserve">* Vigilancia permanente por parte de los  rondero con control de punto de marcación mediante bastón electrónico, 
* CCTV, 
* Seguimiento del cronograma por parte del interventor del contrato. </t>
  </si>
  <si>
    <t xml:space="preserve">* Contratista 
* Dirección Técnica </t>
  </si>
  <si>
    <t>* Condiciones naturales 
* Falta de mantenimiento al CCTV 
* Manipulación de personal externo de las cámaras de seguridad.</t>
  </si>
  <si>
    <t>* Zonas fuera del alcance del CCTV. 
* Intrusión. 
* No activación de las alarmas frente a una emergencia.</t>
  </si>
  <si>
    <t xml:space="preserve">* Mantenimiento preventivo para las cámaras.
* Seguimiento de los cierres o activaciones por parte de la empresa de seguridad. </t>
  </si>
  <si>
    <t>* Las claves de apertura son asignadas solo a los lideres de proceso y en cada cierre se verifica con apoyo del personal de seguridad el armado de las alarmas.
* cada 4 meses se realiza mantenimiento a las cámaras por parte del proveedor de Seguridad Nacional.</t>
  </si>
  <si>
    <t xml:space="preserve">* Mantenimiento preventivo y correctivo del CCTV.
* Cambio programado de los convertidores de las cámaras y recarga y cambio de las UPS </t>
  </si>
  <si>
    <t>económicos</t>
  </si>
  <si>
    <t xml:space="preserve">Inundación por posible desbordamiento del rio Cauca </t>
  </si>
  <si>
    <t>Superación del nivel del muro de cerramiento a la cota 901.27 msnm, referenciado en el limite del  nivel del río a los 9.41 mts</t>
  </si>
  <si>
    <t xml:space="preserve">Exceso de lluvia continuada que supera los niveles del rio y de los jarillones perimetrales  </t>
  </si>
  <si>
    <t>* Se verifica durante temporada alta de lluvias monitoreo y seguimiento a los niveles del rio con el fin de prever una emergencia por inundación, así mismo se cuenta con un respuesta a eventos en donde se establece el protocolo de actuación en caso de materializarse el riesgo.</t>
  </si>
  <si>
    <t>Dirección Jurídica y PH 
SIG</t>
  </si>
  <si>
    <t xml:space="preserve"> Falla funcional, daño accidental, daño malicioso o terrorista y acción criminal. </t>
  </si>
  <si>
    <t>*No aplicación de medidas de seguridad por parte de trabajadores internos y personal de seguridad.  *Existencia de bandas delincuenciales al margen de la ley.</t>
  </si>
  <si>
    <t>* Aplicación de procedimientos de seguridad y plan de emergencias. 
* Póliza todo riesgo.
* Personal de seguridad calificado.</t>
  </si>
  <si>
    <t>Dirección Jurídica y Propiedad Horizontal</t>
  </si>
  <si>
    <t>*Verificación de precintos.             
*Acceso restringido al centro de operaciones.  
*Reporte de actividades sospechosas. 
*Capacitación del personal
* Circuito Cerrado de Televisión (CCTV).
* Actualización anual de datos de usuarios calificados.</t>
  </si>
  <si>
    <t xml:space="preserve">*Selección inadecuada de un asociado de negocio. </t>
  </si>
  <si>
    <t>* Aplicación del procedimiento de asociados de negocio, por medio de la revisión de antecedentes y demás a los asociados de negocios.</t>
  </si>
  <si>
    <t>Dirección Jurídica y PH</t>
  </si>
  <si>
    <t>* Inclusión de temas normativos dentro del plan de capacitación.
* Simulacro.</t>
  </si>
  <si>
    <t>Todos los procesos
Dirección Jurídica y PH</t>
  </si>
  <si>
    <t>Redacción e inclusión de cláusulas que perjudique los interés de la compañía</t>
  </si>
  <si>
    <t>Dirección Jurídica y Propiedad Horizontal.</t>
  </si>
  <si>
    <t>* Los modelos utilizados cumplen con la normatividad vigente haciendo que en materia de documentación se cumpla con los requisitos. 
* Se evidencia cumplimiento en el plan de capacitación en todas las áreas de la empresa.</t>
  </si>
  <si>
    <t>* Capacitación en temas laborales
* Capacitación  régimen franco.</t>
  </si>
  <si>
    <t>Desactualización de la información y la persona jurídica, no efectividad de los actos realizados por la compañía.</t>
  </si>
  <si>
    <t xml:space="preserve">La Dirección Jurídica y PH es quien elabora las actas de asamblea al ser secretaria desganada de la misma (única encargada de asamblea y junta directiva) </t>
  </si>
  <si>
    <t>Según aplique</t>
  </si>
  <si>
    <t>Calificación de usuarios sin la verificación de antecedentes previa.
No realizar oportunamente los reportes a la UIAF</t>
  </si>
  <si>
    <t>* Verificación de antecedentes de accionistas  y clientes periódica.
*Verificación de operaciones mensuales aleatorias de los usuarios .
*SIPLA
* Verificación previa de futuros usuarios/clientes.</t>
  </si>
  <si>
    <t xml:space="preserve">* * Reporte mensual de ausencia de operaciones sospechosas.
* Verificación anual de antecedentes, con resultados satisfactorios y se verifica reunión bimensual de comité SIPLA, en la cual se evalúa que los resultados de operaciones sospechosas es ausente. </t>
  </si>
  <si>
    <t xml:space="preserve">*Se realiza verificación de antecedentes de accionistas y represéntate legales de las empresas por calificar
* Seguimiento a los usuarios calificados </t>
  </si>
  <si>
    <t xml:space="preserve">* Al momento de calificación 
* ya calificados (anual) </t>
  </si>
  <si>
    <t>Listas de verificación de antecedentes</t>
  </si>
  <si>
    <t>* Cumplimiento de requisitos normativos, que hacen parte de la naturaleza de la ZF.
* Designación de Recurso económico para actividades de RSE.
* Canal de atención de PQRS y contacto permanente a inquietudes de cualquier tipo por parte de la comunidad.
* Generación de empleo formal en preferencia a la comunidad.
* Comunicación permanente con las autoridades del sector.</t>
  </si>
  <si>
    <t xml:space="preserve">* Por medio del proceso Comercial y de SC, se maneja el canal de atención de PQRS.
* El Proceso de GAD, efectúa actividades de carácter social en la comunidad, como por ejemplo entrega de KIT´S ESCOLARES.
* Desde el Proceso GAD, se procura en lo posible que cada nuevo empleado sea residente de la comunidad de Caimalito. </t>
  </si>
  <si>
    <t>* Comunicación con los líderes comunales para el reconocimiento de necesidades de la comunidad.
* Apoyo a la comunidad en la limpieza en caños.
* Realización de actividades según presupuesto RSE.</t>
  </si>
  <si>
    <t>Dirección Jurídica y PH, Gestión Técnica, Gestión Administrativa</t>
  </si>
  <si>
    <t>Un tercero o un hecho natural o biológico o disposición legal</t>
  </si>
  <si>
    <t>*  Hecho natural, biológico o por una acción de un tercero o por disposición de normas de carácter nacional o regional de obligatorio cumplimiento.</t>
  </si>
  <si>
    <t>* Parálisis de la operación, perdidas económicas por baja de ingresos o por no ejecución de  contratos suscritos por al compañía..</t>
  </si>
  <si>
    <t>* Asignación de tareas y labores  desde  casa, 
* Uso de las tecnologías de la empresa para  comunicación con colaboradores, clientes, proveedores. 
* Monitoreo de las tareas  asignadas de manera permanente.
* Póliza todo riesgo suscrita por la compañía en caso que el cese suceda por un hecho natural.
* Sensibilización al personal sobre terrorismo y cumplimiento estricto de los procedimientos de ingreso.</t>
  </si>
  <si>
    <t>* Con relación  al cese de actividades por un hecho terrorista, se evidencia que el personal de ingresos y seguridad conocen y aplican de manera efectiva los procedimientos establecidos.
* Con relación a la situación actual de la emergencia sanitaria  se puede evidenciar que las medidas  de contingencia establecidas han garantizado que el proceso continúe  realizando sus labores  ofreciendo respuesta a las necesidades del cliente interno y externo de manera oportuna.</t>
  </si>
  <si>
    <t>1. Sensibilización al equipo de trabajo en manejo de herramientas  para realizar labores desde casa. 
2. Revisión de protocolos de ingreso para ajustes tendientes a minimizar el riesgo. 
3. Actualización vigencia póliza todo riesgo.</t>
  </si>
  <si>
    <t>legales, pecuniarias , reputacional</t>
  </si>
  <si>
    <t>* Verificación de antecedentes del personal interno. 
* Conocimiento del cliente previo y posterior.
* Capacitación  e inducción al personal en temas de  sarlaf y código de ética.</t>
  </si>
  <si>
    <t>Dirección Jurídica y PH
Coord. SIG</t>
  </si>
  <si>
    <t>Capacitación del personal de Seguridad (Protocolos de inspección de vehículos)</t>
  </si>
  <si>
    <t xml:space="preserve">Consecuencia </t>
  </si>
  <si>
    <t xml:space="preserve"> Por  falta de conciencia de ética y obligaciones  a cargo, desconocimiento de las consecuencias legales</t>
  </si>
  <si>
    <t>Gestión Técnica</t>
  </si>
  <si>
    <t>*Permanecer afiliado a las agremiaciones que defienden el régimen franco. 
* Estrategia de medios con el fin de generar impacto en los diferentes grupos de interés (aplica para todas las ZF). 
* Capacitación constante. 
* asistencia continua que programe la Cámara de Zonas Francas.</t>
  </si>
  <si>
    <t>* Disminución en la atracción de nuevos usuarios para el parque.  
*Pérdida de confiabilidad del cliente. 
* Pérdida del interés de los usuarios calificados en permanecer en la Zona Franca.</t>
  </si>
  <si>
    <t>*Por la diferenciación en valores agregados de productos y servicios que ofrezcan otros parques similares a los nuestros.
* Por los cánones de arrendamiento y venta de bodegas y lotes (M2) entre ZFIP y otra Zonas Francas de la Región.
* Por la oferta inmobiliaria inmediata que tienen otras ZF`S</t>
  </si>
  <si>
    <t>* Por el no acatamiento de las directrices para el manejo de marca.
*Falla en las medidas de protección.    
* Carencia de la cultura ambiental de las personas que ingresan al parque.
* insuficientes puntos de recolección de residuos a lo largo del parque.
* Por aspectos naturales.</t>
  </si>
  <si>
    <t>* Procesos improductivos.
*Errores en los procesos. 
*Insatisfacción del cliente. 
* Conspiración interna.
* Accidente laboral grave o mortal.
* Aumento en el índice de rotación de personal.</t>
  </si>
  <si>
    <t>*No aplicación de procedimientos establecidos.
*Falsificación de documentos.
* No cumplimiento del perfil del cargo.</t>
  </si>
  <si>
    <t xml:space="preserve">*Directora de Gestión Administrativa. 
* Personal encargado y/o aspirante al cargo. </t>
  </si>
  <si>
    <t>*No cumplimiento de procedimientos estipulados.
*Entrega de documentos soportes falsos.</t>
  </si>
  <si>
    <t xml:space="preserve">*Perdidas humanas y/o materiales
*Enfermedades y perdida de la capacidad laboral
* Pérdidas económicas </t>
  </si>
  <si>
    <t xml:space="preserve">*Ingreso de empleados, contratistas, visitantes, proveedores y vehículos no autorizados por falta de cumplimiento de procedimiento.
*No desactivación de las tarjetas de proximidad de personal ya retirado. </t>
  </si>
  <si>
    <t xml:space="preserve">* Perdidas materiales 
* Suspensión de la operación 
* Hurto 
* Perdidas humanas </t>
  </si>
  <si>
    <t>* En épocas de lluvia medición constante de los niveles del rio.
* Comunicación directa con las entidades de socorro. 
* Mantenimiento de los jarillones.  
* Plan de emergencias. 
* Elevación de la plataforma de la Zona Franca por encima de los niveles del Rio.</t>
  </si>
  <si>
    <t>* Revisión detallada de documentos solicitados y suministrados por asociado de negocio. 
* Verificación de antecedentes a los asociados de negocio críticos.
* Visita a las instalaciones de los asociados de negocio críticos.</t>
  </si>
  <si>
    <t xml:space="preserve">*falta de investigación de documentación a los nuevos asociados y a los críticos existentes .
*Omisión de los procedimientos internos. </t>
  </si>
  <si>
    <t>*Impactos económicos. 
*Mala imagen de la empresa al realizar negocios con empresas con actividades ilícitas.</t>
  </si>
  <si>
    <t>* Durante la última semana del mes de mayo y primera del mes de junio, se llevan a cabo las auditorias internas de manera remota para las normas BASC e ISO 28000, durante las cuales, se evidencia cumplimiento de los procedimientos de la compañía, así como la política,  ya que lo hallazgos resultantes, obedecen a liderazgo y compromiso y metodología de actualización de uno de los riesgos de la matriz, así como la inclusión de un nuevo riesgo alto en la matriz de tratamiento a eventos críticos.</t>
  </si>
  <si>
    <t>% CUMPLIMIENTO</t>
  </si>
  <si>
    <t>META</t>
  </si>
  <si>
    <t>En procesos de contratación incluyendo Talento Humano.
Ventas de terrenos.
Trámites con entidades públicas o entes de control, contratación de proveedores.</t>
  </si>
  <si>
    <t>Contratistas.
Clientes.
Funcionarios públicos.
Colaboradores.
Proveedores</t>
  </si>
  <si>
    <t>* Plan de capacitación.
* Código de Ética Conducta y Buen Gobierno.
* Reglamento de trabajo.
* Procedimiento de compras.
* Auditorias a sistema sobre aspecto de corrupción.</t>
  </si>
  <si>
    <t>Vigilancia permanente por parte de los  ronderos con control de punto de marcación mediante bastón electrónico, CCTV 24/7, verificación perimetral a pie con informe semanal del estado del cerramiento. 
Se aumentaron los puntos de marcación son 25 aumento en 5 puntos mas, a causa de la construcción de la RCI se reubicaron otros puntos, se trasladó un domo cubriendo el sector de Caimalito con el CCTV.
* Reinducción permanente al personal de seguridad y CCTV.</t>
  </si>
  <si>
    <t>*Personal que controla el ingreso y salida de personal externo, usuarios calificados y usuario operador, visitantes, proveedores y contratistas.
*Carnetización al personal permanente y tarjetas de proximidad
* Software de ingreso.
* Revisión trimestral de tarjetas de proximidad activas en cada una de las empresas usuaarias.</t>
  </si>
  <si>
    <t>* No tener acceso a la información contable.
* No presentación oportuna de impuestos por firma rúbrica.
* Imposibilidad de de recepcionar  facturas físicas.
* Presentación errónea de impuestos por no inclusión completa de información contable.
* Pérdida de información.
* Imposibilidad de realizar pagos en efectivo (caja menor).
* Imposibilidad de entregar facturas físicas a los clientes.
* Resultados inoportunos por no manejo apropiado del horario laboral.</t>
  </si>
  <si>
    <t>* Se verificará en Diciembre 2020</t>
  </si>
  <si>
    <t>* Revisión  de la información contable
* Actualización de cuadro de pagos.</t>
  </si>
  <si>
    <t>* Se verificará en Agosto y en diciembre la eficacia.
Agosto: 
** Se hace revisión de los estados financieros por parte de revisoría Fiscal, correspondientes al primer semestre, lo cual se puede evidenciar según respuesta de la revisoría enviada al correo enviado a la dirección Contable por parte de la revisoria como respuesta de revisado en fecha:  14 de junio del 2020.
** El cuadro de pago se revisa permanentemente por parte de Gerencia, ya que este se encuentra como archivo compartido en DRIVE.
*** Hasta el momento se ha evidenciado que las actividades planteadas han sido eficaces, ya que no se han presentado reporte alguno alas centrales de riesgos,  ni por parte de las entidades financieras, ni de proveedores, ya que se han efectuado los pagos de manera oportuna.</t>
  </si>
  <si>
    <t>POLÍTICA,
ANÁLISIS DE PROCESO</t>
  </si>
  <si>
    <t>Se evaluará  en julio y diciembre del 2020.
* 12/08/2020 A la fecha no se han presentado propuestas de ejecución de obras.</t>
  </si>
  <si>
    <t>Se evaluará  en julio y diciembre del 2020.
* 12/08/2020: Durante el primer semestre del presente año, dada las condiciones de emergencia sanitaria, el programa tanto presupuesto, como mantenimiento, fueron ajustados de acuerdo a la situación de emergencia publica, una vez ajustados se procede con su ejecución y seguimient, los cuales son socializados en cada comité de gerencia con forme a los indicadores de gestión. A la fecha se lleva un cumplimiento de cronograma de mantenimiento del: 54% para EQ Y HRR, e infraestructura 30.18%, y del ppto del: 44.47%.. y del indicador de solicitudes de soporte del 90%.</t>
  </si>
  <si>
    <t>Se verificará eficacia en julio y en Diciembre del 2020.
* Se evidencia a pie de firma de correo electrónico, existencia de aviso de confidencialidad en el correo del Director de Gestión Técnica.</t>
  </si>
  <si>
    <t>* Si bien es cierto que dicho programa aun no se encuentra totalmente documentado, se evidencia registro de actividades que respaldan dicho numeral, así como acción preventiva etablecida que motiva la creación de este programa con fecha de cierre en agosto.
* Se evluara nuevamente en Agosto.</t>
  </si>
  <si>
    <t>* Se verificará en diciembre del 2020.</t>
  </si>
  <si>
    <t>* Se evaluará en julio y en Diciembre.
* 30/07/2020: se lleva a cabo la capacitación sobre corrupción y soborno a cargo del BASC, las memorias se encuentran en la intranet.</t>
  </si>
  <si>
    <t>Se verificará eficacia en Diciembre del 2020.</t>
  </si>
  <si>
    <t>segundo semestre 2020</t>
  </si>
  <si>
    <t xml:space="preserve">* Segundo semestre 2020 </t>
  </si>
  <si>
    <t>* Se verificará en Diciembre del 2020.
* 30/07/2020: se lleva a cabo la capacitación sobre corrupción y soborno a cargo del BASC, las memorias se encuentran en la intranet.</t>
  </si>
  <si>
    <t>* Se revisara con el cierre del año 2020.
* Se evidencia la creación del protocolo de trabajo en casa, el cual fue registrasdo en el SIG el 17 de Julio del 2020.</t>
  </si>
  <si>
    <t>* Se verificará en Diciembre del 2020.
* 30/07/2020: se lleva a cabo la capacitación sobre corrupción y soborno a cargo del BASC, las memorias se encuentran en la intranet.</t>
  </si>
  <si>
    <t>JUNIO</t>
  </si>
  <si>
    <t>* Julio y diciembre se evaluará la eficacia.
* 12/08/2020: Dada a la situación de salud pública se cambió la metodologia de realización de la encuesta de satisfacción, por lo cual esta se inció de manera virtual, a la fecha se encuentran encuestados 5 usuarios de 9 qe se encuentran actualmente opoerando.
* En cada comité de gesrencia se presenta el seeguimiento a las PQRS, para el momento se han radicado 3 PQRS las cuales han sido resueltas en oportunidad.
* El indicador de seguimiento a propuestas comerciales ha sido presentado durante cada comité de gerencia, hasta la fecha se ha cumplido con el objetivo de evidenciar un seguimiento a estas propuestas aun cuando la situación de salud publica no permita el contacto fisico.</t>
  </si>
  <si>
    <t>* Se evaluará eficacia en Julio del 2020.
* 11/06/2020: Se realiza envio de un correo a todos los colaboradores de la compañía por parte de la coordinadora comercial, incentivando el uso del  logo adecuadamente encada documento maanejado, en este se socializan las rutas del manual de identidad visual corporativa y los losgos en la plataforma SADOC. https://mail.google.com/mail/u/1/#advanced-search/from=jgarcia%40zonafrancadepereira.com&amp;exclude_chats=true&amp;exclude_cal=true&amp;query=jgarcia%40zonafrancadepereira.com&amp;isrefinement=true&amp;fromdisplay=Juliana+Garcia+Acevedo&amp;datestart=2020%2F05%2F01&amp;dateend=2020%2F07%2F31&amp;daterangetype=custom_range/FMfcgxwHNqDbsqmdNNkgVhRXTKMQWTDq</t>
  </si>
  <si>
    <t>Según cronograma.
Agosto</t>
  </si>
  <si>
    <t>Se verificará eficacia en julio y en Diciembre del 2020.
* 30/07/2020 Para el mes de Julio se obtiene las certificaciones de las calibraciones de las básculas. 
* 12/08/2020: Durante el primer semestre del presente año, dada las condiciones de emergencia sanitaria, el programa tanto presupuesto, como mantenimiento, fueron ajustados de acuerdo a la situación de emergencia publica, una vez ajustados se procede con su ejecución y seguimient, los cuales son socializados en cada comité de gerencia con forme a los indicadores de gestión. A la fecha se lleva un cumplimiento de cronograma de mantenimiento del: 54% para EQ Y HRR, e infraestructura 30.18%. los seguimientos de basculas se han efectuado cada mes, presentanndo indicador de bascula en cada comité de Gerencia.
* 13/08/2020: se envía correo de socialización al grupo de personal y a gestión administrativa para uso adecuado de las basculas.</t>
  </si>
  <si>
    <t>* Se verificará en Diciembre del 2020.
* 12/08/2020: El proceso de digitalización se encuenta en desarrollo, a cargo del auxiliar de gestion documental, quien a la fecha se encuentra elaborando la tabla de retención documental.</t>
  </si>
  <si>
    <t>*  Capacitación del personal en el cumplimiento de los protocolos de bioseguridad, con el fin de asegurar la continuidad de la ejecución de las actividades de mantenimiento a cargo de los auxiliares de mantenimiento, incluyendo director técnico; durante el periodo del cese de actividades por pandemias.
* Registros existentes digitalizar y almacenar virtual.</t>
  </si>
  <si>
    <t>Seguridad y Salud en el Trabajo / 
Dirección Técnica
Dirección de Gestión Administrativa (gestion documental)</t>
  </si>
  <si>
    <t>* Insinuaciones o solicitudes de terceros internos o externos.</t>
  </si>
  <si>
    <t xml:space="preserve">
Se ha establecido en el correo electrónico una notificación de confidencialidad. 
- La información de planimetría solo se suministra de manera virtual y si se entrega de forma física (muy poco probable) se deja constancia por medio de oficio donde se pueda verificar su destinatario final o remitente.
PR-GH-03 PROCEDIMIENTO DE  ASOCIADOS DE NEGOCIO - COMPRAS.
FO-GH-21 Análisis de cotizaciones 
PR-TC-03 Adquisición de productos y servicios contratación y ejecución de obra civil ZFIP
FO-GH-20 Orden de compra</t>
  </si>
  <si>
    <t xml:space="preserve">* Se verificará en Diciembre del 2020.
* El indicador de ppto se presenta mes a mes en los comités de Gerencia.
* Se creó un correo alternativo: copiagtecnica@zonafrancadepereira.com, en el cual se almacena todos los correos existentes, desde el 5 de agosto del 2020, hacia atrás. </t>
  </si>
  <si>
    <t>* En el mes de mayo se realizó la capacitación en manejo tecnológico, aplicado a los auxiliares de monitoreo, de lo cual se cuenta con certificación para cada auxiliar.
* Se lleva a cabo en el mes de febrero  la primera retroalimentación con el esquema de seguridad, queda pendiente la aplicable al mes de mayo, agosto y noviembre del 2020.
* Se realiza en el mes de junio retroalimentación con todo el esquema de seguridad, en la cual se incluyen temas del protocolo de bioseguridad y los temas en la prevención de las medidas de seguridad. Queda pendiente septiembre y noviembre.</t>
  </si>
  <si>
    <t>* Se verificará en el mes de diciembre del 2020.
* * 12/08/2020: Durante el primer semestre del presente año, dada las condiciones de emergencia sanitaria, el programa tanto presupuesto, como mantenimiento, fueron ajustados de acuerdo a la situación de emergencia publica, una vez ajustados se procede con su ejecución y seguimient, los cuales son socializados en cada comité de gerencia con forme a los indicadores de gestión. A la fecha se lleva un cumplimiento de cronograma de mantenimiento del: 54% para EQ Y HRR, e infraestructura 30.18%, y del ppto del: 44.47%.</t>
  </si>
  <si>
    <t>Septiembre - Noviembre</t>
  </si>
  <si>
    <t>* Se verificará en julio y en diciembre del 2020.
* Se realiza desactivación de las tarjetas de proximidad durante el mes de julio.</t>
  </si>
  <si>
    <t>* Se evaluará en julio y en Diciembre del 2020.
12/08/2020: Durante el primer semestre del presente año, dada las condiciones de emergencia sanitaria, el programa tanto presupuesto, como mantenimiento, fueron ajustados de acuerdo a la situación de emergencia publica, una vez ajustados se procede con su ejecución y seguimient, los cuales son socializados en cada comité de gerencia con forme a los indicadores de gestión. A la fecha se lleva un cumplimiento de cronograma de mantenimiento del: 54% para EQ Y HRR, e infraestructura 30.18%, y del ppto del: 44.47%.</t>
  </si>
  <si>
    <t>* Se evaluará en julio y en Diciembre 2020.
* Se realizó mantenimiento preventivo de CCTV durante el mes de mayo. así mismo se realiza mantenimiento correctivos en el mes de enero y 1 en el mes de mayo.
* Se realiza cambio de los convertidores de las cámaras durante el mes de mayo, así mismo se hizo cambio de las cajas que se encontraban deterioradas.</t>
  </si>
  <si>
    <t>* Se verificará en julio y en diciembre del 2020.
** Se realiza en el mes de junio retroalimentación con todo el esquema de seguridad, en la cual se incluyen temas del protocolo de bioseguridad y los temas en la prevención de las medidas de seguridad. Queda pendiente septiembre y noviembre.</t>
  </si>
  <si>
    <t>* Se verificará en Diciembre del 2020</t>
  </si>
  <si>
    <t>Se verificará en Diciembre del 2020.
* Las Directoras Jurídicas y de Gestión Administrativa, participaron en una capacitación de actualización laboral el 28 de abri y el 26 de junio de 2020.</t>
  </si>
  <si>
    <t>Se verificará en Septiembre del 2020.
* Se envia circular a usuarios para actualización de datos durante el mes de agosto.
* GNS es una empresa aspirante a ser usuarios calificado, por tal razón re realizón verificación de antecedentes previa al envío de la propuesta.</t>
  </si>
  <si>
    <t>* Se verificará en diciembre 2020.
* Durante la situación de salud publica, se donaron mercados y tapabocas para la comunidad de Caimalito, entre  los meses de abril y mayo.</t>
  </si>
  <si>
    <t>* Capacitación corrupción y soborno</t>
  </si>
  <si>
    <t>* Se verificará en Diciembre del 2020.
* Se realiza capcitación sobre prevención de la corrupción y soborno en las empresas, asi como tambien se incluyen lineamientos para la elaboración del programa anti corrupción. Las memorias estan publicadas en la intranet.</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</si>
</sst>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1" formatCode="_-* #,##0_-;\-* #,##0_-;_-* &quot;-&quot;_-;_-@_-"/>
    <numFmt numFmtId="164" formatCode="_-&quot;$&quot;* #,##0_-;\-&quot;$&quot;* #,##0_-;_-&quot;$&quot;* &quot;-&quot;_-;_-@_-"/>
    <numFmt numFmtId="165" formatCode="_ * #,##0.00_ ;_ * \-#,##0.00_ ;_ * &quot;-&quot;??_ ;_ @_ "/>
    <numFmt numFmtId="166" formatCode="0.0"/>
    <numFmt numFmtId="167" formatCode="_ [$€-2]\ * #,##0.00_ ;_ [$€-2]\ * \-#,##0.00_ ;_ [$€-2]\ * &quot;-&quot;??_ "/>
    <numFmt numFmtId="168" formatCode="dd/mm/yy;@"/>
  </numFmts>
  <fonts count="27" x14ac:knownFonts="1">
    <font>
      <sz val="10"/>
      <name val="Arial"/>
    </font>
    <font>
      <sz val="10"/>
      <name val="Arial"/>
      <family val="2"/>
    </font>
    <font>
      <sz val="10"/>
      <name val="Tahoma"/>
      <family val="2"/>
    </font>
    <font>
      <b/>
      <sz val="10"/>
      <name val="Tahoma"/>
      <family val="2"/>
    </font>
    <font>
      <sz val="8"/>
      <name val="Verdana"/>
      <family val="2"/>
    </font>
    <font>
      <u/>
      <sz val="10"/>
      <color theme="10"/>
      <name val="Arial"/>
      <family val="2"/>
    </font>
    <font>
      <u/>
      <sz val="10"/>
      <color theme="11"/>
      <name val="Arial"/>
      <family val="2"/>
    </font>
    <font>
      <sz val="12"/>
      <name val="Arial"/>
      <family val="2"/>
    </font>
    <font>
      <sz val="10"/>
      <name val="Verdana"/>
      <family val="2"/>
    </font>
    <font>
      <b/>
      <sz val="12"/>
      <name val="Arial"/>
      <family val="2"/>
    </font>
    <font>
      <sz val="18"/>
      <name val="Arial"/>
      <family val="2"/>
    </font>
    <font>
      <b/>
      <sz val="18"/>
      <name val="Arial"/>
      <family val="2"/>
    </font>
    <font>
      <b/>
      <sz val="24"/>
      <name val="Arial"/>
      <family val="2"/>
    </font>
    <font>
      <b/>
      <sz val="26"/>
      <name val="Arial"/>
      <family val="2"/>
    </font>
    <font>
      <sz val="24"/>
      <name val="Arial"/>
      <family val="2"/>
    </font>
    <font>
      <b/>
      <sz val="11"/>
      <color theme="1"/>
      <name val="Arial"/>
      <family val="2"/>
    </font>
    <font>
      <b/>
      <i/>
      <sz val="18"/>
      <name val="Arial"/>
      <family val="2"/>
    </font>
    <font>
      <sz val="12"/>
      <color theme="1"/>
      <name val="Arial"/>
      <family val="2"/>
    </font>
    <font>
      <b/>
      <sz val="10"/>
      <name val="Arial"/>
      <family val="2"/>
    </font>
    <font>
      <b/>
      <sz val="9"/>
      <name val="Arial"/>
      <family val="2"/>
    </font>
    <font>
      <sz val="9"/>
      <name val="Arial"/>
      <family val="2"/>
    </font>
    <font>
      <b/>
      <sz val="8"/>
      <name val="Arial"/>
      <family val="2"/>
    </font>
    <font>
      <sz val="8"/>
      <name val="Arial"/>
      <family val="2"/>
    </font>
    <font>
      <sz val="9"/>
      <color indexed="81"/>
      <name val="Tahoma"/>
      <family val="2"/>
    </font>
    <font>
      <b/>
      <sz val="9"/>
      <color indexed="81"/>
      <name val="Tahoma"/>
      <family val="2"/>
    </font>
    <font>
      <sz val="12"/>
      <color rgb="FFFF0000"/>
      <name val="Arial"/>
      <family val="2"/>
    </font>
    <font>
      <sz val="12"/>
      <color theme="0" tint="-0.34998626667073579"/>
      <name val="Arial"/>
      <family val="2"/>
    </font>
  </fonts>
  <fills count="27">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47"/>
        <bgColor indexed="64"/>
      </patternFill>
    </fill>
    <fill>
      <patternFill patternType="solid">
        <fgColor indexed="57"/>
        <bgColor indexed="64"/>
      </patternFill>
    </fill>
    <fill>
      <patternFill patternType="solid">
        <fgColor indexed="10"/>
        <bgColor indexed="64"/>
      </patternFill>
    </fill>
    <fill>
      <patternFill patternType="solid">
        <fgColor theme="0"/>
        <bgColor indexed="64"/>
      </patternFill>
    </fill>
    <fill>
      <patternFill patternType="solid">
        <fgColor indexed="13"/>
        <bgColor indexed="64"/>
      </patternFill>
    </fill>
    <fill>
      <patternFill patternType="solid">
        <fgColor rgb="FFBF61D6"/>
        <bgColor indexed="64"/>
      </patternFill>
    </fill>
    <fill>
      <patternFill patternType="solid">
        <fgColor rgb="FFFF0000"/>
        <bgColor indexed="64"/>
      </patternFill>
    </fill>
    <fill>
      <patternFill patternType="solid">
        <fgColor rgb="FFFFFF00"/>
        <bgColor indexed="64"/>
      </patternFill>
    </fill>
    <fill>
      <patternFill patternType="solid">
        <fgColor theme="9" tint="-0.249977111117893"/>
        <bgColor indexed="64"/>
      </patternFill>
    </fill>
    <fill>
      <patternFill patternType="solid">
        <fgColor theme="9"/>
        <bgColor indexed="64"/>
      </patternFill>
    </fill>
    <fill>
      <patternFill patternType="solid">
        <fgColor theme="8" tint="0.59999389629810485"/>
        <bgColor indexed="64"/>
      </patternFill>
    </fill>
    <fill>
      <patternFill patternType="solid">
        <fgColor theme="0" tint="-0.14999847407452621"/>
        <bgColor indexed="64"/>
      </patternFill>
    </fill>
    <fill>
      <patternFill patternType="solid">
        <fgColor rgb="FF45BFFF"/>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FFC000"/>
        <bgColor indexed="64"/>
      </patternFill>
    </fill>
    <fill>
      <patternFill patternType="solid">
        <fgColor theme="8" tint="0.79998168889431442"/>
        <bgColor indexed="64"/>
      </patternFill>
    </fill>
    <fill>
      <patternFill patternType="solid">
        <fgColor indexed="9"/>
        <bgColor indexed="64"/>
      </patternFill>
    </fill>
    <fill>
      <patternFill patternType="solid">
        <fgColor rgb="FFFF9A05"/>
        <bgColor indexed="64"/>
      </patternFill>
    </fill>
    <fill>
      <patternFill patternType="solid">
        <fgColor theme="0" tint="-0.34998626667073579"/>
        <bgColor indexed="64"/>
      </patternFill>
    </fill>
    <fill>
      <patternFill patternType="solid">
        <fgColor theme="4" tint="0.59999389629810485"/>
        <bgColor indexed="64"/>
      </patternFill>
    </fill>
    <fill>
      <patternFill patternType="solid">
        <fgColor rgb="FF00B0F0"/>
        <bgColor indexed="64"/>
      </patternFill>
    </fill>
    <fill>
      <patternFill patternType="solid">
        <fgColor rgb="FFFF6600"/>
        <bgColor indexed="64"/>
      </patternFill>
    </fill>
  </fills>
  <borders count="81">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style="medium">
        <color auto="1"/>
      </left>
      <right style="medium">
        <color auto="1"/>
      </right>
      <top style="medium">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style="thin">
        <color auto="1"/>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thin">
        <color auto="1"/>
      </right>
      <top style="medium">
        <color auto="1"/>
      </top>
      <bottom style="thin">
        <color auto="1"/>
      </bottom>
      <diagonal/>
    </border>
    <border>
      <left style="thin">
        <color auto="1"/>
      </left>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top style="thin">
        <color auto="1"/>
      </top>
      <bottom style="medium">
        <color auto="1"/>
      </bottom>
      <diagonal/>
    </border>
    <border>
      <left style="thin">
        <color auto="1"/>
      </left>
      <right style="medium">
        <color auto="1"/>
      </right>
      <top style="medium">
        <color auto="1"/>
      </top>
      <bottom/>
      <diagonal/>
    </border>
    <border>
      <left/>
      <right style="thin">
        <color auto="1"/>
      </right>
      <top style="medium">
        <color auto="1"/>
      </top>
      <bottom style="medium">
        <color auto="1"/>
      </bottom>
      <diagonal/>
    </border>
    <border>
      <left style="medium">
        <color auto="1"/>
      </left>
      <right/>
      <top style="thin">
        <color auto="1"/>
      </top>
      <bottom/>
      <diagonal/>
    </border>
    <border>
      <left style="medium">
        <color auto="1"/>
      </left>
      <right style="medium">
        <color auto="1"/>
      </right>
      <top style="thin">
        <color auto="1"/>
      </top>
      <bottom style="medium">
        <color auto="1"/>
      </bottom>
      <diagonal/>
    </border>
    <border>
      <left style="medium">
        <color auto="1"/>
      </left>
      <right/>
      <top style="thin">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thin">
        <color auto="1"/>
      </right>
      <top style="medium">
        <color auto="1"/>
      </top>
      <bottom style="thin">
        <color auto="1"/>
      </bottom>
      <diagonal/>
    </border>
    <border>
      <left style="medium">
        <color auto="1"/>
      </left>
      <right/>
      <top style="medium">
        <color auto="1"/>
      </top>
      <bottom style="thin">
        <color auto="1"/>
      </bottom>
      <diagonal/>
    </border>
    <border>
      <left style="medium">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right style="medium">
        <color auto="1"/>
      </right>
      <top style="medium">
        <color auto="1"/>
      </top>
      <bottom style="thin">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style="thin">
        <color auto="1"/>
      </top>
      <bottom style="medium">
        <color auto="1"/>
      </bottom>
      <diagonal/>
    </border>
    <border>
      <left style="thin">
        <color auto="1"/>
      </left>
      <right style="thin">
        <color auto="1"/>
      </right>
      <top/>
      <bottom style="thin">
        <color auto="1"/>
      </bottom>
      <diagonal/>
    </border>
    <border>
      <left style="medium">
        <color auto="1"/>
      </left>
      <right style="thin">
        <color auto="1"/>
      </right>
      <top/>
      <bottom style="thin">
        <color auto="1"/>
      </bottom>
      <diagonal/>
    </border>
    <border>
      <left/>
      <right style="thin">
        <color auto="1"/>
      </right>
      <top style="medium">
        <color auto="1"/>
      </top>
      <bottom style="thin">
        <color auto="1"/>
      </bottom>
      <diagonal/>
    </border>
    <border>
      <left style="thin">
        <color auto="1"/>
      </left>
      <right style="medium">
        <color auto="1"/>
      </right>
      <top/>
      <bottom style="thin">
        <color auto="1"/>
      </bottom>
      <diagonal/>
    </border>
    <border>
      <left/>
      <right/>
      <top style="thin">
        <color auto="1"/>
      </top>
      <bottom style="medium">
        <color auto="1"/>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style="thin">
        <color auto="1"/>
      </left>
      <right/>
      <top/>
      <bottom style="thin">
        <color auto="1"/>
      </bottom>
      <diagonal/>
    </border>
    <border>
      <left style="thin">
        <color auto="1"/>
      </left>
      <right/>
      <top style="medium">
        <color auto="1"/>
      </top>
      <bottom style="medium">
        <color auto="1"/>
      </bottom>
      <diagonal/>
    </border>
    <border>
      <left/>
      <right style="thin">
        <color auto="1"/>
      </right>
      <top style="medium">
        <color auto="1"/>
      </top>
      <bottom/>
      <diagonal/>
    </border>
    <border>
      <left/>
      <right style="medium">
        <color auto="1"/>
      </right>
      <top style="thin">
        <color auto="1"/>
      </top>
      <bottom/>
      <diagonal/>
    </border>
    <border>
      <left style="medium">
        <color auto="1"/>
      </left>
      <right/>
      <top/>
      <bottom/>
      <diagonal/>
    </border>
    <border>
      <left style="medium">
        <color indexed="64"/>
      </left>
      <right style="medium">
        <color indexed="64"/>
      </right>
      <top style="medium">
        <color indexed="64"/>
      </top>
      <bottom/>
      <diagonal/>
    </border>
    <border>
      <left/>
      <right/>
      <top/>
      <bottom style="medium">
        <color auto="1"/>
      </bottom>
      <diagonal/>
    </border>
    <border>
      <left style="medium">
        <color indexed="64"/>
      </left>
      <right style="medium">
        <color indexed="64"/>
      </right>
      <top style="medium">
        <color indexed="64"/>
      </top>
      <bottom style="thin">
        <color auto="1"/>
      </bottom>
      <diagonal/>
    </border>
    <border>
      <left/>
      <right style="medium">
        <color auto="1"/>
      </right>
      <top/>
      <bottom style="medium">
        <color auto="1"/>
      </bottom>
      <diagonal/>
    </border>
    <border>
      <left style="medium">
        <color indexed="64"/>
      </left>
      <right style="medium">
        <color indexed="64"/>
      </right>
      <top style="thin">
        <color auto="1"/>
      </top>
      <bottom/>
      <diagonal/>
    </border>
    <border>
      <left/>
      <right/>
      <top style="medium">
        <color auto="1"/>
      </top>
      <bottom/>
      <diagonal/>
    </border>
    <border>
      <left/>
      <right style="thin">
        <color auto="1"/>
      </right>
      <top/>
      <bottom style="thin">
        <color auto="1"/>
      </bottom>
      <diagonal/>
    </border>
    <border>
      <left style="medium">
        <color indexed="64"/>
      </left>
      <right/>
      <top/>
      <bottom style="medium">
        <color indexed="64"/>
      </bottom>
      <diagonal/>
    </border>
    <border>
      <left style="thin">
        <color indexed="64"/>
      </left>
      <right/>
      <top/>
      <bottom/>
      <diagonal/>
    </border>
    <border>
      <left style="thin">
        <color auto="1"/>
      </left>
      <right style="medium">
        <color auto="1"/>
      </right>
      <top/>
      <bottom style="medium">
        <color indexed="64"/>
      </bottom>
      <diagonal/>
    </border>
    <border>
      <left style="thin">
        <color auto="1"/>
      </left>
      <right/>
      <top/>
      <bottom style="medium">
        <color auto="1"/>
      </bottom>
      <diagonal/>
    </border>
    <border>
      <left/>
      <right style="thin">
        <color auto="1"/>
      </right>
      <top/>
      <bottom style="medium">
        <color auto="1"/>
      </bottom>
      <diagonal/>
    </border>
    <border>
      <left style="thin">
        <color auto="1"/>
      </left>
      <right/>
      <top style="thin">
        <color auto="1"/>
      </top>
      <bottom/>
      <diagonal/>
    </border>
    <border>
      <left/>
      <right style="thin">
        <color auto="1"/>
      </right>
      <top/>
      <bottom/>
      <diagonal/>
    </border>
    <border>
      <left/>
      <right/>
      <top style="thin">
        <color auto="1"/>
      </top>
      <bottom style="thin">
        <color auto="1"/>
      </bottom>
      <diagonal/>
    </border>
    <border>
      <left/>
      <right/>
      <top style="thin">
        <color auto="1"/>
      </top>
      <bottom/>
      <diagonal/>
    </border>
    <border>
      <left style="medium">
        <color rgb="FF000000"/>
      </left>
      <right style="medium">
        <color rgb="FF000000"/>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medium">
        <color rgb="FF000000"/>
      </right>
      <top/>
      <bottom style="medium">
        <color rgb="FF000000"/>
      </bottom>
      <diagonal/>
    </border>
    <border>
      <left/>
      <right style="medium">
        <color rgb="FF000000"/>
      </right>
      <top/>
      <bottom style="medium">
        <color rgb="FF000000"/>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auto="1"/>
      </left>
      <right/>
      <top style="medium">
        <color auto="1"/>
      </top>
      <bottom/>
      <diagonal/>
    </border>
    <border>
      <left/>
      <right style="medium">
        <color auto="1"/>
      </right>
      <top/>
      <bottom/>
      <diagonal/>
    </border>
  </borders>
  <cellStyleXfs count="224">
    <xf numFmtId="0" fontId="0" fillId="0" borderId="0"/>
    <xf numFmtId="167" fontId="1" fillId="0" borderId="0" applyFont="0" applyFill="0" applyBorder="0" applyAlignment="0" applyProtection="0"/>
    <xf numFmtId="165" fontId="1" fillId="0" borderId="0" applyFont="0" applyFill="0" applyBorder="0" applyAlignment="0" applyProtection="0"/>
    <xf numFmtId="9" fontId="1" fillId="0" borderId="0" applyFon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41" fontId="1" fillId="0" borderId="0" applyFon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8" fillId="0" borderId="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cellStyleXfs>
  <cellXfs count="576">
    <xf numFmtId="0" fontId="0" fillId="0" borderId="0" xfId="0"/>
    <xf numFmtId="0" fontId="2" fillId="0" borderId="0" xfId="0" applyFont="1"/>
    <xf numFmtId="0" fontId="3" fillId="0" borderId="0" xfId="0" applyFont="1" applyFill="1" applyBorder="1" applyAlignment="1">
      <alignment vertical="center"/>
    </xf>
    <xf numFmtId="0" fontId="8" fillId="0" borderId="0" xfId="17"/>
    <xf numFmtId="0" fontId="7" fillId="0" borderId="0" xfId="17" applyFont="1"/>
    <xf numFmtId="0" fontId="9" fillId="0" borderId="0" xfId="17" applyFont="1" applyBorder="1" applyAlignment="1">
      <alignment horizontal="center" vertical="center" wrapText="1"/>
    </xf>
    <xf numFmtId="0" fontId="9" fillId="0" borderId="16" xfId="17" applyFont="1" applyFill="1" applyBorder="1" applyAlignment="1">
      <alignment horizontal="center" vertical="center" wrapText="1"/>
    </xf>
    <xf numFmtId="0" fontId="9" fillId="0" borderId="15" xfId="17" applyFont="1" applyFill="1" applyBorder="1" applyAlignment="1">
      <alignment horizontal="center" vertical="center" wrapText="1"/>
    </xf>
    <xf numFmtId="0" fontId="9" fillId="0" borderId="14" xfId="17" applyFont="1" applyBorder="1" applyAlignment="1">
      <alignment horizontal="center" vertical="center" wrapText="1"/>
    </xf>
    <xf numFmtId="0" fontId="9" fillId="0" borderId="5" xfId="17" applyFont="1" applyBorder="1" applyAlignment="1">
      <alignment horizontal="center" vertical="center" wrapText="1"/>
    </xf>
    <xf numFmtId="0" fontId="9" fillId="8" borderId="8" xfId="17" applyFont="1" applyFill="1" applyBorder="1" applyAlignment="1">
      <alignment horizontal="center" vertical="center" wrapText="1"/>
    </xf>
    <xf numFmtId="0" fontId="9" fillId="0" borderId="29" xfId="17" applyFont="1" applyBorder="1" applyAlignment="1">
      <alignment horizontal="center" vertical="center" wrapText="1"/>
    </xf>
    <xf numFmtId="0" fontId="9" fillId="0" borderId="30" xfId="17" applyFont="1" applyBorder="1" applyAlignment="1">
      <alignment horizontal="center" vertical="center" wrapText="1"/>
    </xf>
    <xf numFmtId="0" fontId="9" fillId="6" borderId="9" xfId="17" applyFont="1" applyFill="1" applyBorder="1" applyAlignment="1">
      <alignment horizontal="center" vertical="center" wrapText="1"/>
    </xf>
    <xf numFmtId="0" fontId="9" fillId="0" borderId="31" xfId="17" applyFont="1" applyBorder="1" applyAlignment="1">
      <alignment horizontal="center" vertical="center" wrapText="1"/>
    </xf>
    <xf numFmtId="0" fontId="9" fillId="0" borderId="32" xfId="17" applyFont="1" applyBorder="1" applyAlignment="1">
      <alignment horizontal="center" vertical="center" wrapText="1"/>
    </xf>
    <xf numFmtId="0" fontId="9" fillId="6" borderId="25" xfId="17" applyFont="1" applyFill="1" applyBorder="1" applyAlignment="1">
      <alignment horizontal="center" vertical="center" wrapText="1"/>
    </xf>
    <xf numFmtId="0" fontId="9" fillId="6" borderId="23" xfId="17" applyFont="1" applyFill="1" applyBorder="1" applyAlignment="1">
      <alignment horizontal="center" vertical="center" wrapText="1"/>
    </xf>
    <xf numFmtId="0" fontId="9" fillId="0" borderId="34" xfId="17" applyFont="1" applyBorder="1" applyAlignment="1">
      <alignment horizontal="center" vertical="center" wrapText="1"/>
    </xf>
    <xf numFmtId="0" fontId="9" fillId="0" borderId="35" xfId="17" applyFont="1" applyBorder="1" applyAlignment="1">
      <alignment horizontal="center" vertical="center" wrapText="1"/>
    </xf>
    <xf numFmtId="0" fontId="9" fillId="0" borderId="0" xfId="17" applyFont="1" applyAlignment="1">
      <alignment horizontal="center" vertical="center" wrapText="1"/>
    </xf>
    <xf numFmtId="0" fontId="9" fillId="0" borderId="6" xfId="17" applyFont="1" applyBorder="1" applyAlignment="1">
      <alignment horizontal="center" vertical="center" wrapText="1"/>
    </xf>
    <xf numFmtId="0" fontId="9" fillId="9" borderId="4" xfId="17" applyFont="1" applyFill="1" applyBorder="1" applyAlignment="1">
      <alignment horizontal="center" vertical="center" wrapText="1"/>
    </xf>
    <xf numFmtId="0" fontId="10" fillId="2" borderId="3" xfId="0" applyFont="1" applyFill="1" applyBorder="1" applyAlignment="1">
      <alignment horizontal="center" vertical="center" wrapText="1"/>
    </xf>
    <xf numFmtId="0" fontId="10" fillId="0" borderId="0" xfId="0" applyFont="1" applyAlignment="1">
      <alignment vertical="center"/>
    </xf>
    <xf numFmtId="0" fontId="10" fillId="0" borderId="1" xfId="0" applyFont="1" applyBorder="1" applyAlignment="1">
      <alignment vertical="center" wrapText="1"/>
    </xf>
    <xf numFmtId="0" fontId="11" fillId="0" borderId="1" xfId="0" applyFont="1" applyBorder="1" applyAlignment="1">
      <alignment horizontal="center" vertical="center"/>
    </xf>
    <xf numFmtId="9" fontId="11" fillId="0" borderId="9" xfId="0" applyNumberFormat="1" applyFont="1" applyBorder="1" applyAlignment="1">
      <alignment horizontal="center" vertical="center"/>
    </xf>
    <xf numFmtId="0" fontId="10" fillId="7" borderId="0" xfId="0" applyFont="1" applyFill="1" applyAlignment="1">
      <alignment vertical="center" wrapText="1"/>
    </xf>
    <xf numFmtId="0" fontId="10" fillId="0" borderId="0" xfId="0" applyFont="1" applyAlignment="1">
      <alignment vertical="center" wrapText="1"/>
    </xf>
    <xf numFmtId="0" fontId="10" fillId="0" borderId="1" xfId="0" applyFont="1" applyBorder="1" applyAlignment="1">
      <alignment horizontal="center" vertical="center"/>
    </xf>
    <xf numFmtId="0" fontId="11" fillId="7" borderId="0" xfId="0" applyFont="1" applyFill="1" applyBorder="1" applyAlignment="1">
      <alignment horizontal="center" vertical="center" wrapText="1"/>
    </xf>
    <xf numFmtId="0" fontId="11" fillId="0" borderId="0" xfId="0" applyFont="1" applyBorder="1" applyAlignment="1">
      <alignment horizontal="center" vertical="center" wrapText="1"/>
    </xf>
    <xf numFmtId="0" fontId="11" fillId="16" borderId="11" xfId="0" applyFont="1" applyFill="1" applyBorder="1" applyAlignment="1">
      <alignment vertical="center" wrapText="1"/>
    </xf>
    <xf numFmtId="0" fontId="10" fillId="0" borderId="7" xfId="0" applyFont="1" applyBorder="1" applyAlignment="1">
      <alignment horizontal="center" vertical="center"/>
    </xf>
    <xf numFmtId="0" fontId="10" fillId="0" borderId="9" xfId="0" applyFont="1" applyBorder="1" applyAlignment="1">
      <alignment horizontal="center" vertical="center"/>
    </xf>
    <xf numFmtId="0" fontId="10" fillId="0" borderId="10" xfId="0" applyFont="1" applyBorder="1" applyAlignment="1">
      <alignment horizontal="center" vertical="center"/>
    </xf>
    <xf numFmtId="0" fontId="10" fillId="0" borderId="11" xfId="0" applyFont="1" applyBorder="1" applyAlignment="1">
      <alignment horizontal="center" vertical="center"/>
    </xf>
    <xf numFmtId="0" fontId="10" fillId="0" borderId="12" xfId="0" applyFont="1" applyBorder="1" applyAlignment="1">
      <alignment horizontal="center" vertical="center"/>
    </xf>
    <xf numFmtId="0" fontId="10" fillId="7" borderId="7" xfId="0" applyFont="1" applyFill="1" applyBorder="1" applyAlignment="1">
      <alignment horizontal="center" vertical="center" wrapText="1"/>
    </xf>
    <xf numFmtId="0" fontId="10" fillId="7" borderId="9" xfId="0" applyFont="1" applyFill="1" applyBorder="1" applyAlignment="1">
      <alignment horizontal="center" vertical="center" wrapText="1"/>
    </xf>
    <xf numFmtId="0" fontId="10" fillId="0" borderId="1" xfId="0" applyFont="1" applyBorder="1" applyAlignment="1">
      <alignment vertical="center"/>
    </xf>
    <xf numFmtId="0" fontId="10" fillId="0" borderId="0" xfId="0" applyFont="1" applyBorder="1" applyAlignment="1">
      <alignment vertical="center"/>
    </xf>
    <xf numFmtId="0" fontId="11" fillId="2" borderId="42" xfId="0" applyFont="1" applyFill="1" applyBorder="1" applyAlignment="1">
      <alignment horizontal="center" vertical="center" wrapText="1"/>
    </xf>
    <xf numFmtId="0" fontId="10" fillId="0" borderId="23" xfId="2" applyNumberFormat="1" applyFont="1" applyBorder="1" applyAlignment="1">
      <alignment horizontal="center" vertical="center" wrapText="1"/>
    </xf>
    <xf numFmtId="0" fontId="11" fillId="16" borderId="1" xfId="0" applyFont="1" applyFill="1" applyBorder="1" applyAlignment="1">
      <alignment vertical="center" wrapText="1"/>
    </xf>
    <xf numFmtId="0" fontId="11" fillId="16" borderId="23" xfId="0" applyFont="1" applyFill="1" applyBorder="1" applyAlignment="1">
      <alignment vertical="center" wrapText="1"/>
    </xf>
    <xf numFmtId="17" fontId="10" fillId="0" borderId="0" xfId="0" applyNumberFormat="1" applyFont="1" applyBorder="1" applyAlignment="1">
      <alignment horizontal="center" vertical="center" wrapText="1"/>
    </xf>
    <xf numFmtId="0" fontId="10" fillId="0" borderId="0" xfId="0" applyFont="1" applyBorder="1" applyAlignment="1">
      <alignment vertical="center" wrapText="1"/>
    </xf>
    <xf numFmtId="0" fontId="10" fillId="7" borderId="1" xfId="0" applyFont="1" applyFill="1" applyBorder="1" applyAlignment="1">
      <alignment horizontal="center" vertical="center" wrapText="1"/>
    </xf>
    <xf numFmtId="0" fontId="10" fillId="0" borderId="45" xfId="0" applyFont="1" applyBorder="1" applyAlignment="1">
      <alignment horizontal="center" vertical="center" wrapText="1"/>
    </xf>
    <xf numFmtId="0" fontId="10" fillId="0" borderId="43" xfId="0" applyFont="1" applyBorder="1" applyAlignment="1">
      <alignment horizontal="center" vertical="center" wrapText="1"/>
    </xf>
    <xf numFmtId="0" fontId="10" fillId="0" borderId="42" xfId="0" applyFont="1" applyBorder="1" applyAlignment="1">
      <alignment horizontal="center" vertical="center" wrapText="1"/>
    </xf>
    <xf numFmtId="166" fontId="11" fillId="14" borderId="14" xfId="3" applyNumberFormat="1" applyFont="1" applyFill="1" applyBorder="1" applyAlignment="1">
      <alignment horizontal="center" vertical="center" wrapText="1"/>
    </xf>
    <xf numFmtId="166" fontId="11" fillId="14" borderId="15" xfId="3" applyNumberFormat="1" applyFont="1" applyFill="1" applyBorder="1" applyAlignment="1">
      <alignment horizontal="center" vertical="center" wrapText="1"/>
    </xf>
    <xf numFmtId="166" fontId="11" fillId="14" borderId="53" xfId="3" applyNumberFormat="1" applyFont="1" applyFill="1" applyBorder="1" applyAlignment="1">
      <alignment horizontal="center" vertical="center" wrapText="1"/>
    </xf>
    <xf numFmtId="0" fontId="10" fillId="0" borderId="1" xfId="2" applyNumberFormat="1" applyFont="1" applyBorder="1" applyAlignment="1">
      <alignment horizontal="center" vertical="center" wrapText="1"/>
    </xf>
    <xf numFmtId="0" fontId="10" fillId="0" borderId="11" xfId="2" applyNumberFormat="1" applyFont="1" applyBorder="1" applyAlignment="1">
      <alignment horizontal="center" vertical="center" wrapText="1"/>
    </xf>
    <xf numFmtId="1" fontId="10" fillId="0" borderId="42" xfId="3" applyNumberFormat="1" applyFont="1" applyFill="1" applyBorder="1" applyAlignment="1">
      <alignment horizontal="center" vertical="center" wrapText="1"/>
    </xf>
    <xf numFmtId="1" fontId="10" fillId="0" borderId="11" xfId="3" applyNumberFormat="1" applyFont="1" applyFill="1" applyBorder="1" applyAlignment="1">
      <alignment horizontal="center" vertical="center" wrapText="1"/>
    </xf>
    <xf numFmtId="0" fontId="9" fillId="9" borderId="57" xfId="17" applyFont="1" applyFill="1" applyBorder="1" applyAlignment="1">
      <alignment horizontal="center" vertical="center" wrapText="1"/>
    </xf>
    <xf numFmtId="0" fontId="9" fillId="0" borderId="54" xfId="17" applyFont="1" applyBorder="1" applyAlignment="1">
      <alignment horizontal="center" vertical="center" wrapText="1"/>
    </xf>
    <xf numFmtId="0" fontId="9" fillId="0" borderId="22" xfId="17" applyFont="1" applyBorder="1" applyAlignment="1">
      <alignment horizontal="center" vertical="center" wrapText="1"/>
    </xf>
    <xf numFmtId="0" fontId="9" fillId="0" borderId="27" xfId="17" applyFont="1" applyBorder="1" applyAlignment="1">
      <alignment horizontal="center" vertical="center" wrapText="1"/>
    </xf>
    <xf numFmtId="0" fontId="2" fillId="0" borderId="46" xfId="0" applyFont="1" applyBorder="1"/>
    <xf numFmtId="0" fontId="7" fillId="0" borderId="46" xfId="17" applyFont="1" applyBorder="1"/>
    <xf numFmtId="0" fontId="2" fillId="0" borderId="58" xfId="0" applyFont="1" applyBorder="1"/>
    <xf numFmtId="0" fontId="1" fillId="0" borderId="38" xfId="0" applyFont="1" applyBorder="1" applyAlignment="1">
      <alignment horizontal="center"/>
    </xf>
    <xf numFmtId="0" fontId="1" fillId="0" borderId="36" xfId="0" applyFont="1" applyBorder="1" applyAlignment="1">
      <alignment horizontal="center"/>
    </xf>
    <xf numFmtId="0" fontId="1" fillId="0" borderId="55" xfId="0" applyFont="1" applyBorder="1" applyAlignment="1">
      <alignment horizontal="center"/>
    </xf>
    <xf numFmtId="9" fontId="1" fillId="0" borderId="59" xfId="0" applyNumberFormat="1" applyFont="1" applyBorder="1" applyAlignment="1">
      <alignment horizontal="center"/>
    </xf>
    <xf numFmtId="9" fontId="1" fillId="0" borderId="32" xfId="0" applyNumberFormat="1" applyFont="1" applyBorder="1" applyAlignment="1">
      <alignment horizontal="center"/>
    </xf>
    <xf numFmtId="9" fontId="1" fillId="0" borderId="61" xfId="0" applyNumberFormat="1" applyFont="1" applyBorder="1" applyAlignment="1">
      <alignment horizontal="center"/>
    </xf>
    <xf numFmtId="0" fontId="10" fillId="0" borderId="14" xfId="0" applyFont="1" applyBorder="1" applyAlignment="1">
      <alignment horizontal="center" vertical="center" wrapText="1"/>
    </xf>
    <xf numFmtId="0" fontId="10" fillId="0" borderId="15" xfId="0" applyFont="1" applyBorder="1" applyAlignment="1">
      <alignment horizontal="center" vertical="center" wrapText="1"/>
    </xf>
    <xf numFmtId="0" fontId="10" fillId="0" borderId="16" xfId="0" applyFont="1" applyBorder="1" applyAlignment="1">
      <alignment horizontal="center" vertical="center" wrapText="1"/>
    </xf>
    <xf numFmtId="0" fontId="11" fillId="2" borderId="63" xfId="0" applyFont="1" applyFill="1" applyBorder="1" applyAlignment="1">
      <alignment horizontal="center" vertical="center" wrapText="1"/>
    </xf>
    <xf numFmtId="0" fontId="10" fillId="2" borderId="49" xfId="0" applyFont="1" applyFill="1" applyBorder="1" applyAlignment="1">
      <alignment horizontal="center" vertical="center" wrapText="1"/>
    </xf>
    <xf numFmtId="0" fontId="10" fillId="7" borderId="42" xfId="0" applyFont="1" applyFill="1" applyBorder="1" applyAlignment="1">
      <alignment horizontal="center" vertical="center" textRotation="90" wrapText="1"/>
    </xf>
    <xf numFmtId="0" fontId="10" fillId="7" borderId="1" xfId="0" applyFont="1" applyFill="1" applyBorder="1" applyAlignment="1">
      <alignment horizontal="center" vertical="center" textRotation="90" wrapText="1"/>
    </xf>
    <xf numFmtId="0" fontId="10" fillId="7" borderId="11" xfId="0" applyFont="1" applyFill="1" applyBorder="1" applyAlignment="1">
      <alignment horizontal="center" vertical="center" textRotation="90" wrapText="1"/>
    </xf>
    <xf numFmtId="0" fontId="10" fillId="0" borderId="11" xfId="0" applyFont="1" applyBorder="1" applyAlignment="1">
      <alignment horizontal="center" vertical="center" wrapText="1"/>
    </xf>
    <xf numFmtId="0" fontId="15" fillId="20" borderId="0" xfId="0" applyFont="1" applyFill="1" applyBorder="1" applyAlignment="1">
      <alignment vertical="center"/>
    </xf>
    <xf numFmtId="0" fontId="15" fillId="20" borderId="0" xfId="0" applyFont="1" applyFill="1" applyBorder="1" applyAlignment="1">
      <alignment vertical="center" wrapText="1"/>
    </xf>
    <xf numFmtId="0" fontId="10" fillId="7" borderId="0" xfId="0" applyFont="1" applyFill="1" applyBorder="1" applyAlignment="1">
      <alignment vertical="center" wrapText="1"/>
    </xf>
    <xf numFmtId="166" fontId="10" fillId="0" borderId="0" xfId="3" applyNumberFormat="1" applyFont="1" applyFill="1" applyBorder="1" applyAlignment="1">
      <alignment horizontal="center" vertical="center" wrapText="1"/>
    </xf>
    <xf numFmtId="0" fontId="11" fillId="0" borderId="0" xfId="0" applyFont="1" applyAlignment="1">
      <alignment horizontal="right" vertical="center" wrapText="1"/>
    </xf>
    <xf numFmtId="0" fontId="10" fillId="0" borderId="42" xfId="2" applyNumberFormat="1" applyFont="1" applyBorder="1" applyAlignment="1">
      <alignment horizontal="center" vertical="center" wrapText="1"/>
    </xf>
    <xf numFmtId="1" fontId="10" fillId="12" borderId="1" xfId="3" applyNumberFormat="1" applyFont="1" applyFill="1" applyBorder="1" applyAlignment="1">
      <alignment horizontal="center" vertical="center" wrapText="1"/>
    </xf>
    <xf numFmtId="1" fontId="10" fillId="12" borderId="23" xfId="3" applyNumberFormat="1" applyFont="1" applyFill="1" applyBorder="1" applyAlignment="1">
      <alignment horizontal="center" vertical="center" wrapText="1"/>
    </xf>
    <xf numFmtId="1" fontId="10" fillId="12" borderId="11" xfId="3" applyNumberFormat="1" applyFont="1" applyFill="1" applyBorder="1" applyAlignment="1">
      <alignment horizontal="center" vertical="center" wrapText="1"/>
    </xf>
    <xf numFmtId="0" fontId="15" fillId="20" borderId="5" xfId="0" applyFont="1" applyFill="1" applyBorder="1" applyAlignment="1">
      <alignment vertical="center"/>
    </xf>
    <xf numFmtId="0" fontId="15" fillId="20" borderId="56" xfId="0" applyFont="1" applyFill="1" applyBorder="1" applyAlignment="1">
      <alignment vertical="center"/>
    </xf>
    <xf numFmtId="0" fontId="15" fillId="20" borderId="64" xfId="0" applyFont="1" applyFill="1" applyBorder="1" applyAlignment="1">
      <alignment vertical="center"/>
    </xf>
    <xf numFmtId="0" fontId="10" fillId="0" borderId="22" xfId="0" applyFont="1" applyBorder="1" applyAlignment="1">
      <alignment horizontal="center" vertical="center" wrapText="1"/>
    </xf>
    <xf numFmtId="0" fontId="11" fillId="2" borderId="52" xfId="0" applyFont="1" applyFill="1" applyBorder="1" applyAlignment="1">
      <alignment horizontal="center" vertical="center" wrapText="1"/>
    </xf>
    <xf numFmtId="0" fontId="11" fillId="3" borderId="48" xfId="0" applyNumberFormat="1" applyFont="1" applyFill="1" applyBorder="1" applyAlignment="1">
      <alignment horizontal="center" vertical="center" textRotation="90" wrapText="1"/>
    </xf>
    <xf numFmtId="0" fontId="11" fillId="3" borderId="18" xfId="0" applyNumberFormat="1" applyFont="1" applyFill="1" applyBorder="1" applyAlignment="1">
      <alignment horizontal="center" vertical="center" textRotation="90" wrapText="1"/>
    </xf>
    <xf numFmtId="164" fontId="11" fillId="14" borderId="14" xfId="0" applyNumberFormat="1" applyFont="1" applyFill="1" applyBorder="1" applyAlignment="1">
      <alignment horizontal="center" vertical="center" textRotation="90" wrapText="1"/>
    </xf>
    <xf numFmtId="164" fontId="11" fillId="14" borderId="15" xfId="0" applyNumberFormat="1" applyFont="1" applyFill="1" applyBorder="1" applyAlignment="1">
      <alignment horizontal="center" vertical="center" textRotation="90" wrapText="1"/>
    </xf>
    <xf numFmtId="164" fontId="11" fillId="14" borderId="40" xfId="0" applyNumberFormat="1" applyFont="1" applyFill="1" applyBorder="1" applyAlignment="1">
      <alignment horizontal="center" vertical="center" textRotation="90" wrapText="1"/>
    </xf>
    <xf numFmtId="0" fontId="11" fillId="3" borderId="14" xfId="0" applyNumberFormat="1" applyFont="1" applyFill="1" applyBorder="1" applyAlignment="1">
      <alignment horizontal="center" vertical="center" textRotation="90" wrapText="1"/>
    </xf>
    <xf numFmtId="0" fontId="11" fillId="3" borderId="15" xfId="0" applyNumberFormat="1" applyFont="1" applyFill="1" applyBorder="1" applyAlignment="1">
      <alignment horizontal="center" vertical="center" textRotation="90" wrapText="1"/>
    </xf>
    <xf numFmtId="0" fontId="11" fillId="4" borderId="16" xfId="0" applyNumberFormat="1" applyFont="1" applyFill="1" applyBorder="1" applyAlignment="1">
      <alignment horizontal="center" vertical="center" textRotation="90" wrapText="1"/>
    </xf>
    <xf numFmtId="0" fontId="11" fillId="2" borderId="18" xfId="0" applyFont="1" applyFill="1" applyBorder="1" applyAlignment="1">
      <alignment horizontal="center" vertical="center" wrapText="1"/>
    </xf>
    <xf numFmtId="0" fontId="11" fillId="2" borderId="65" xfId="0" applyFont="1" applyFill="1" applyBorder="1" applyAlignment="1">
      <alignment horizontal="center" vertical="center" wrapText="1"/>
    </xf>
    <xf numFmtId="0" fontId="11" fillId="4" borderId="18" xfId="0" applyNumberFormat="1" applyFont="1" applyFill="1" applyBorder="1" applyAlignment="1">
      <alignment horizontal="center" vertical="center" wrapText="1"/>
    </xf>
    <xf numFmtId="1" fontId="10" fillId="12" borderId="42" xfId="3" applyNumberFormat="1" applyFont="1" applyFill="1" applyBorder="1" applyAlignment="1">
      <alignment horizontal="center" vertical="center" wrapText="1"/>
    </xf>
    <xf numFmtId="166" fontId="11" fillId="14" borderId="51" xfId="3" applyNumberFormat="1" applyFont="1" applyFill="1" applyBorder="1" applyAlignment="1">
      <alignment horizontal="center" vertical="center" wrapText="1"/>
    </xf>
    <xf numFmtId="0" fontId="11" fillId="0" borderId="0" xfId="0" applyFont="1" applyFill="1" applyBorder="1" applyAlignment="1">
      <alignment vertical="center" wrapText="1"/>
    </xf>
    <xf numFmtId="0" fontId="10" fillId="0" borderId="0" xfId="0" applyFont="1" applyFill="1" applyBorder="1" applyAlignment="1">
      <alignment vertical="center" wrapText="1"/>
    </xf>
    <xf numFmtId="2" fontId="11" fillId="0" borderId="0" xfId="0" applyNumberFormat="1" applyFont="1" applyFill="1" applyBorder="1" applyAlignment="1">
      <alignment vertical="center"/>
    </xf>
    <xf numFmtId="0" fontId="10" fillId="0" borderId="0" xfId="0" applyFont="1" applyBorder="1" applyAlignment="1">
      <alignment horizontal="center" vertical="center" wrapText="1"/>
    </xf>
    <xf numFmtId="0" fontId="10" fillId="0" borderId="7" xfId="0" applyFont="1" applyBorder="1" applyAlignment="1">
      <alignment horizontal="center" vertical="center" wrapText="1"/>
    </xf>
    <xf numFmtId="0" fontId="10" fillId="0" borderId="1" xfId="0" applyFont="1" applyBorder="1" applyAlignment="1">
      <alignment horizontal="center" vertical="center" wrapText="1"/>
    </xf>
    <xf numFmtId="0" fontId="10" fillId="0" borderId="9" xfId="0" applyFont="1" applyBorder="1" applyAlignment="1">
      <alignment horizontal="center" vertical="center" wrapText="1"/>
    </xf>
    <xf numFmtId="0" fontId="7" fillId="0" borderId="23" xfId="0" applyFont="1" applyBorder="1" applyAlignment="1">
      <alignment horizontal="left" vertical="center" wrapText="1"/>
    </xf>
    <xf numFmtId="0" fontId="7" fillId="0" borderId="1" xfId="0" applyFont="1" applyBorder="1" applyAlignment="1">
      <alignment horizontal="left" vertical="center" wrapText="1"/>
    </xf>
    <xf numFmtId="0" fontId="7" fillId="0" borderId="11" xfId="0" applyFont="1" applyBorder="1" applyAlignment="1">
      <alignment horizontal="left" vertical="center" wrapText="1"/>
    </xf>
    <xf numFmtId="0" fontId="7" fillId="21" borderId="23" xfId="0" applyFont="1" applyFill="1" applyBorder="1" applyAlignment="1">
      <alignment horizontal="left" vertical="center" wrapText="1"/>
    </xf>
    <xf numFmtId="1" fontId="7" fillId="0" borderId="44" xfId="3" applyNumberFormat="1" applyFont="1" applyFill="1" applyBorder="1" applyAlignment="1">
      <alignment horizontal="left" vertical="center" wrapText="1"/>
    </xf>
    <xf numFmtId="166" fontId="7" fillId="0" borderId="42" xfId="3" applyNumberFormat="1" applyFont="1" applyFill="1" applyBorder="1" applyAlignment="1">
      <alignment horizontal="left" vertical="center" wrapText="1"/>
    </xf>
    <xf numFmtId="166" fontId="7" fillId="0" borderId="42" xfId="3" applyNumberFormat="1" applyFont="1" applyFill="1" applyBorder="1" applyAlignment="1">
      <alignment horizontal="center" vertical="center" wrapText="1"/>
    </xf>
    <xf numFmtId="166" fontId="7" fillId="0" borderId="52" xfId="3" applyNumberFormat="1" applyFont="1" applyFill="1" applyBorder="1" applyAlignment="1">
      <alignment horizontal="center" vertical="center" wrapText="1"/>
    </xf>
    <xf numFmtId="166" fontId="7" fillId="0" borderId="1" xfId="3" applyNumberFormat="1" applyFont="1" applyFill="1" applyBorder="1" applyAlignment="1">
      <alignment horizontal="left" vertical="center" wrapText="1"/>
    </xf>
    <xf numFmtId="166" fontId="7" fillId="0" borderId="1" xfId="3" applyNumberFormat="1" applyFont="1" applyFill="1" applyBorder="1" applyAlignment="1">
      <alignment horizontal="center" vertical="center" wrapText="1"/>
    </xf>
    <xf numFmtId="166" fontId="7" fillId="0" borderId="2" xfId="3" applyNumberFormat="1" applyFont="1" applyFill="1" applyBorder="1" applyAlignment="1">
      <alignment horizontal="center" vertical="center" wrapText="1"/>
    </xf>
    <xf numFmtId="0" fontId="7" fillId="0" borderId="1" xfId="0" applyFont="1" applyBorder="1" applyAlignment="1">
      <alignment vertical="center" wrapText="1"/>
    </xf>
    <xf numFmtId="166" fontId="7" fillId="0" borderId="11" xfId="3" applyNumberFormat="1" applyFont="1" applyFill="1" applyBorder="1" applyAlignment="1">
      <alignment horizontal="left" vertical="center" wrapText="1"/>
    </xf>
    <xf numFmtId="166" fontId="7" fillId="0" borderId="11" xfId="3" applyNumberFormat="1" applyFont="1" applyFill="1" applyBorder="1" applyAlignment="1">
      <alignment horizontal="center" vertical="center" wrapText="1"/>
    </xf>
    <xf numFmtId="166" fontId="7" fillId="0" borderId="26" xfId="3" applyNumberFormat="1" applyFont="1" applyFill="1" applyBorder="1" applyAlignment="1">
      <alignment horizontal="center" vertical="center" wrapText="1"/>
    </xf>
    <xf numFmtId="1" fontId="7" fillId="0" borderId="50" xfId="3" applyNumberFormat="1" applyFont="1" applyFill="1" applyBorder="1" applyAlignment="1">
      <alignment horizontal="left" vertical="center" wrapText="1"/>
    </xf>
    <xf numFmtId="166" fontId="11" fillId="14" borderId="47" xfId="3" applyNumberFormat="1" applyFont="1" applyFill="1" applyBorder="1" applyAlignment="1">
      <alignment horizontal="center" vertical="center" wrapText="1"/>
    </xf>
    <xf numFmtId="166" fontId="11" fillId="14" borderId="48" xfId="3" applyNumberFormat="1" applyFont="1" applyFill="1" applyBorder="1" applyAlignment="1">
      <alignment horizontal="center" vertical="center" wrapText="1"/>
    </xf>
    <xf numFmtId="166" fontId="11" fillId="14" borderId="67" xfId="3" applyNumberFormat="1" applyFont="1" applyFill="1" applyBorder="1" applyAlignment="1">
      <alignment horizontal="center" vertical="center" wrapText="1"/>
    </xf>
    <xf numFmtId="166" fontId="11" fillId="14" borderId="68" xfId="3" applyNumberFormat="1" applyFont="1" applyFill="1" applyBorder="1" applyAlignment="1">
      <alignment horizontal="center" vertical="center" wrapText="1"/>
    </xf>
    <xf numFmtId="0" fontId="11" fillId="15" borderId="11" xfId="0" applyFont="1" applyFill="1" applyBorder="1" applyAlignment="1">
      <alignment horizontal="center" vertical="center"/>
    </xf>
    <xf numFmtId="9" fontId="11" fillId="15" borderId="12" xfId="0" applyNumberFormat="1" applyFont="1" applyFill="1" applyBorder="1" applyAlignment="1">
      <alignment horizontal="center" vertical="center"/>
    </xf>
    <xf numFmtId="0" fontId="11" fillId="15" borderId="11" xfId="0" applyFont="1" applyFill="1" applyBorder="1" applyAlignment="1">
      <alignment horizontal="center" vertical="center"/>
    </xf>
    <xf numFmtId="0" fontId="10" fillId="0" borderId="7" xfId="0" applyFont="1" applyBorder="1" applyAlignment="1">
      <alignment horizontal="center" vertical="center" wrapText="1"/>
    </xf>
    <xf numFmtId="0" fontId="10" fillId="0" borderId="1"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0" xfId="0" applyFont="1" applyBorder="1" applyAlignment="1">
      <alignment horizontal="center" vertical="center" wrapText="1"/>
    </xf>
    <xf numFmtId="0" fontId="9" fillId="22" borderId="33" xfId="17" applyFont="1" applyFill="1" applyBorder="1" applyAlignment="1">
      <alignment horizontal="center" vertical="center" wrapText="1"/>
    </xf>
    <xf numFmtId="0" fontId="9" fillId="22" borderId="7" xfId="17" applyFont="1" applyFill="1" applyBorder="1" applyAlignment="1">
      <alignment horizontal="center" vertical="center" wrapText="1"/>
    </xf>
    <xf numFmtId="0" fontId="9" fillId="22" borderId="1" xfId="17" applyFont="1" applyFill="1" applyBorder="1" applyAlignment="1">
      <alignment horizontal="center" vertical="center" wrapText="1"/>
    </xf>
    <xf numFmtId="0" fontId="9" fillId="22" borderId="3" xfId="17" applyFont="1" applyFill="1" applyBorder="1" applyAlignment="1">
      <alignment horizontal="center" vertical="center" wrapText="1"/>
    </xf>
    <xf numFmtId="0" fontId="10" fillId="0" borderId="0" xfId="0" applyFont="1" applyBorder="1" applyAlignment="1">
      <alignment horizontal="center" vertical="center" wrapText="1"/>
    </xf>
    <xf numFmtId="0" fontId="10" fillId="0" borderId="7" xfId="0" applyFont="1" applyBorder="1" applyAlignment="1">
      <alignment horizontal="center" vertical="center" wrapText="1"/>
    </xf>
    <xf numFmtId="0" fontId="10" fillId="0" borderId="1" xfId="0" applyFont="1" applyBorder="1" applyAlignment="1">
      <alignment horizontal="center" vertical="center" wrapText="1"/>
    </xf>
    <xf numFmtId="0" fontId="10" fillId="0" borderId="9" xfId="0" applyFont="1" applyBorder="1" applyAlignment="1">
      <alignment horizontal="center" vertical="center" wrapText="1"/>
    </xf>
    <xf numFmtId="0" fontId="11" fillId="15" borderId="11" xfId="0" applyFont="1" applyFill="1" applyBorder="1" applyAlignment="1">
      <alignment horizontal="center" vertical="center"/>
    </xf>
    <xf numFmtId="0" fontId="17" fillId="0" borderId="1" xfId="0" applyFont="1" applyBorder="1" applyAlignment="1">
      <alignment horizontal="left" vertical="center" wrapText="1"/>
    </xf>
    <xf numFmtId="0" fontId="17" fillId="0" borderId="1" xfId="0" applyFont="1" applyBorder="1" applyAlignment="1">
      <alignment vertical="center" wrapText="1"/>
    </xf>
    <xf numFmtId="166" fontId="7" fillId="0" borderId="2" xfId="3" applyNumberFormat="1" applyFont="1" applyFill="1" applyBorder="1" applyAlignment="1">
      <alignment horizontal="left" vertical="center" wrapText="1"/>
    </xf>
    <xf numFmtId="0" fontId="10" fillId="7" borderId="3" xfId="0" applyFont="1" applyFill="1" applyBorder="1" applyAlignment="1">
      <alignment horizontal="center" vertical="center" textRotation="90" wrapText="1"/>
    </xf>
    <xf numFmtId="0" fontId="10" fillId="0" borderId="3" xfId="0" applyFont="1" applyBorder="1" applyAlignment="1">
      <alignment horizontal="center" vertical="center" wrapText="1"/>
    </xf>
    <xf numFmtId="0" fontId="11" fillId="16" borderId="3" xfId="0" applyFont="1" applyFill="1" applyBorder="1" applyAlignment="1">
      <alignment vertical="center" wrapText="1"/>
    </xf>
    <xf numFmtId="0" fontId="7" fillId="0" borderId="3" xfId="0" applyFont="1" applyBorder="1" applyAlignment="1">
      <alignment horizontal="left" vertical="center" wrapText="1"/>
    </xf>
    <xf numFmtId="0" fontId="10" fillId="0" borderId="3" xfId="2" applyNumberFormat="1" applyFont="1" applyBorder="1" applyAlignment="1">
      <alignment horizontal="center" vertical="center" wrapText="1"/>
    </xf>
    <xf numFmtId="1" fontId="7" fillId="0" borderId="49" xfId="3" applyNumberFormat="1" applyFont="1" applyFill="1" applyBorder="1" applyAlignment="1">
      <alignment horizontal="left" vertical="center" wrapText="1"/>
    </xf>
    <xf numFmtId="166" fontId="7" fillId="0" borderId="3" xfId="3" applyNumberFormat="1" applyFont="1" applyFill="1" applyBorder="1" applyAlignment="1">
      <alignment horizontal="left" vertical="center" wrapText="1"/>
    </xf>
    <xf numFmtId="166" fontId="7" fillId="0" borderId="69" xfId="3" applyNumberFormat="1" applyFont="1" applyFill="1" applyBorder="1" applyAlignment="1">
      <alignment horizontal="left" vertical="center" wrapText="1"/>
    </xf>
    <xf numFmtId="0" fontId="7" fillId="0" borderId="3" xfId="0" applyFont="1" applyBorder="1" applyAlignment="1">
      <alignment vertical="center" wrapText="1"/>
    </xf>
    <xf numFmtId="1" fontId="10" fillId="0" borderId="1" xfId="3" applyNumberFormat="1" applyFont="1" applyFill="1" applyBorder="1" applyAlignment="1">
      <alignment horizontal="center" vertical="center" wrapText="1"/>
    </xf>
    <xf numFmtId="0" fontId="10" fillId="0" borderId="7" xfId="0" applyFont="1" applyBorder="1" applyAlignment="1">
      <alignment horizontal="center" vertical="center" wrapText="1"/>
    </xf>
    <xf numFmtId="0" fontId="10" fillId="0" borderId="1" xfId="0" applyFont="1" applyBorder="1" applyAlignment="1">
      <alignment horizontal="center" vertical="center" wrapText="1"/>
    </xf>
    <xf numFmtId="0" fontId="10" fillId="0" borderId="9" xfId="0" applyFont="1" applyBorder="1" applyAlignment="1">
      <alignment horizontal="center" vertical="center" wrapText="1"/>
    </xf>
    <xf numFmtId="0" fontId="7" fillId="0" borderId="23" xfId="0" applyFont="1" applyBorder="1" applyAlignment="1">
      <alignment vertical="center" wrapText="1"/>
    </xf>
    <xf numFmtId="166" fontId="7" fillId="0" borderId="23" xfId="3" applyNumberFormat="1" applyFont="1" applyFill="1" applyBorder="1" applyAlignment="1">
      <alignment horizontal="left" vertical="center" wrapText="1"/>
    </xf>
    <xf numFmtId="166" fontId="7" fillId="0" borderId="23" xfId="3" applyNumberFormat="1" applyFont="1" applyFill="1" applyBorder="1" applyAlignment="1">
      <alignment horizontal="center" vertical="center" wrapText="1"/>
    </xf>
    <xf numFmtId="49" fontId="7" fillId="0" borderId="23" xfId="3" applyNumberFormat="1" applyFont="1" applyFill="1" applyBorder="1" applyAlignment="1">
      <alignment horizontal="center" vertical="center" wrapText="1"/>
    </xf>
    <xf numFmtId="0" fontId="10" fillId="0" borderId="0" xfId="0" applyFont="1" applyBorder="1" applyAlignment="1">
      <alignment horizontal="center" vertical="center" wrapText="1"/>
    </xf>
    <xf numFmtId="0" fontId="10" fillId="0" borderId="7" xfId="0" applyFont="1" applyBorder="1" applyAlignment="1">
      <alignment horizontal="center" vertical="center" wrapText="1"/>
    </xf>
    <xf numFmtId="0" fontId="10" fillId="0" borderId="1" xfId="0" applyFont="1" applyBorder="1" applyAlignment="1">
      <alignment horizontal="center" vertical="center" wrapText="1"/>
    </xf>
    <xf numFmtId="0" fontId="10" fillId="0" borderId="9" xfId="0" applyFont="1" applyBorder="1" applyAlignment="1">
      <alignment horizontal="center" vertical="center" wrapText="1"/>
    </xf>
    <xf numFmtId="0" fontId="11" fillId="15" borderId="11" xfId="0" applyFont="1" applyFill="1" applyBorder="1" applyAlignment="1">
      <alignment horizontal="center" vertical="center"/>
    </xf>
    <xf numFmtId="0" fontId="10" fillId="0" borderId="18" xfId="2" applyNumberFormat="1" applyFont="1" applyBorder="1" applyAlignment="1">
      <alignment horizontal="center" vertical="center" wrapText="1"/>
    </xf>
    <xf numFmtId="1" fontId="10" fillId="0" borderId="18" xfId="3" applyNumberFormat="1" applyFont="1" applyFill="1" applyBorder="1" applyAlignment="1">
      <alignment horizontal="center" vertical="center" wrapText="1"/>
    </xf>
    <xf numFmtId="49" fontId="7" fillId="0" borderId="42" xfId="3" applyNumberFormat="1" applyFont="1" applyFill="1" applyBorder="1" applyAlignment="1">
      <alignment horizontal="center" vertical="center" wrapText="1"/>
    </xf>
    <xf numFmtId="49" fontId="7" fillId="0" borderId="1" xfId="3" applyNumberFormat="1" applyFont="1" applyFill="1" applyBorder="1" applyAlignment="1">
      <alignment horizontal="center" vertical="center" wrapText="1"/>
    </xf>
    <xf numFmtId="0" fontId="7" fillId="7" borderId="1" xfId="0" applyFont="1" applyFill="1" applyBorder="1" applyAlignment="1">
      <alignment horizontal="left" vertical="center" wrapText="1"/>
    </xf>
    <xf numFmtId="0" fontId="7" fillId="7" borderId="1" xfId="0" applyFont="1" applyFill="1" applyBorder="1" applyAlignment="1">
      <alignment horizontal="center" vertical="center" wrapText="1"/>
    </xf>
    <xf numFmtId="166" fontId="7" fillId="7" borderId="1" xfId="3" applyNumberFormat="1" applyFont="1" applyFill="1" applyBorder="1" applyAlignment="1">
      <alignment horizontal="left" vertical="center" wrapText="1"/>
    </xf>
    <xf numFmtId="0" fontId="7" fillId="7" borderId="1" xfId="0" applyFont="1" applyFill="1" applyBorder="1" applyAlignment="1">
      <alignment vertical="center" wrapText="1"/>
    </xf>
    <xf numFmtId="0" fontId="11" fillId="15" borderId="11" xfId="0" applyFont="1" applyFill="1" applyBorder="1" applyAlignment="1">
      <alignment horizontal="center" vertical="center"/>
    </xf>
    <xf numFmtId="0" fontId="10" fillId="0" borderId="7" xfId="0" applyFont="1" applyBorder="1" applyAlignment="1">
      <alignment horizontal="center" vertical="center" wrapText="1"/>
    </xf>
    <xf numFmtId="0" fontId="10" fillId="0" borderId="1"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0" xfId="0" applyFont="1" applyBorder="1" applyAlignment="1">
      <alignment horizontal="center" vertical="center" wrapText="1"/>
    </xf>
    <xf numFmtId="1" fontId="10" fillId="12" borderId="3" xfId="3" applyNumberFormat="1" applyFont="1" applyFill="1" applyBorder="1" applyAlignment="1">
      <alignment horizontal="center" vertical="center" wrapText="1"/>
    </xf>
    <xf numFmtId="1" fontId="10" fillId="23" borderId="11" xfId="3" applyNumberFormat="1" applyFont="1" applyFill="1" applyBorder="1" applyAlignment="1">
      <alignment horizontal="center" vertical="center" wrapText="1"/>
    </xf>
    <xf numFmtId="166" fontId="7" fillId="0" borderId="3" xfId="3" applyNumberFormat="1" applyFont="1" applyFill="1" applyBorder="1" applyAlignment="1">
      <alignment horizontal="center" vertical="center" wrapText="1"/>
    </xf>
    <xf numFmtId="166" fontId="7" fillId="0" borderId="69" xfId="3" applyNumberFormat="1" applyFont="1" applyFill="1" applyBorder="1" applyAlignment="1">
      <alignment horizontal="center" vertical="center" wrapText="1"/>
    </xf>
    <xf numFmtId="0" fontId="11" fillId="16" borderId="18" xfId="0" applyFont="1" applyFill="1" applyBorder="1" applyAlignment="1">
      <alignment vertical="center" wrapText="1"/>
    </xf>
    <xf numFmtId="0" fontId="7" fillId="0" borderId="18" xfId="0" applyFont="1" applyBorder="1" applyAlignment="1">
      <alignment horizontal="left" vertical="center" wrapText="1"/>
    </xf>
    <xf numFmtId="1" fontId="7" fillId="0" borderId="1" xfId="3" applyNumberFormat="1" applyFont="1" applyFill="1" applyBorder="1" applyAlignment="1">
      <alignment horizontal="left" vertical="center" wrapText="1"/>
    </xf>
    <xf numFmtId="166" fontId="7" fillId="0" borderId="18" xfId="3" applyNumberFormat="1" applyFont="1" applyFill="1" applyBorder="1" applyAlignment="1">
      <alignment horizontal="left" vertical="center" wrapText="1"/>
    </xf>
    <xf numFmtId="166" fontId="7" fillId="0" borderId="18" xfId="3" applyNumberFormat="1" applyFont="1" applyFill="1" applyBorder="1" applyAlignment="1">
      <alignment horizontal="center" vertical="center" wrapText="1"/>
    </xf>
    <xf numFmtId="166" fontId="7" fillId="0" borderId="65" xfId="3" applyNumberFormat="1" applyFont="1" applyFill="1" applyBorder="1" applyAlignment="1">
      <alignment horizontal="center" vertical="center" wrapText="1"/>
    </xf>
    <xf numFmtId="0" fontId="7" fillId="0" borderId="18" xfId="0" applyFont="1" applyBorder="1" applyAlignment="1">
      <alignment vertical="center" wrapText="1"/>
    </xf>
    <xf numFmtId="1" fontId="7" fillId="0" borderId="3" xfId="3" applyNumberFormat="1" applyFont="1" applyFill="1" applyBorder="1" applyAlignment="1">
      <alignment horizontal="left" vertical="center" wrapText="1"/>
    </xf>
    <xf numFmtId="166" fontId="17" fillId="0" borderId="3" xfId="3" applyNumberFormat="1" applyFont="1" applyFill="1" applyBorder="1" applyAlignment="1">
      <alignment horizontal="left" vertical="center" wrapText="1"/>
    </xf>
    <xf numFmtId="17" fontId="17" fillId="0" borderId="3" xfId="3" applyNumberFormat="1" applyFont="1" applyFill="1" applyBorder="1" applyAlignment="1">
      <alignment horizontal="center" vertical="center" wrapText="1"/>
    </xf>
    <xf numFmtId="49" fontId="17" fillId="7" borderId="3" xfId="3" applyNumberFormat="1" applyFont="1" applyFill="1" applyBorder="1" applyAlignment="1">
      <alignment horizontal="left" vertical="center" wrapText="1"/>
    </xf>
    <xf numFmtId="0" fontId="10" fillId="0" borderId="8" xfId="0" applyFont="1" applyBorder="1" applyAlignment="1">
      <alignment horizontal="center" vertical="center" wrapText="1"/>
    </xf>
    <xf numFmtId="0" fontId="10" fillId="0" borderId="13" xfId="0" applyFont="1" applyBorder="1" applyAlignment="1">
      <alignment horizontal="center" vertical="center" wrapText="1"/>
    </xf>
    <xf numFmtId="0" fontId="10" fillId="0" borderId="18" xfId="0" applyFont="1" applyBorder="1" applyAlignment="1">
      <alignment horizontal="center" vertical="center" wrapText="1"/>
    </xf>
    <xf numFmtId="0" fontId="15" fillId="20" borderId="1" xfId="0" applyFont="1" applyFill="1" applyBorder="1" applyAlignment="1">
      <alignment vertical="center"/>
    </xf>
    <xf numFmtId="0" fontId="10" fillId="0" borderId="17" xfId="0" applyFont="1" applyBorder="1" applyAlignment="1">
      <alignment horizontal="center" vertical="center" wrapText="1"/>
    </xf>
    <xf numFmtId="0" fontId="10" fillId="0" borderId="19" xfId="0" applyFont="1" applyBorder="1" applyAlignment="1">
      <alignment horizontal="center" vertical="center" wrapText="1"/>
    </xf>
    <xf numFmtId="0" fontId="10" fillId="7" borderId="48" xfId="0" applyFont="1" applyFill="1" applyBorder="1" applyAlignment="1">
      <alignment horizontal="center" vertical="center" textRotation="90" wrapText="1"/>
    </xf>
    <xf numFmtId="0" fontId="10" fillId="0" borderId="48" xfId="0" applyFont="1" applyBorder="1" applyAlignment="1">
      <alignment horizontal="center" vertical="center" wrapText="1"/>
    </xf>
    <xf numFmtId="0" fontId="11" fillId="16" borderId="48" xfId="0" applyFont="1" applyFill="1" applyBorder="1" applyAlignment="1">
      <alignment vertical="center" wrapText="1"/>
    </xf>
    <xf numFmtId="0" fontId="7" fillId="0" borderId="48" xfId="0" applyFont="1" applyBorder="1" applyAlignment="1">
      <alignment horizontal="left" vertical="center" wrapText="1"/>
    </xf>
    <xf numFmtId="0" fontId="10" fillId="0" borderId="48" xfId="2" applyNumberFormat="1" applyFont="1" applyBorder="1" applyAlignment="1">
      <alignment horizontal="center" vertical="center" wrapText="1"/>
    </xf>
    <xf numFmtId="166" fontId="17" fillId="0" borderId="48" xfId="3" applyNumberFormat="1" applyFont="1" applyFill="1" applyBorder="1" applyAlignment="1">
      <alignment horizontal="left" vertical="center" wrapText="1"/>
    </xf>
    <xf numFmtId="17" fontId="17" fillId="0" borderId="48" xfId="3" applyNumberFormat="1" applyFont="1" applyFill="1" applyBorder="1" applyAlignment="1">
      <alignment horizontal="left" vertical="center" wrapText="1"/>
    </xf>
    <xf numFmtId="49" fontId="17" fillId="7" borderId="48" xfId="3" applyNumberFormat="1" applyFont="1" applyFill="1" applyBorder="1" applyAlignment="1">
      <alignment horizontal="left" vertical="center" wrapText="1"/>
    </xf>
    <xf numFmtId="166" fontId="7" fillId="0" borderId="48" xfId="3" applyNumberFormat="1" applyFont="1" applyFill="1" applyBorder="1" applyAlignment="1">
      <alignment horizontal="left" vertical="center" wrapText="1"/>
    </xf>
    <xf numFmtId="1" fontId="7" fillId="23" borderId="1" xfId="3" applyNumberFormat="1" applyFont="1" applyFill="1" applyBorder="1" applyAlignment="1">
      <alignment horizontal="left" vertical="center" wrapText="1"/>
    </xf>
    <xf numFmtId="1" fontId="10" fillId="23" borderId="1" xfId="3" applyNumberFormat="1" applyFont="1" applyFill="1" applyBorder="1" applyAlignment="1">
      <alignment horizontal="center" vertical="center" wrapText="1"/>
    </xf>
    <xf numFmtId="1" fontId="7" fillId="23" borderId="51" xfId="3" applyNumberFormat="1" applyFont="1" applyFill="1" applyBorder="1" applyAlignment="1">
      <alignment horizontal="left" vertical="center" wrapText="1"/>
    </xf>
    <xf numFmtId="0" fontId="10" fillId="0" borderId="69" xfId="2" applyNumberFormat="1" applyFont="1" applyFill="1" applyBorder="1" applyAlignment="1">
      <alignment horizontal="center" vertical="center" wrapText="1"/>
    </xf>
    <xf numFmtId="1" fontId="7" fillId="23" borderId="68" xfId="3" applyNumberFormat="1" applyFont="1" applyFill="1" applyBorder="1" applyAlignment="1">
      <alignment horizontal="left" vertical="center" wrapText="1"/>
    </xf>
    <xf numFmtId="0" fontId="11" fillId="15" borderId="3" xfId="0" applyFont="1" applyFill="1" applyBorder="1" applyAlignment="1">
      <alignment horizontal="center" vertical="center"/>
    </xf>
    <xf numFmtId="0" fontId="11" fillId="24" borderId="15" xfId="0" applyFont="1" applyFill="1" applyBorder="1" applyAlignment="1">
      <alignment horizontal="center" vertical="center"/>
    </xf>
    <xf numFmtId="9" fontId="11" fillId="24" borderId="19" xfId="0" applyNumberFormat="1" applyFont="1" applyFill="1" applyBorder="1" applyAlignment="1">
      <alignment horizontal="center" vertical="center"/>
    </xf>
    <xf numFmtId="1" fontId="10" fillId="23" borderId="48" xfId="3" applyNumberFormat="1" applyFont="1" applyFill="1" applyBorder="1" applyAlignment="1">
      <alignment horizontal="center" vertical="center" wrapText="1"/>
    </xf>
    <xf numFmtId="166" fontId="7" fillId="0" borderId="52" xfId="3" applyNumberFormat="1" applyFont="1" applyFill="1" applyBorder="1" applyAlignment="1">
      <alignment horizontal="left" vertical="center" wrapText="1"/>
    </xf>
    <xf numFmtId="0" fontId="10" fillId="0" borderId="42" xfId="0" applyFont="1" applyBorder="1" applyAlignment="1">
      <alignment vertical="center" wrapText="1"/>
    </xf>
    <xf numFmtId="0" fontId="15" fillId="20" borderId="42" xfId="0" applyFont="1" applyFill="1" applyBorder="1" applyAlignment="1">
      <alignment vertical="center"/>
    </xf>
    <xf numFmtId="0" fontId="10" fillId="0" borderId="2" xfId="0" applyFont="1" applyBorder="1" applyAlignment="1">
      <alignment horizontal="center" vertical="center" wrapText="1"/>
    </xf>
    <xf numFmtId="0" fontId="11" fillId="25" borderId="1" xfId="0" applyFont="1" applyFill="1" applyBorder="1" applyAlignment="1">
      <alignment horizontal="left" vertical="center" wrapText="1"/>
    </xf>
    <xf numFmtId="0" fontId="10" fillId="0" borderId="52" xfId="0" applyFont="1" applyBorder="1" applyAlignment="1">
      <alignment horizontal="center" vertical="center" wrapText="1"/>
    </xf>
    <xf numFmtId="0" fontId="10" fillId="0" borderId="63" xfId="0" applyFont="1" applyBorder="1" applyAlignment="1">
      <alignment horizontal="center" vertical="center" wrapText="1"/>
    </xf>
    <xf numFmtId="1" fontId="7" fillId="0" borderId="18" xfId="3" applyNumberFormat="1" applyFont="1" applyFill="1" applyBorder="1" applyAlignment="1">
      <alignment horizontal="left" vertical="center" wrapText="1"/>
    </xf>
    <xf numFmtId="166" fontId="7" fillId="7" borderId="1" xfId="3" applyNumberFormat="1" applyFont="1" applyFill="1" applyBorder="1" applyAlignment="1">
      <alignment horizontal="center" vertical="center" wrapText="1"/>
    </xf>
    <xf numFmtId="166" fontId="7" fillId="0" borderId="24" xfId="3" applyNumberFormat="1" applyFont="1" applyFill="1" applyBorder="1" applyAlignment="1">
      <alignment horizontal="left" vertical="center" wrapText="1"/>
    </xf>
    <xf numFmtId="166" fontId="7" fillId="0" borderId="24" xfId="3" applyNumberFormat="1" applyFont="1" applyFill="1" applyBorder="1" applyAlignment="1">
      <alignment horizontal="center" vertical="center" wrapText="1"/>
    </xf>
    <xf numFmtId="0" fontId="10" fillId="0" borderId="7" xfId="0" applyFont="1" applyBorder="1" applyAlignment="1">
      <alignment horizontal="center" vertical="center" wrapText="1"/>
    </xf>
    <xf numFmtId="0" fontId="10" fillId="0" borderId="1"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0" xfId="0" applyFont="1" applyBorder="1" applyAlignment="1">
      <alignment horizontal="center" vertical="center" wrapText="1"/>
    </xf>
    <xf numFmtId="0" fontId="11" fillId="15" borderId="11" xfId="0" applyFont="1" applyFill="1" applyBorder="1" applyAlignment="1">
      <alignment horizontal="center" vertical="center"/>
    </xf>
    <xf numFmtId="1" fontId="7" fillId="0" borderId="50" xfId="3" applyNumberFormat="1" applyFont="1" applyFill="1" applyBorder="1" applyAlignment="1">
      <alignment vertical="center" wrapText="1"/>
    </xf>
    <xf numFmtId="0" fontId="10" fillId="0" borderId="7" xfId="0" applyFont="1" applyBorder="1" applyAlignment="1">
      <alignment horizontal="center" vertical="center" wrapText="1"/>
    </xf>
    <xf numFmtId="0" fontId="10" fillId="0" borderId="1" xfId="0" applyFont="1" applyBorder="1" applyAlignment="1">
      <alignment horizontal="center" vertical="center" wrapText="1"/>
    </xf>
    <xf numFmtId="0" fontId="10" fillId="0" borderId="9" xfId="0" applyFont="1" applyBorder="1" applyAlignment="1">
      <alignment horizontal="center" vertical="center" wrapText="1"/>
    </xf>
    <xf numFmtId="1" fontId="10" fillId="0" borderId="48" xfId="3" applyNumberFormat="1" applyFont="1" applyFill="1" applyBorder="1" applyAlignment="1">
      <alignment horizontal="center" vertical="center" wrapText="1"/>
    </xf>
    <xf numFmtId="0" fontId="7" fillId="0" borderId="11" xfId="0" applyFont="1" applyBorder="1" applyAlignment="1">
      <alignment vertical="center" wrapText="1"/>
    </xf>
    <xf numFmtId="0" fontId="11" fillId="16" borderId="42" xfId="0" applyFont="1" applyFill="1" applyBorder="1" applyAlignment="1">
      <alignment vertical="center" wrapText="1"/>
    </xf>
    <xf numFmtId="0" fontId="7" fillId="0" borderId="42" xfId="0" applyFont="1" applyBorder="1" applyAlignment="1">
      <alignment horizontal="left" vertical="center" wrapText="1"/>
    </xf>
    <xf numFmtId="1" fontId="7" fillId="0" borderId="63" xfId="3" applyNumberFormat="1" applyFont="1" applyFill="1" applyBorder="1" applyAlignment="1">
      <alignment horizontal="left" vertical="center" wrapText="1"/>
    </xf>
    <xf numFmtId="0" fontId="10" fillId="2" borderId="51" xfId="0" applyFont="1" applyFill="1" applyBorder="1" applyAlignment="1">
      <alignment horizontal="center" vertical="center" wrapText="1"/>
    </xf>
    <xf numFmtId="0" fontId="10" fillId="2" borderId="11" xfId="0" applyFont="1" applyFill="1" applyBorder="1" applyAlignment="1">
      <alignment horizontal="center" vertical="center" wrapText="1"/>
    </xf>
    <xf numFmtId="0" fontId="11" fillId="4" borderId="48" xfId="0" applyNumberFormat="1" applyFont="1" applyFill="1" applyBorder="1" applyAlignment="1">
      <alignment horizontal="center" vertical="center" wrapText="1"/>
    </xf>
    <xf numFmtId="0" fontId="11" fillId="2" borderId="48" xfId="0" applyFont="1" applyFill="1" applyBorder="1" applyAlignment="1">
      <alignment horizontal="center" vertical="center" wrapText="1"/>
    </xf>
    <xf numFmtId="0" fontId="11" fillId="2" borderId="67" xfId="0" applyFont="1" applyFill="1" applyBorder="1" applyAlignment="1">
      <alignment horizontal="center" vertical="center" wrapText="1"/>
    </xf>
    <xf numFmtId="0" fontId="7" fillId="0" borderId="71" xfId="0" applyFont="1" applyBorder="1" applyAlignment="1">
      <alignment horizontal="left" vertical="center" wrapText="1"/>
    </xf>
    <xf numFmtId="0" fontId="7" fillId="0" borderId="2" xfId="0" applyFont="1" applyBorder="1" applyAlignment="1">
      <alignment horizontal="left" vertical="center" wrapText="1"/>
    </xf>
    <xf numFmtId="0" fontId="11" fillId="16" borderId="49" xfId="0" applyFont="1" applyFill="1" applyBorder="1" applyAlignment="1">
      <alignment horizontal="left" vertical="center" wrapText="1"/>
    </xf>
    <xf numFmtId="0" fontId="7" fillId="0" borderId="1" xfId="0" applyFont="1" applyBorder="1" applyAlignment="1">
      <alignment horizontal="center" vertical="center" wrapText="1"/>
    </xf>
    <xf numFmtId="0" fontId="7" fillId="0" borderId="71" xfId="0" applyFont="1" applyBorder="1" applyAlignment="1">
      <alignment horizontal="center" vertical="center" wrapText="1"/>
    </xf>
    <xf numFmtId="0" fontId="7" fillId="0" borderId="2" xfId="0" applyFont="1" applyBorder="1" applyAlignment="1">
      <alignment horizontal="center" vertical="center" wrapText="1"/>
    </xf>
    <xf numFmtId="0" fontId="11" fillId="16" borderId="1" xfId="0" applyFont="1" applyFill="1" applyBorder="1" applyAlignment="1">
      <alignment horizontal="left" vertical="center" wrapText="1"/>
    </xf>
    <xf numFmtId="0" fontId="10" fillId="0" borderId="69" xfId="0" applyFont="1" applyBorder="1" applyAlignment="1">
      <alignment horizontal="center" vertical="center" wrapText="1"/>
    </xf>
    <xf numFmtId="0" fontId="11" fillId="16" borderId="3" xfId="0" applyFont="1" applyFill="1" applyBorder="1" applyAlignment="1">
      <alignment horizontal="left" vertical="center" wrapText="1"/>
    </xf>
    <xf numFmtId="0" fontId="7" fillId="0" borderId="3" xfId="0" applyFont="1" applyBorder="1" applyAlignment="1">
      <alignment horizontal="center" vertical="center" wrapText="1"/>
    </xf>
    <xf numFmtId="0" fontId="7" fillId="0" borderId="72" xfId="0" applyFont="1" applyBorder="1" applyAlignment="1">
      <alignment horizontal="center" vertical="center" wrapText="1"/>
    </xf>
    <xf numFmtId="0" fontId="7" fillId="0" borderId="69" xfId="0" applyFont="1" applyBorder="1" applyAlignment="1">
      <alignment horizontal="center" vertical="center" wrapText="1"/>
    </xf>
    <xf numFmtId="0" fontId="11" fillId="16" borderId="50" xfId="0" applyFont="1" applyFill="1" applyBorder="1" applyAlignment="1">
      <alignment vertical="center" wrapText="1"/>
    </xf>
    <xf numFmtId="0" fontId="7" fillId="7" borderId="11" xfId="0" applyFont="1" applyFill="1" applyBorder="1" applyAlignment="1">
      <alignment horizontal="left" vertical="center" wrapText="1"/>
    </xf>
    <xf numFmtId="0" fontId="11" fillId="16" borderId="23" xfId="0" applyFont="1" applyFill="1" applyBorder="1" applyAlignment="1">
      <alignment horizontal="left" vertical="center" wrapText="1"/>
    </xf>
    <xf numFmtId="0" fontId="7" fillId="7" borderId="23" xfId="0" applyFont="1" applyFill="1" applyBorder="1" applyAlignment="1">
      <alignment horizontal="left" vertical="center" wrapText="1"/>
    </xf>
    <xf numFmtId="0" fontId="7" fillId="0" borderId="24" xfId="0" applyFont="1" applyBorder="1" applyAlignment="1">
      <alignment horizontal="center" vertical="center" wrapText="1"/>
    </xf>
    <xf numFmtId="0" fontId="7" fillId="0" borderId="52" xfId="0" applyFont="1" applyBorder="1" applyAlignment="1">
      <alignment horizontal="center" vertical="center" wrapText="1"/>
    </xf>
    <xf numFmtId="0" fontId="7" fillId="0" borderId="23" xfId="0" applyFont="1" applyBorder="1" applyAlignment="1">
      <alignment horizontal="center" vertical="center" wrapText="1"/>
    </xf>
    <xf numFmtId="0" fontId="7" fillId="0" borderId="69" xfId="0" applyFont="1" applyBorder="1" applyAlignment="1">
      <alignment horizontal="left" vertical="center" wrapText="1"/>
    </xf>
    <xf numFmtId="0" fontId="7" fillId="7" borderId="48" xfId="0" applyFont="1" applyFill="1" applyBorder="1" applyAlignment="1">
      <alignment horizontal="left" vertical="center" wrapText="1"/>
    </xf>
    <xf numFmtId="0" fontId="7" fillId="7" borderId="67" xfId="0" applyFont="1" applyFill="1" applyBorder="1" applyAlignment="1">
      <alignment horizontal="left" vertical="center" wrapText="1"/>
    </xf>
    <xf numFmtId="49" fontId="7" fillId="0" borderId="1" xfId="0" applyNumberFormat="1" applyFont="1" applyBorder="1" applyAlignment="1">
      <alignment horizontal="left" vertical="center" wrapText="1"/>
    </xf>
    <xf numFmtId="0" fontId="7" fillId="7" borderId="2" xfId="0" applyFont="1" applyFill="1" applyBorder="1" applyAlignment="1">
      <alignment horizontal="left" vertical="center" wrapText="1"/>
    </xf>
    <xf numFmtId="0" fontId="7" fillId="7" borderId="18" xfId="0" applyFont="1" applyFill="1" applyBorder="1" applyAlignment="1">
      <alignment horizontal="left" vertical="center" wrapText="1"/>
    </xf>
    <xf numFmtId="0" fontId="11" fillId="16" borderId="42" xfId="0" applyFont="1" applyFill="1" applyBorder="1" applyAlignment="1">
      <alignment horizontal="left" vertical="center" wrapText="1"/>
    </xf>
    <xf numFmtId="0" fontId="7" fillId="7" borderId="42" xfId="0" applyFont="1" applyFill="1" applyBorder="1" applyAlignment="1">
      <alignment horizontal="left" vertical="center" wrapText="1"/>
    </xf>
    <xf numFmtId="0" fontId="7" fillId="7" borderId="63" xfId="0" applyFont="1" applyFill="1" applyBorder="1" applyAlignment="1">
      <alignment horizontal="left" vertical="center" wrapText="1"/>
    </xf>
    <xf numFmtId="49" fontId="7" fillId="0" borderId="42" xfId="0" applyNumberFormat="1" applyFont="1" applyBorder="1" applyAlignment="1">
      <alignment horizontal="left" vertical="center" wrapText="1"/>
    </xf>
    <xf numFmtId="0" fontId="7" fillId="7" borderId="52" xfId="0" applyFont="1" applyFill="1" applyBorder="1" applyAlignment="1">
      <alignment horizontal="left" vertical="center" wrapText="1"/>
    </xf>
    <xf numFmtId="0" fontId="7" fillId="0" borderId="52" xfId="0" applyFont="1" applyBorder="1" applyAlignment="1">
      <alignment horizontal="left" vertical="center" wrapText="1"/>
    </xf>
    <xf numFmtId="0" fontId="1" fillId="0" borderId="59" xfId="0" applyFont="1" applyBorder="1" applyAlignment="1">
      <alignment horizontal="center"/>
    </xf>
    <xf numFmtId="0" fontId="1" fillId="0" borderId="32" xfId="0" applyFont="1" applyBorder="1" applyAlignment="1">
      <alignment horizontal="center"/>
    </xf>
    <xf numFmtId="0" fontId="1" fillId="0" borderId="30" xfId="0" applyFont="1" applyBorder="1" applyAlignment="1">
      <alignment horizontal="center"/>
    </xf>
    <xf numFmtId="0" fontId="1" fillId="0" borderId="6" xfId="0" applyFont="1" applyBorder="1" applyAlignment="1">
      <alignment horizontal="center"/>
    </xf>
    <xf numFmtId="0" fontId="1" fillId="0" borderId="19" xfId="0" applyFont="1" applyBorder="1" applyAlignment="1">
      <alignment horizontal="center"/>
    </xf>
    <xf numFmtId="0" fontId="18" fillId="0" borderId="39" xfId="0" applyFont="1" applyBorder="1" applyAlignment="1">
      <alignment horizontal="center"/>
    </xf>
    <xf numFmtId="0" fontId="18" fillId="0" borderId="57" xfId="0" applyFont="1" applyBorder="1" applyAlignment="1">
      <alignment horizontal="center"/>
    </xf>
    <xf numFmtId="0" fontId="18" fillId="0" borderId="5" xfId="0" applyFont="1" applyBorder="1" applyAlignment="1">
      <alignment horizontal="center"/>
    </xf>
    <xf numFmtId="9" fontId="18" fillId="0" borderId="57" xfId="0" applyNumberFormat="1" applyFont="1" applyFill="1" applyBorder="1" applyAlignment="1">
      <alignment horizontal="center"/>
    </xf>
    <xf numFmtId="49" fontId="7" fillId="0" borderId="1" xfId="3" applyNumberFormat="1" applyFont="1" applyFill="1" applyBorder="1" applyAlignment="1">
      <alignment horizontal="left" vertical="center" wrapText="1"/>
    </xf>
    <xf numFmtId="1" fontId="7" fillId="7" borderId="1" xfId="3" applyNumberFormat="1" applyFont="1" applyFill="1" applyBorder="1" applyAlignment="1">
      <alignment horizontal="left" vertical="center" wrapText="1"/>
    </xf>
    <xf numFmtId="17" fontId="7" fillId="0" borderId="1" xfId="3" applyNumberFormat="1" applyFont="1" applyFill="1" applyBorder="1" applyAlignment="1">
      <alignment horizontal="center" vertical="center" wrapText="1"/>
    </xf>
    <xf numFmtId="1" fontId="7" fillId="7" borderId="18" xfId="3" applyNumberFormat="1" applyFont="1" applyFill="1" applyBorder="1" applyAlignment="1">
      <alignment horizontal="left" vertical="center" wrapText="1"/>
    </xf>
    <xf numFmtId="0" fontId="11" fillId="25" borderId="1" xfId="0" applyFont="1" applyFill="1" applyBorder="1" applyAlignment="1">
      <alignment vertical="center" wrapText="1"/>
    </xf>
    <xf numFmtId="0" fontId="11" fillId="25" borderId="11" xfId="0" applyFont="1" applyFill="1" applyBorder="1" applyAlignment="1">
      <alignment vertical="center" wrapText="1"/>
    </xf>
    <xf numFmtId="0" fontId="7" fillId="7" borderId="11" xfId="0" applyFont="1" applyFill="1" applyBorder="1" applyAlignment="1">
      <alignment horizontal="center" vertical="center" wrapText="1"/>
    </xf>
    <xf numFmtId="166" fontId="7" fillId="7" borderId="11" xfId="3" applyNumberFormat="1" applyFont="1" applyFill="1" applyBorder="1" applyAlignment="1">
      <alignment horizontal="left" vertical="center" wrapText="1"/>
    </xf>
    <xf numFmtId="0" fontId="7" fillId="7" borderId="11" xfId="0" applyFont="1" applyFill="1" applyBorder="1" applyAlignment="1">
      <alignment vertical="center" wrapText="1"/>
    </xf>
    <xf numFmtId="166" fontId="7" fillId="7" borderId="11" xfId="3" applyNumberFormat="1" applyFont="1" applyFill="1" applyBorder="1" applyAlignment="1">
      <alignment horizontal="center" vertical="center" wrapText="1"/>
    </xf>
    <xf numFmtId="0" fontId="10" fillId="0" borderId="65" xfId="2" applyNumberFormat="1" applyFont="1" applyFill="1" applyBorder="1" applyAlignment="1">
      <alignment horizontal="center" vertical="center" wrapText="1"/>
    </xf>
    <xf numFmtId="0" fontId="17" fillId="0" borderId="42" xfId="0" applyFont="1" applyBorder="1" applyAlignment="1">
      <alignment horizontal="left" vertical="top" wrapText="1"/>
    </xf>
    <xf numFmtId="49" fontId="17" fillId="0" borderId="42" xfId="3" applyNumberFormat="1" applyFont="1" applyFill="1" applyBorder="1" applyAlignment="1">
      <alignment horizontal="left" vertical="center" wrapText="1"/>
    </xf>
    <xf numFmtId="0" fontId="7" fillId="0" borderId="42" xfId="0" applyFont="1" applyBorder="1" applyAlignment="1">
      <alignment vertical="center" wrapText="1"/>
    </xf>
    <xf numFmtId="166" fontId="7" fillId="0" borderId="48" xfId="3" applyNumberFormat="1" applyFont="1" applyFill="1" applyBorder="1" applyAlignment="1">
      <alignment horizontal="center" vertical="center" wrapText="1"/>
    </xf>
    <xf numFmtId="166" fontId="7" fillId="0" borderId="67" xfId="3" applyNumberFormat="1" applyFont="1" applyFill="1" applyBorder="1" applyAlignment="1">
      <alignment horizontal="center" vertical="center" wrapText="1"/>
    </xf>
    <xf numFmtId="0" fontId="19" fillId="0" borderId="73" xfId="0" applyFont="1" applyBorder="1" applyAlignment="1">
      <alignment horizontal="center" vertical="center" wrapText="1"/>
    </xf>
    <xf numFmtId="0" fontId="19" fillId="0" borderId="74" xfId="0" applyFont="1" applyBorder="1" applyAlignment="1">
      <alignment horizontal="center" vertical="center" wrapText="1"/>
    </xf>
    <xf numFmtId="0" fontId="20" fillId="0" borderId="75" xfId="0" applyFont="1" applyBorder="1" applyAlignment="1">
      <alignment horizontal="center" vertical="center" wrapText="1"/>
    </xf>
    <xf numFmtId="0" fontId="20" fillId="0" borderId="76" xfId="0" applyFont="1" applyBorder="1" applyAlignment="1">
      <alignment horizontal="center" vertical="center" wrapText="1"/>
    </xf>
    <xf numFmtId="0" fontId="22" fillId="0" borderId="60" xfId="0" applyFont="1" applyBorder="1" applyAlignment="1">
      <alignment horizontal="center" vertical="center" wrapText="1"/>
    </xf>
    <xf numFmtId="0" fontId="22" fillId="0" borderId="78" xfId="0" applyFont="1" applyBorder="1" applyAlignment="1">
      <alignment horizontal="center" vertical="center" wrapText="1"/>
    </xf>
    <xf numFmtId="0" fontId="22" fillId="0" borderId="58" xfId="0" applyFont="1" applyBorder="1" applyAlignment="1">
      <alignment horizontal="center" vertical="center" wrapText="1"/>
    </xf>
    <xf numFmtId="0" fontId="18" fillId="10" borderId="4" xfId="0" applyFont="1" applyFill="1" applyBorder="1" applyAlignment="1">
      <alignment horizontal="center" vertical="center"/>
    </xf>
    <xf numFmtId="0" fontId="18" fillId="26" borderId="78" xfId="0" applyFont="1" applyFill="1" applyBorder="1" applyAlignment="1">
      <alignment horizontal="center" vertical="center"/>
    </xf>
    <xf numFmtId="0" fontId="18" fillId="11" borderId="78" xfId="0" applyFont="1" applyFill="1" applyBorder="1" applyAlignment="1">
      <alignment horizontal="center" vertical="center"/>
    </xf>
    <xf numFmtId="166" fontId="7" fillId="0" borderId="26" xfId="3" applyNumberFormat="1" applyFont="1" applyFill="1" applyBorder="1" applyAlignment="1">
      <alignment horizontal="left" vertical="center" wrapText="1"/>
    </xf>
    <xf numFmtId="0" fontId="10" fillId="0" borderId="49" xfId="0" applyFont="1" applyBorder="1" applyAlignment="1">
      <alignment horizontal="center" vertical="center" wrapText="1"/>
    </xf>
    <xf numFmtId="0" fontId="10" fillId="0" borderId="7" xfId="0" applyFont="1" applyBorder="1" applyAlignment="1">
      <alignment horizontal="center" vertical="center" wrapText="1"/>
    </xf>
    <xf numFmtId="0" fontId="10" fillId="0" borderId="1"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3" xfId="0" applyFont="1" applyFill="1" applyBorder="1" applyAlignment="1">
      <alignment horizontal="center" vertical="center" wrapText="1"/>
    </xf>
    <xf numFmtId="17" fontId="7" fillId="0" borderId="42" xfId="0" applyNumberFormat="1" applyFont="1" applyBorder="1" applyAlignment="1">
      <alignment horizontal="center" vertical="center" wrapText="1"/>
    </xf>
    <xf numFmtId="0" fontId="10" fillId="0" borderId="7" xfId="0" applyFont="1" applyBorder="1" applyAlignment="1">
      <alignment horizontal="center" vertical="center" wrapText="1"/>
    </xf>
    <xf numFmtId="0" fontId="10" fillId="0" borderId="1"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7" xfId="0" applyFont="1" applyBorder="1" applyAlignment="1">
      <alignment horizontal="center" vertical="center" wrapText="1"/>
    </xf>
    <xf numFmtId="0" fontId="10" fillId="0" borderId="1"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7" xfId="0" applyFont="1" applyBorder="1" applyAlignment="1">
      <alignment horizontal="center" vertical="center" wrapText="1"/>
    </xf>
    <xf numFmtId="0" fontId="10" fillId="0" borderId="1" xfId="0" applyFont="1" applyBorder="1" applyAlignment="1">
      <alignment horizontal="center" vertical="center" wrapText="1"/>
    </xf>
    <xf numFmtId="0" fontId="10" fillId="0" borderId="9" xfId="0" applyFont="1" applyBorder="1" applyAlignment="1">
      <alignment horizontal="center" vertical="center" wrapText="1"/>
    </xf>
    <xf numFmtId="0" fontId="11" fillId="16" borderId="68" xfId="0" applyFont="1" applyFill="1" applyBorder="1" applyAlignment="1">
      <alignment vertical="center" wrapText="1"/>
    </xf>
    <xf numFmtId="0" fontId="7" fillId="0" borderId="48" xfId="0" applyFont="1" applyBorder="1" applyAlignment="1">
      <alignment vertical="center" wrapText="1"/>
    </xf>
    <xf numFmtId="1" fontId="7" fillId="0" borderId="68" xfId="3" applyNumberFormat="1" applyFont="1" applyFill="1" applyBorder="1" applyAlignment="1">
      <alignment horizontal="left" vertical="center" wrapText="1"/>
    </xf>
    <xf numFmtId="166" fontId="7" fillId="0" borderId="58" xfId="3" applyNumberFormat="1" applyFont="1" applyFill="1" applyBorder="1" applyAlignment="1">
      <alignment horizontal="left" vertical="center" wrapText="1"/>
    </xf>
    <xf numFmtId="166" fontId="7" fillId="0" borderId="58" xfId="3" applyNumberFormat="1" applyFont="1" applyFill="1" applyBorder="1" applyAlignment="1">
      <alignment horizontal="center" vertical="center" wrapText="1"/>
    </xf>
    <xf numFmtId="166" fontId="7" fillId="0" borderId="71" xfId="3" applyNumberFormat="1" applyFont="1" applyFill="1" applyBorder="1" applyAlignment="1">
      <alignment horizontal="left" vertical="center" wrapText="1"/>
    </xf>
    <xf numFmtId="166" fontId="7" fillId="0" borderId="71" xfId="3" applyNumberFormat="1" applyFont="1" applyFill="1" applyBorder="1" applyAlignment="1">
      <alignment horizontal="center" vertical="center" wrapText="1"/>
    </xf>
    <xf numFmtId="0" fontId="7" fillId="0" borderId="1" xfId="0" applyFont="1" applyBorder="1" applyAlignment="1">
      <alignment horizontal="justify" vertical="center" wrapText="1"/>
    </xf>
    <xf numFmtId="0" fontId="7" fillId="7" borderId="1" xfId="0" applyFont="1" applyFill="1" applyBorder="1" applyAlignment="1">
      <alignment horizontal="justify" vertical="center" wrapText="1"/>
    </xf>
    <xf numFmtId="1" fontId="7" fillId="0" borderId="11" xfId="3" applyNumberFormat="1" applyFont="1" applyFill="1" applyBorder="1" applyAlignment="1">
      <alignment horizontal="left" vertical="center" wrapText="1"/>
    </xf>
    <xf numFmtId="1" fontId="26" fillId="23" borderId="50" xfId="3" applyNumberFormat="1" applyFont="1" applyFill="1" applyBorder="1" applyAlignment="1">
      <alignment horizontal="left" vertical="center" wrapText="1"/>
    </xf>
    <xf numFmtId="17" fontId="7" fillId="0" borderId="3" xfId="3" applyNumberFormat="1" applyFont="1" applyFill="1" applyBorder="1" applyAlignment="1">
      <alignment horizontal="center" vertical="center" wrapText="1"/>
    </xf>
    <xf numFmtId="0" fontId="10" fillId="7" borderId="23" xfId="0" applyFont="1" applyFill="1" applyBorder="1" applyAlignment="1">
      <alignment horizontal="center" vertical="center" textRotation="90" wrapText="1"/>
    </xf>
    <xf numFmtId="1" fontId="10" fillId="0" borderId="23" xfId="3" applyNumberFormat="1" applyFont="1" applyFill="1" applyBorder="1" applyAlignment="1">
      <alignment horizontal="center" vertical="center" wrapText="1"/>
    </xf>
    <xf numFmtId="17" fontId="7" fillId="0" borderId="11" xfId="3" applyNumberFormat="1" applyFont="1" applyFill="1" applyBorder="1" applyAlignment="1">
      <alignment horizontal="center" vertical="center" wrapText="1"/>
    </xf>
    <xf numFmtId="0" fontId="7" fillId="0" borderId="3" xfId="0" applyFont="1" applyBorder="1" applyAlignment="1">
      <alignment horizontal="justify" vertical="center" wrapText="1"/>
    </xf>
    <xf numFmtId="0" fontId="7" fillId="7" borderId="3" xfId="0" applyFont="1" applyFill="1" applyBorder="1" applyAlignment="1">
      <alignment horizontal="justify" vertical="center" wrapText="1"/>
    </xf>
    <xf numFmtId="1" fontId="10" fillId="0" borderId="3" xfId="3" applyNumberFormat="1" applyFont="1" applyFill="1" applyBorder="1" applyAlignment="1">
      <alignment horizontal="center" vertical="center" wrapText="1"/>
    </xf>
    <xf numFmtId="0" fontId="7" fillId="0" borderId="3" xfId="3" applyNumberFormat="1" applyFont="1" applyFill="1" applyBorder="1" applyAlignment="1">
      <alignment horizontal="center" vertical="center" wrapText="1"/>
    </xf>
    <xf numFmtId="0" fontId="10" fillId="0" borderId="1" xfId="0" applyFont="1" applyBorder="1" applyAlignment="1">
      <alignment horizontal="center" vertical="center" wrapText="1"/>
    </xf>
    <xf numFmtId="0" fontId="7" fillId="0" borderId="11" xfId="0" applyFont="1" applyFill="1" applyBorder="1" applyAlignment="1">
      <alignment horizontal="left" vertical="center" wrapText="1"/>
    </xf>
    <xf numFmtId="17" fontId="7" fillId="7" borderId="11" xfId="0" applyNumberFormat="1" applyFont="1" applyFill="1" applyBorder="1" applyAlignment="1">
      <alignment horizontal="center" vertical="center" wrapText="1"/>
    </xf>
    <xf numFmtId="0" fontId="10" fillId="0" borderId="1" xfId="0" applyFont="1" applyBorder="1" applyAlignment="1">
      <alignment horizontal="center" vertical="center" wrapText="1"/>
    </xf>
    <xf numFmtId="0" fontId="11" fillId="25" borderId="42" xfId="0" applyFont="1" applyFill="1" applyBorder="1" applyAlignment="1">
      <alignment horizontal="left" vertical="center" wrapText="1"/>
    </xf>
    <xf numFmtId="0" fontId="10" fillId="0" borderId="7" xfId="0" applyFont="1" applyBorder="1" applyAlignment="1">
      <alignment horizontal="center" vertical="center" wrapText="1"/>
    </xf>
    <xf numFmtId="0" fontId="10" fillId="0" borderId="1" xfId="0" applyFont="1" applyBorder="1" applyAlignment="1">
      <alignment horizontal="center" vertical="center" wrapText="1"/>
    </xf>
    <xf numFmtId="0" fontId="10" fillId="0" borderId="9" xfId="0" applyFont="1" applyBorder="1" applyAlignment="1">
      <alignment horizontal="center" vertical="center" wrapText="1"/>
    </xf>
    <xf numFmtId="1" fontId="10" fillId="0" borderId="0" xfId="0" applyNumberFormat="1" applyFont="1" applyAlignment="1">
      <alignment vertical="center"/>
    </xf>
    <xf numFmtId="0" fontId="1" fillId="0" borderId="34" xfId="0" applyFont="1" applyBorder="1" applyAlignment="1">
      <alignment horizontal="center"/>
    </xf>
    <xf numFmtId="0" fontId="1" fillId="0" borderId="35" xfId="0" applyFont="1" applyBorder="1" applyAlignment="1">
      <alignment horizontal="center"/>
    </xf>
    <xf numFmtId="0" fontId="0" fillId="0" borderId="57" xfId="0" applyBorder="1" applyAlignment="1">
      <alignment horizontal="center" vertical="center"/>
    </xf>
    <xf numFmtId="0" fontId="0" fillId="0" borderId="6" xfId="0" applyBorder="1" applyAlignment="1">
      <alignment horizontal="center" vertical="center"/>
    </xf>
    <xf numFmtId="0" fontId="0" fillId="0" borderId="20" xfId="0" applyBorder="1"/>
    <xf numFmtId="9" fontId="18" fillId="0" borderId="40" xfId="0" applyNumberFormat="1" applyFont="1" applyBorder="1" applyAlignment="1">
      <alignment horizontal="center" vertical="center"/>
    </xf>
    <xf numFmtId="0" fontId="18" fillId="0" borderId="4" xfId="0" applyFont="1" applyBorder="1"/>
    <xf numFmtId="9" fontId="1" fillId="0" borderId="57" xfId="3" applyFont="1" applyBorder="1" applyAlignment="1">
      <alignment horizontal="center" vertical="center"/>
    </xf>
    <xf numFmtId="9" fontId="1" fillId="0" borderId="20" xfId="3" applyFont="1" applyBorder="1" applyAlignment="1">
      <alignment vertical="center"/>
    </xf>
    <xf numFmtId="0" fontId="10" fillId="0" borderId="11" xfId="0" applyFont="1" applyFill="1" applyBorder="1" applyAlignment="1">
      <alignment horizontal="center" vertical="center" textRotation="90" wrapText="1"/>
    </xf>
    <xf numFmtId="0" fontId="10" fillId="0" borderId="1" xfId="0" applyFont="1" applyFill="1" applyBorder="1" applyAlignment="1">
      <alignment horizontal="center" vertical="center" textRotation="90" wrapText="1"/>
    </xf>
    <xf numFmtId="0" fontId="10" fillId="0" borderId="3" xfId="0" applyFont="1" applyFill="1" applyBorder="1" applyAlignment="1">
      <alignment horizontal="center" vertical="center" textRotation="90" wrapText="1"/>
    </xf>
    <xf numFmtId="0" fontId="10" fillId="0" borderId="18" xfId="0" applyFont="1" applyFill="1" applyBorder="1" applyAlignment="1">
      <alignment horizontal="center" vertical="center" textRotation="90" wrapText="1"/>
    </xf>
    <xf numFmtId="0" fontId="10" fillId="0" borderId="1" xfId="0" applyFont="1" applyFill="1" applyBorder="1" applyAlignment="1">
      <alignment horizontal="center" vertical="center" wrapText="1"/>
    </xf>
    <xf numFmtId="0" fontId="11" fillId="0" borderId="39" xfId="0" applyFont="1" applyBorder="1" applyAlignment="1">
      <alignment horizontal="left" vertical="center" wrapText="1"/>
    </xf>
    <xf numFmtId="0" fontId="11" fillId="0" borderId="20" xfId="0" applyFont="1" applyBorder="1" applyAlignment="1">
      <alignment horizontal="left" vertical="center" wrapText="1"/>
    </xf>
    <xf numFmtId="0" fontId="13" fillId="7" borderId="56" xfId="0" applyFont="1" applyFill="1" applyBorder="1" applyAlignment="1">
      <alignment horizontal="center" vertical="center" wrapText="1"/>
    </xf>
    <xf numFmtId="0" fontId="13" fillId="7" borderId="0" xfId="0" applyFont="1" applyFill="1" applyBorder="1" applyAlignment="1">
      <alignment horizontal="center" vertical="center" wrapText="1"/>
    </xf>
    <xf numFmtId="0" fontId="12" fillId="0" borderId="39" xfId="0" applyFont="1" applyBorder="1" applyAlignment="1">
      <alignment horizontal="center" vertical="center" wrapText="1"/>
    </xf>
    <xf numFmtId="0" fontId="12" fillId="0" borderId="20" xfId="0" applyFont="1" applyBorder="1" applyAlignment="1">
      <alignment horizontal="center" vertical="center" wrapText="1"/>
    </xf>
    <xf numFmtId="0" fontId="12" fillId="0" borderId="40" xfId="0" applyFont="1" applyBorder="1" applyAlignment="1">
      <alignment horizontal="center" vertical="center" wrapText="1"/>
    </xf>
    <xf numFmtId="0" fontId="14" fillId="0" borderId="39" xfId="0" applyFont="1" applyBorder="1" applyAlignment="1">
      <alignment horizontal="center" vertical="center" wrapText="1"/>
    </xf>
    <xf numFmtId="0" fontId="14" fillId="0" borderId="20" xfId="0" applyFont="1" applyBorder="1" applyAlignment="1">
      <alignment horizontal="center" vertical="center" wrapText="1"/>
    </xf>
    <xf numFmtId="168" fontId="14" fillId="0" borderId="39" xfId="0" applyNumberFormat="1" applyFont="1" applyBorder="1" applyAlignment="1">
      <alignment horizontal="center" vertical="center" wrapText="1"/>
    </xf>
    <xf numFmtId="168" fontId="14" fillId="0" borderId="20" xfId="0" applyNumberFormat="1" applyFont="1" applyBorder="1" applyAlignment="1">
      <alignment horizontal="center" vertical="center" wrapText="1"/>
    </xf>
    <xf numFmtId="168" fontId="14" fillId="0" borderId="40" xfId="0" applyNumberFormat="1" applyFont="1" applyBorder="1" applyAlignment="1">
      <alignment horizontal="center" vertical="center" wrapText="1"/>
    </xf>
    <xf numFmtId="14" fontId="14" fillId="0" borderId="39" xfId="0" applyNumberFormat="1" applyFont="1" applyBorder="1" applyAlignment="1">
      <alignment horizontal="center" vertical="center" wrapText="1"/>
    </xf>
    <xf numFmtId="14" fontId="14" fillId="0" borderId="20" xfId="0" applyNumberFormat="1" applyFont="1" applyBorder="1" applyAlignment="1">
      <alignment horizontal="center" vertical="center" wrapText="1"/>
    </xf>
    <xf numFmtId="14" fontId="14" fillId="0" borderId="40" xfId="0" applyNumberFormat="1" applyFont="1" applyBorder="1" applyAlignment="1">
      <alignment horizontal="center" vertical="center" wrapText="1"/>
    </xf>
    <xf numFmtId="0" fontId="14" fillId="0" borderId="40" xfId="0" applyFont="1" applyBorder="1" applyAlignment="1">
      <alignment horizontal="center" vertical="center" wrapText="1"/>
    </xf>
    <xf numFmtId="0" fontId="10" fillId="0" borderId="0" xfId="0" applyFont="1" applyBorder="1" applyAlignment="1">
      <alignment horizontal="center" vertical="center" wrapText="1"/>
    </xf>
    <xf numFmtId="0" fontId="11" fillId="7" borderId="21" xfId="0" applyFont="1" applyFill="1" applyBorder="1" applyAlignment="1">
      <alignment horizontal="center" vertical="center" textRotation="90" wrapText="1"/>
    </xf>
    <xf numFmtId="0" fontId="11" fillId="7" borderId="17" xfId="0" applyFont="1" applyFill="1" applyBorder="1" applyAlignment="1">
      <alignment horizontal="center" vertical="center" textRotation="90" wrapText="1"/>
    </xf>
    <xf numFmtId="0" fontId="11" fillId="7" borderId="47" xfId="0" applyFont="1" applyFill="1" applyBorder="1" applyAlignment="1">
      <alignment horizontal="center" vertical="center" textRotation="90" wrapText="1"/>
    </xf>
    <xf numFmtId="17" fontId="10" fillId="0" borderId="27" xfId="0" applyNumberFormat="1" applyFont="1" applyBorder="1" applyAlignment="1">
      <alignment horizontal="center" vertical="center" wrapText="1"/>
    </xf>
    <xf numFmtId="17" fontId="10" fillId="0" borderId="19" xfId="0" applyNumberFormat="1" applyFont="1" applyBorder="1" applyAlignment="1">
      <alignment horizontal="center" vertical="center" wrapText="1"/>
    </xf>
    <xf numFmtId="17" fontId="10" fillId="0" borderId="66" xfId="0" applyNumberFormat="1" applyFont="1" applyBorder="1" applyAlignment="1">
      <alignment horizontal="center" vertical="center" wrapText="1"/>
    </xf>
    <xf numFmtId="0" fontId="10" fillId="0" borderId="14" xfId="0" applyFont="1" applyBorder="1" applyAlignment="1">
      <alignment horizontal="justify" vertical="center"/>
    </xf>
    <xf numFmtId="0" fontId="10" fillId="0" borderId="15" xfId="0" applyFont="1" applyBorder="1" applyAlignment="1">
      <alignment horizontal="justify" vertical="center"/>
    </xf>
    <xf numFmtId="0" fontId="10" fillId="0" borderId="16" xfId="0" applyFont="1" applyBorder="1" applyAlignment="1">
      <alignment horizontal="justify" vertical="center"/>
    </xf>
    <xf numFmtId="0" fontId="11" fillId="11" borderId="14" xfId="0" applyFont="1" applyFill="1" applyBorder="1" applyAlignment="1">
      <alignment horizontal="center" vertical="center" wrapText="1"/>
    </xf>
    <xf numFmtId="0" fontId="11" fillId="11" borderId="15" xfId="0" applyFont="1" applyFill="1" applyBorder="1" applyAlignment="1">
      <alignment horizontal="center" vertical="center" wrapText="1"/>
    </xf>
    <xf numFmtId="0" fontId="11" fillId="11" borderId="16" xfId="0" applyFont="1" applyFill="1" applyBorder="1" applyAlignment="1">
      <alignment horizontal="center" vertical="center" wrapText="1"/>
    </xf>
    <xf numFmtId="0" fontId="11" fillId="10" borderId="5" xfId="0" applyFont="1" applyFill="1" applyBorder="1" applyAlignment="1">
      <alignment horizontal="center" vertical="center" wrapText="1"/>
    </xf>
    <xf numFmtId="0" fontId="11" fillId="10" borderId="62" xfId="0" applyFont="1" applyFill="1" applyBorder="1" applyAlignment="1">
      <alignment horizontal="center" vertical="center" wrapText="1"/>
    </xf>
    <xf numFmtId="0" fontId="11" fillId="10" borderId="6" xfId="0" applyFont="1" applyFill="1" applyBorder="1" applyAlignment="1">
      <alignment horizontal="center" vertical="center" wrapText="1"/>
    </xf>
    <xf numFmtId="0" fontId="11" fillId="10" borderId="64" xfId="0" applyFont="1" applyFill="1" applyBorder="1" applyAlignment="1">
      <alignment horizontal="center" vertical="center" wrapText="1"/>
    </xf>
    <xf numFmtId="0" fontId="11" fillId="10" borderId="58" xfId="0" applyFont="1" applyFill="1" applyBorder="1" applyAlignment="1">
      <alignment horizontal="center" vertical="center" wrapText="1"/>
    </xf>
    <xf numFmtId="0" fontId="11" fillId="10" borderId="60" xfId="0" applyFont="1" applyFill="1" applyBorder="1" applyAlignment="1">
      <alignment horizontal="center" vertical="center" wrapText="1"/>
    </xf>
    <xf numFmtId="0" fontId="11" fillId="5" borderId="39" xfId="0" applyFont="1" applyFill="1" applyBorder="1" applyAlignment="1">
      <alignment horizontal="center" vertical="center" wrapText="1"/>
    </xf>
    <xf numFmtId="0" fontId="11" fillId="5" borderId="40" xfId="0" applyFont="1" applyFill="1" applyBorder="1" applyAlignment="1">
      <alignment horizontal="center" vertical="center" wrapText="1"/>
    </xf>
    <xf numFmtId="0" fontId="11" fillId="19" borderId="5" xfId="0" applyFont="1" applyFill="1" applyBorder="1" applyAlignment="1">
      <alignment horizontal="center" vertical="center" wrapText="1"/>
    </xf>
    <xf numFmtId="0" fontId="11" fillId="19" borderId="62" xfId="0" applyFont="1" applyFill="1" applyBorder="1" applyAlignment="1">
      <alignment horizontal="center" vertical="center" wrapText="1"/>
    </xf>
    <xf numFmtId="0" fontId="11" fillId="19" borderId="6" xfId="0" applyFont="1" applyFill="1" applyBorder="1" applyAlignment="1">
      <alignment horizontal="center" vertical="center" wrapText="1"/>
    </xf>
    <xf numFmtId="0" fontId="11" fillId="19" borderId="64" xfId="0" applyFont="1" applyFill="1" applyBorder="1" applyAlignment="1">
      <alignment horizontal="center" vertical="center" wrapText="1"/>
    </xf>
    <xf numFmtId="0" fontId="11" fillId="19" borderId="58" xfId="0" applyFont="1" applyFill="1" applyBorder="1" applyAlignment="1">
      <alignment horizontal="center" vertical="center" wrapText="1"/>
    </xf>
    <xf numFmtId="0" fontId="11" fillId="19" borderId="60" xfId="0" applyFont="1" applyFill="1" applyBorder="1" applyAlignment="1">
      <alignment horizontal="center" vertical="center" wrapText="1"/>
    </xf>
    <xf numFmtId="0" fontId="11" fillId="17" borderId="39" xfId="0" applyFont="1" applyFill="1" applyBorder="1" applyAlignment="1">
      <alignment horizontal="center" vertical="center" wrapText="1"/>
    </xf>
    <xf numFmtId="0" fontId="11" fillId="17" borderId="20" xfId="0" applyFont="1" applyFill="1" applyBorder="1" applyAlignment="1">
      <alignment horizontal="center" vertical="center" wrapText="1"/>
    </xf>
    <xf numFmtId="0" fontId="11" fillId="17" borderId="40" xfId="0" applyFont="1" applyFill="1" applyBorder="1" applyAlignment="1">
      <alignment horizontal="center" vertical="center" wrapText="1"/>
    </xf>
    <xf numFmtId="0" fontId="11" fillId="2" borderId="17" xfId="0" applyFont="1" applyFill="1" applyBorder="1" applyAlignment="1">
      <alignment horizontal="center" vertical="center" textRotation="90" wrapText="1"/>
    </xf>
    <xf numFmtId="0" fontId="11" fillId="2" borderId="18" xfId="0" applyFont="1" applyFill="1" applyBorder="1" applyAlignment="1">
      <alignment horizontal="center" vertical="center" textRotation="90" wrapText="1"/>
    </xf>
    <xf numFmtId="0" fontId="11" fillId="2" borderId="48" xfId="0" applyFont="1" applyFill="1" applyBorder="1" applyAlignment="1">
      <alignment horizontal="center" vertical="center" textRotation="90" wrapText="1"/>
    </xf>
    <xf numFmtId="0" fontId="11" fillId="2" borderId="22" xfId="0" applyFont="1" applyFill="1" applyBorder="1" applyAlignment="1">
      <alignment horizontal="center" vertical="center" textRotation="90" wrapText="1"/>
    </xf>
    <xf numFmtId="0" fontId="11" fillId="2" borderId="34" xfId="0" applyFont="1" applyFill="1" applyBorder="1" applyAlignment="1">
      <alignment horizontal="center" vertical="center" wrapText="1"/>
    </xf>
    <xf numFmtId="0" fontId="11" fillId="2" borderId="38" xfId="0" applyFont="1" applyFill="1" applyBorder="1" applyAlignment="1">
      <alignment horizontal="center" vertical="center" wrapText="1"/>
    </xf>
    <xf numFmtId="0" fontId="11" fillId="18" borderId="5" xfId="0" applyFont="1" applyFill="1" applyBorder="1" applyAlignment="1">
      <alignment horizontal="center" vertical="center" wrapText="1"/>
    </xf>
    <xf numFmtId="0" fontId="11" fillId="18" borderId="62" xfId="0" applyFont="1" applyFill="1" applyBorder="1" applyAlignment="1">
      <alignment horizontal="center" vertical="center" wrapText="1"/>
    </xf>
    <xf numFmtId="0" fontId="11" fillId="18" borderId="6" xfId="0" applyFont="1" applyFill="1" applyBorder="1" applyAlignment="1">
      <alignment horizontal="center" vertical="center" wrapText="1"/>
    </xf>
    <xf numFmtId="9" fontId="11" fillId="0" borderId="0" xfId="0" applyNumberFormat="1" applyFont="1" applyFill="1" applyBorder="1" applyAlignment="1">
      <alignment horizontal="left" vertical="center"/>
    </xf>
    <xf numFmtId="2" fontId="11" fillId="8" borderId="10" xfId="0" applyNumberFormat="1" applyFont="1" applyFill="1" applyBorder="1" applyAlignment="1">
      <alignment horizontal="center" vertical="center"/>
    </xf>
    <xf numFmtId="2" fontId="11" fillId="8" borderId="11" xfId="0" applyNumberFormat="1" applyFont="1" applyFill="1" applyBorder="1" applyAlignment="1">
      <alignment horizontal="center" vertical="center"/>
    </xf>
    <xf numFmtId="2" fontId="11" fillId="8" borderId="12" xfId="0" applyNumberFormat="1" applyFont="1" applyFill="1" applyBorder="1" applyAlignment="1">
      <alignment horizontal="center" vertical="center"/>
    </xf>
    <xf numFmtId="0" fontId="11" fillId="18" borderId="39" xfId="0" applyNumberFormat="1" applyFont="1" applyFill="1" applyBorder="1" applyAlignment="1">
      <alignment horizontal="center" vertical="center" wrapText="1"/>
    </xf>
    <xf numFmtId="0" fontId="11" fillId="18" borderId="20" xfId="0" applyNumberFormat="1" applyFont="1" applyFill="1" applyBorder="1" applyAlignment="1">
      <alignment horizontal="center" vertical="center" wrapText="1"/>
    </xf>
    <xf numFmtId="0" fontId="11" fillId="18" borderId="28" xfId="0" applyNumberFormat="1" applyFont="1" applyFill="1" applyBorder="1" applyAlignment="1">
      <alignment horizontal="center" vertical="center" wrapText="1"/>
    </xf>
    <xf numFmtId="0" fontId="11" fillId="13" borderId="25" xfId="0" applyNumberFormat="1" applyFont="1" applyFill="1" applyBorder="1" applyAlignment="1">
      <alignment horizontal="center" vertical="center" wrapText="1"/>
    </xf>
    <xf numFmtId="0" fontId="11" fillId="13" borderId="12" xfId="0" applyNumberFormat="1" applyFont="1" applyFill="1" applyBorder="1" applyAlignment="1">
      <alignment horizontal="center" vertical="center" wrapText="1"/>
    </xf>
    <xf numFmtId="0" fontId="11" fillId="0" borderId="0" xfId="0" applyFont="1" applyFill="1" applyBorder="1" applyAlignment="1">
      <alignment horizontal="left" vertical="center"/>
    </xf>
    <xf numFmtId="0" fontId="15" fillId="20" borderId="5" xfId="0" applyFont="1" applyFill="1" applyBorder="1" applyAlignment="1">
      <alignment horizontal="center" vertical="center"/>
    </xf>
    <xf numFmtId="0" fontId="15" fillId="20" borderId="56" xfId="0" applyFont="1" applyFill="1" applyBorder="1" applyAlignment="1">
      <alignment horizontal="center" vertical="center"/>
    </xf>
    <xf numFmtId="0" fontId="15" fillId="20" borderId="64" xfId="0" applyFont="1" applyFill="1" applyBorder="1" applyAlignment="1">
      <alignment horizontal="center" vertical="center"/>
    </xf>
    <xf numFmtId="0" fontId="15" fillId="20" borderId="5" xfId="0" applyFont="1" applyFill="1" applyBorder="1" applyAlignment="1">
      <alignment horizontal="center" vertical="center" wrapText="1"/>
    </xf>
    <xf numFmtId="0" fontId="15" fillId="20" borderId="64" xfId="0" applyFont="1" applyFill="1" applyBorder="1" applyAlignment="1">
      <alignment horizontal="center" vertical="center" wrapText="1"/>
    </xf>
    <xf numFmtId="0" fontId="15" fillId="20" borderId="56" xfId="0" applyFont="1" applyFill="1" applyBorder="1" applyAlignment="1">
      <alignment horizontal="center" vertical="center" wrapText="1"/>
    </xf>
    <xf numFmtId="0" fontId="10" fillId="0" borderId="7" xfId="0" applyFont="1" applyBorder="1" applyAlignment="1">
      <alignment horizontal="center" vertical="center" wrapText="1"/>
    </xf>
    <xf numFmtId="0" fontId="10" fillId="0" borderId="1" xfId="0" applyFont="1" applyBorder="1" applyAlignment="1">
      <alignment horizontal="center" vertical="center" wrapText="1"/>
    </xf>
    <xf numFmtId="0" fontId="10" fillId="0" borderId="9" xfId="0" applyFont="1" applyBorder="1" applyAlignment="1">
      <alignment horizontal="center" vertical="center" wrapText="1"/>
    </xf>
    <xf numFmtId="2" fontId="11" fillId="6" borderId="33" xfId="0" applyNumberFormat="1" applyFont="1" applyFill="1" applyBorder="1" applyAlignment="1">
      <alignment horizontal="center" vertical="center"/>
    </xf>
    <xf numFmtId="2" fontId="11" fillId="6" borderId="23" xfId="0" applyNumberFormat="1" applyFont="1" applyFill="1" applyBorder="1" applyAlignment="1">
      <alignment horizontal="center" vertical="center"/>
    </xf>
    <xf numFmtId="2" fontId="11" fillId="6" borderId="25" xfId="0" applyNumberFormat="1" applyFont="1" applyFill="1" applyBorder="1" applyAlignment="1">
      <alignment horizontal="center" vertical="center"/>
    </xf>
    <xf numFmtId="2" fontId="11" fillId="22" borderId="7" xfId="0" applyNumberFormat="1" applyFont="1" applyFill="1" applyBorder="1" applyAlignment="1">
      <alignment horizontal="center" vertical="center"/>
    </xf>
    <xf numFmtId="2" fontId="11" fillId="22" borderId="1" xfId="0" applyNumberFormat="1" applyFont="1" applyFill="1" applyBorder="1" applyAlignment="1">
      <alignment horizontal="center" vertical="center"/>
    </xf>
    <xf numFmtId="0" fontId="11" fillId="15" borderId="33" xfId="0" applyFont="1" applyFill="1" applyBorder="1" applyAlignment="1">
      <alignment horizontal="center" vertical="center" wrapText="1"/>
    </xf>
    <xf numFmtId="0" fontId="11" fillId="15" borderId="23" xfId="0" applyFont="1" applyFill="1" applyBorder="1" applyAlignment="1">
      <alignment horizontal="center" vertical="center" wrapText="1"/>
    </xf>
    <xf numFmtId="0" fontId="11" fillId="15" borderId="25" xfId="0" applyFont="1" applyFill="1" applyBorder="1" applyAlignment="1">
      <alignment horizontal="center" vertical="center" wrapText="1"/>
    </xf>
    <xf numFmtId="9" fontId="11" fillId="0" borderId="7" xfId="0" applyNumberFormat="1" applyFont="1" applyBorder="1" applyAlignment="1">
      <alignment horizontal="center" vertical="center"/>
    </xf>
    <xf numFmtId="9" fontId="11" fillId="0" borderId="1" xfId="0" applyNumberFormat="1" applyFont="1" applyBorder="1" applyAlignment="1">
      <alignment horizontal="center" vertical="center"/>
    </xf>
    <xf numFmtId="0" fontId="11" fillId="15" borderId="8" xfId="0" applyFont="1" applyFill="1" applyBorder="1" applyAlignment="1">
      <alignment horizontal="center" vertical="center"/>
    </xf>
    <xf numFmtId="0" fontId="11" fillId="15" borderId="3" xfId="0" applyFont="1" applyFill="1" applyBorder="1" applyAlignment="1">
      <alignment horizontal="center" vertical="center"/>
    </xf>
    <xf numFmtId="2" fontId="11" fillId="22" borderId="9" xfId="0" applyNumberFormat="1" applyFont="1" applyFill="1" applyBorder="1" applyAlignment="1">
      <alignment horizontal="center" vertical="center"/>
    </xf>
    <xf numFmtId="0" fontId="11" fillId="24" borderId="14" xfId="0" applyFont="1" applyFill="1" applyBorder="1" applyAlignment="1">
      <alignment horizontal="center" vertical="center"/>
    </xf>
    <xf numFmtId="0" fontId="10" fillId="24" borderId="15" xfId="0" applyFont="1" applyFill="1" applyBorder="1" applyAlignment="1">
      <alignment horizontal="center" vertical="center"/>
    </xf>
    <xf numFmtId="0" fontId="11" fillId="15" borderId="10" xfId="0" applyFont="1" applyFill="1" applyBorder="1" applyAlignment="1">
      <alignment horizontal="center" vertical="center"/>
    </xf>
    <xf numFmtId="0" fontId="11" fillId="15" borderId="11" xfId="0" applyFont="1" applyFill="1" applyBorder="1" applyAlignment="1">
      <alignment horizontal="center" vertical="center"/>
    </xf>
    <xf numFmtId="0" fontId="11" fillId="2" borderId="47" xfId="0" applyFont="1" applyFill="1" applyBorder="1" applyAlignment="1">
      <alignment horizontal="center" vertical="center" textRotation="90" wrapText="1"/>
    </xf>
    <xf numFmtId="0" fontId="11" fillId="18" borderId="5" xfId="0" applyNumberFormat="1" applyFont="1" applyFill="1" applyBorder="1" applyAlignment="1">
      <alignment horizontal="center" vertical="center" wrapText="1"/>
    </xf>
    <xf numFmtId="0" fontId="11" fillId="18" borderId="62" xfId="0" applyNumberFormat="1" applyFont="1" applyFill="1" applyBorder="1" applyAlignment="1">
      <alignment horizontal="center" vertical="center" wrapText="1"/>
    </xf>
    <xf numFmtId="0" fontId="11" fillId="18" borderId="54" xfId="0" applyNumberFormat="1" applyFont="1" applyFill="1" applyBorder="1" applyAlignment="1">
      <alignment horizontal="center" vertical="center" wrapText="1"/>
    </xf>
    <xf numFmtId="1" fontId="10" fillId="22" borderId="31" xfId="3" applyNumberFormat="1" applyFont="1" applyFill="1" applyBorder="1" applyAlignment="1">
      <alignment horizontal="center" vertical="center" wrapText="1"/>
    </xf>
    <xf numFmtId="1" fontId="10" fillId="22" borderId="50" xfId="3" applyNumberFormat="1" applyFont="1" applyFill="1" applyBorder="1" applyAlignment="1">
      <alignment horizontal="center" vertical="center" wrapText="1"/>
    </xf>
    <xf numFmtId="1" fontId="10" fillId="22" borderId="2" xfId="3" applyNumberFormat="1" applyFont="1" applyFill="1" applyBorder="1" applyAlignment="1">
      <alignment horizontal="center" vertical="center" wrapText="1"/>
    </xf>
    <xf numFmtId="1" fontId="10" fillId="22" borderId="36" xfId="3" applyNumberFormat="1" applyFont="1" applyFill="1" applyBorder="1" applyAlignment="1">
      <alignment horizontal="center" vertical="center" wrapText="1"/>
    </xf>
    <xf numFmtId="2" fontId="11" fillId="11" borderId="10" xfId="0" applyNumberFormat="1" applyFont="1" applyFill="1" applyBorder="1" applyAlignment="1">
      <alignment horizontal="center" vertical="center"/>
    </xf>
    <xf numFmtId="2" fontId="11" fillId="11" borderId="11" xfId="0" applyNumberFormat="1" applyFont="1" applyFill="1" applyBorder="1" applyAlignment="1">
      <alignment horizontal="center" vertical="center"/>
    </xf>
    <xf numFmtId="2" fontId="11" fillId="11" borderId="12" xfId="0" applyNumberFormat="1" applyFont="1" applyFill="1" applyBorder="1" applyAlignment="1">
      <alignment horizontal="center" vertical="center"/>
    </xf>
    <xf numFmtId="2" fontId="11" fillId="10" borderId="33" xfId="0" applyNumberFormat="1" applyFont="1" applyFill="1" applyBorder="1" applyAlignment="1">
      <alignment horizontal="center" vertical="center"/>
    </xf>
    <xf numFmtId="2" fontId="11" fillId="10" borderId="23" xfId="0" applyNumberFormat="1" applyFont="1" applyFill="1" applyBorder="1" applyAlignment="1">
      <alignment horizontal="center" vertical="center"/>
    </xf>
    <xf numFmtId="2" fontId="11" fillId="10" borderId="25" xfId="0" applyNumberFormat="1" applyFont="1" applyFill="1" applyBorder="1" applyAlignment="1">
      <alignment horizontal="center" vertical="center"/>
    </xf>
    <xf numFmtId="1" fontId="11" fillId="22" borderId="31" xfId="3" applyNumberFormat="1" applyFont="1" applyFill="1" applyBorder="1" applyAlignment="1">
      <alignment horizontal="center" vertical="center" wrapText="1"/>
    </xf>
    <xf numFmtId="1" fontId="11" fillId="22" borderId="50" xfId="3" applyNumberFormat="1" applyFont="1" applyFill="1" applyBorder="1" applyAlignment="1">
      <alignment horizontal="center" vertical="center" wrapText="1"/>
    </xf>
    <xf numFmtId="1" fontId="11" fillId="22" borderId="2" xfId="3" applyNumberFormat="1" applyFont="1" applyFill="1" applyBorder="1" applyAlignment="1">
      <alignment horizontal="center" vertical="center" wrapText="1"/>
    </xf>
    <xf numFmtId="1" fontId="11" fillId="22" borderId="36" xfId="3" applyNumberFormat="1" applyFont="1" applyFill="1" applyBorder="1" applyAlignment="1">
      <alignment horizontal="center" vertical="center" wrapText="1"/>
    </xf>
    <xf numFmtId="0" fontId="11" fillId="7" borderId="54" xfId="0" applyFont="1" applyFill="1" applyBorder="1" applyAlignment="1">
      <alignment horizontal="center" vertical="center" textRotation="90" wrapText="1"/>
    </xf>
    <xf numFmtId="0" fontId="11" fillId="7" borderId="70" xfId="0" applyFont="1" applyFill="1" applyBorder="1" applyAlignment="1">
      <alignment horizontal="center" vertical="center" textRotation="90" wrapText="1"/>
    </xf>
    <xf numFmtId="0" fontId="11" fillId="7" borderId="68" xfId="0" applyFont="1" applyFill="1" applyBorder="1" applyAlignment="1">
      <alignment horizontal="center" vertical="center" textRotation="90" wrapText="1"/>
    </xf>
    <xf numFmtId="17" fontId="10" fillId="0" borderId="79" xfId="0" applyNumberFormat="1" applyFont="1" applyBorder="1" applyAlignment="1">
      <alignment horizontal="center" vertical="center" wrapText="1"/>
    </xf>
    <xf numFmtId="17" fontId="10" fillId="0" borderId="65" xfId="0" applyNumberFormat="1" applyFont="1" applyBorder="1" applyAlignment="1">
      <alignment horizontal="center" vertical="center" wrapText="1"/>
    </xf>
    <xf numFmtId="17" fontId="10" fillId="0" borderId="67" xfId="0" applyNumberFormat="1" applyFont="1" applyBorder="1" applyAlignment="1">
      <alignment horizontal="center" vertical="center" wrapText="1"/>
    </xf>
    <xf numFmtId="0" fontId="11" fillId="7" borderId="63" xfId="0" applyFont="1" applyFill="1" applyBorder="1" applyAlignment="1">
      <alignment horizontal="center" vertical="center" textRotation="90" wrapText="1"/>
    </xf>
    <xf numFmtId="0" fontId="1" fillId="0" borderId="39" xfId="0" applyFont="1" applyBorder="1" applyAlignment="1">
      <alignment horizontal="center" vertical="center" wrapText="1"/>
    </xf>
    <xf numFmtId="0" fontId="1" fillId="0" borderId="20" xfId="0" applyFont="1" applyBorder="1" applyAlignment="1">
      <alignment horizontal="center" vertical="center" wrapText="1"/>
    </xf>
    <xf numFmtId="0" fontId="1" fillId="0" borderId="40" xfId="0" applyFont="1" applyBorder="1" applyAlignment="1">
      <alignment horizontal="center" vertical="center" wrapText="1"/>
    </xf>
    <xf numFmtId="0" fontId="1" fillId="0" borderId="39" xfId="0" applyFont="1" applyBorder="1" applyAlignment="1">
      <alignment horizontal="center" vertical="center"/>
    </xf>
    <xf numFmtId="0" fontId="1" fillId="0" borderId="20" xfId="0" applyFont="1" applyBorder="1" applyAlignment="1">
      <alignment horizontal="center" vertical="center"/>
    </xf>
    <xf numFmtId="0" fontId="1" fillId="0" borderId="40" xfId="0" applyFont="1" applyBorder="1" applyAlignment="1">
      <alignment horizontal="center" vertical="center"/>
    </xf>
    <xf numFmtId="0" fontId="22" fillId="0" borderId="5" xfId="0" applyFont="1" applyBorder="1" applyAlignment="1">
      <alignment horizontal="center" vertical="center" wrapText="1"/>
    </xf>
    <xf numFmtId="0" fontId="22" fillId="0" borderId="62" xfId="0" applyFont="1" applyBorder="1" applyAlignment="1">
      <alignment horizontal="center" vertical="center" wrapText="1"/>
    </xf>
    <xf numFmtId="0" fontId="22" fillId="0" borderId="6" xfId="0" applyFont="1" applyBorder="1" applyAlignment="1">
      <alignment horizontal="center" vertical="center" wrapText="1"/>
    </xf>
    <xf numFmtId="0" fontId="22" fillId="0" borderId="64" xfId="0" applyFont="1" applyBorder="1" applyAlignment="1">
      <alignment horizontal="center" vertical="center" wrapText="1"/>
    </xf>
    <xf numFmtId="0" fontId="22" fillId="0" borderId="58" xfId="0" applyFont="1" applyBorder="1" applyAlignment="1">
      <alignment horizontal="center" vertical="center" wrapText="1"/>
    </xf>
    <xf numFmtId="0" fontId="22" fillId="0" borderId="60" xfId="0" applyFont="1" applyBorder="1" applyAlignment="1">
      <alignment horizontal="center" vertical="center" wrapText="1"/>
    </xf>
    <xf numFmtId="0" fontId="22" fillId="0" borderId="39" xfId="0" applyFont="1" applyBorder="1" applyAlignment="1">
      <alignment horizontal="center" vertical="center" wrapText="1"/>
    </xf>
    <xf numFmtId="0" fontId="22" fillId="0" borderId="20" xfId="0" applyFont="1" applyBorder="1" applyAlignment="1">
      <alignment horizontal="center" vertical="center" wrapText="1"/>
    </xf>
    <xf numFmtId="0" fontId="22" fillId="0" borderId="40" xfId="0" applyFont="1" applyBorder="1" applyAlignment="1">
      <alignment horizontal="center" vertical="center" wrapText="1"/>
    </xf>
    <xf numFmtId="0" fontId="22" fillId="0" borderId="77" xfId="0" applyFont="1" applyBorder="1" applyAlignment="1">
      <alignment horizontal="center" vertical="center" wrapText="1"/>
    </xf>
    <xf numFmtId="0" fontId="22" fillId="0" borderId="78" xfId="0" applyFont="1" applyBorder="1" applyAlignment="1">
      <alignment horizontal="center" vertical="center" wrapText="1"/>
    </xf>
    <xf numFmtId="0" fontId="21" fillId="0" borderId="57" xfId="0" applyFont="1" applyBorder="1" applyAlignment="1">
      <alignment horizontal="center" vertical="center" textRotation="90" wrapText="1"/>
    </xf>
    <xf numFmtId="0" fontId="21" fillId="0" borderId="78" xfId="0" applyFont="1" applyBorder="1" applyAlignment="1">
      <alignment horizontal="center" vertical="center" textRotation="90" wrapText="1"/>
    </xf>
    <xf numFmtId="0" fontId="21" fillId="0" borderId="5" xfId="0" applyFont="1" applyBorder="1" applyAlignment="1">
      <alignment horizontal="center" vertical="center" textRotation="90" wrapText="1"/>
    </xf>
    <xf numFmtId="0" fontId="21" fillId="0" borderId="62" xfId="0" applyFont="1" applyBorder="1" applyAlignment="1">
      <alignment horizontal="center" vertical="center" textRotation="90" wrapText="1"/>
    </xf>
    <xf numFmtId="0" fontId="21" fillId="0" borderId="6" xfId="0" applyFont="1" applyBorder="1" applyAlignment="1">
      <alignment horizontal="center" vertical="center" textRotation="90" wrapText="1"/>
    </xf>
    <xf numFmtId="0" fontId="21" fillId="0" borderId="64" xfId="0" applyFont="1" applyBorder="1" applyAlignment="1">
      <alignment horizontal="center" vertical="center" textRotation="90" wrapText="1"/>
    </xf>
    <xf numFmtId="0" fontId="21" fillId="0" borderId="58" xfId="0" applyFont="1" applyBorder="1" applyAlignment="1">
      <alignment horizontal="center" vertical="center" textRotation="90" wrapText="1"/>
    </xf>
    <xf numFmtId="0" fontId="21" fillId="0" borderId="60" xfId="0" applyFont="1" applyBorder="1" applyAlignment="1">
      <alignment horizontal="center" vertical="center" textRotation="90" wrapText="1"/>
    </xf>
    <xf numFmtId="0" fontId="22" fillId="0" borderId="57" xfId="0" applyFont="1" applyBorder="1" applyAlignment="1">
      <alignment horizontal="center" vertical="center" wrapText="1"/>
    </xf>
    <xf numFmtId="41" fontId="2" fillId="0" borderId="31" xfId="8" applyFont="1" applyBorder="1" applyAlignment="1">
      <alignment horizontal="center" vertical="center"/>
    </xf>
    <xf numFmtId="41" fontId="2" fillId="0" borderId="36" xfId="8" applyFont="1" applyBorder="1" applyAlignment="1">
      <alignment horizontal="center" vertical="center"/>
    </xf>
    <xf numFmtId="41" fontId="2" fillId="0" borderId="41" xfId="8" applyFont="1" applyBorder="1" applyAlignment="1">
      <alignment horizontal="center" vertical="center"/>
    </xf>
    <xf numFmtId="41" fontId="2" fillId="0" borderId="37" xfId="8" applyFont="1" applyBorder="1" applyAlignment="1">
      <alignment horizontal="center" vertical="center"/>
    </xf>
    <xf numFmtId="0" fontId="3" fillId="0" borderId="0" xfId="0" applyFont="1" applyAlignment="1">
      <alignment horizontal="center" vertical="center"/>
    </xf>
    <xf numFmtId="0" fontId="3" fillId="0" borderId="0" xfId="0" applyFont="1" applyAlignment="1">
      <alignment horizontal="center"/>
    </xf>
    <xf numFmtId="0" fontId="3" fillId="9" borderId="39" xfId="0" applyFont="1" applyFill="1" applyBorder="1" applyAlignment="1">
      <alignment horizontal="center" vertical="center"/>
    </xf>
    <xf numFmtId="0" fontId="3" fillId="9" borderId="20" xfId="0" applyFont="1" applyFill="1" applyBorder="1" applyAlignment="1">
      <alignment horizontal="center" vertical="center"/>
    </xf>
    <xf numFmtId="0" fontId="3" fillId="9" borderId="40" xfId="0" applyFont="1" applyFill="1" applyBorder="1" applyAlignment="1">
      <alignment horizontal="center" vertical="center"/>
    </xf>
    <xf numFmtId="0" fontId="2" fillId="0" borderId="17" xfId="0" applyFont="1" applyBorder="1" applyAlignment="1">
      <alignment horizontal="justify" vertical="center"/>
    </xf>
    <xf numFmtId="0" fontId="2" fillId="0" borderId="18" xfId="0" applyFont="1" applyBorder="1" applyAlignment="1">
      <alignment horizontal="justify" vertical="center"/>
    </xf>
    <xf numFmtId="0" fontId="2" fillId="0" borderId="19" xfId="0" applyFont="1" applyBorder="1" applyAlignment="1">
      <alignment horizontal="justify" vertical="center"/>
    </xf>
    <xf numFmtId="2" fontId="3" fillId="6" borderId="23" xfId="0" applyNumberFormat="1" applyFont="1" applyFill="1" applyBorder="1" applyAlignment="1">
      <alignment horizontal="center" vertical="center"/>
    </xf>
    <xf numFmtId="2" fontId="3" fillId="6" borderId="25" xfId="0" applyNumberFormat="1" applyFont="1" applyFill="1" applyBorder="1" applyAlignment="1">
      <alignment horizontal="center" vertical="center"/>
    </xf>
    <xf numFmtId="2" fontId="3" fillId="6" borderId="33" xfId="0" applyNumberFormat="1" applyFont="1" applyFill="1" applyBorder="1" applyAlignment="1">
      <alignment horizontal="center" vertical="center"/>
    </xf>
    <xf numFmtId="0" fontId="3" fillId="9" borderId="14" xfId="0" applyFont="1" applyFill="1" applyBorder="1" applyAlignment="1">
      <alignment horizontal="center" vertical="center"/>
    </xf>
    <xf numFmtId="0" fontId="3" fillId="9" borderId="15" xfId="0" applyFont="1" applyFill="1" applyBorder="1" applyAlignment="1">
      <alignment horizontal="center" vertical="center"/>
    </xf>
    <xf numFmtId="0" fontId="3" fillId="9" borderId="16" xfId="0" applyFont="1" applyFill="1" applyBorder="1" applyAlignment="1">
      <alignment horizontal="center" vertical="center"/>
    </xf>
    <xf numFmtId="0" fontId="3" fillId="9" borderId="21" xfId="0" applyFont="1" applyFill="1" applyBorder="1" applyAlignment="1">
      <alignment horizontal="center" vertical="center"/>
    </xf>
    <xf numFmtId="0" fontId="3" fillId="9" borderId="22" xfId="0" applyFont="1" applyFill="1" applyBorder="1" applyAlignment="1">
      <alignment horizontal="center" vertical="center"/>
    </xf>
    <xf numFmtId="0" fontId="3" fillId="9" borderId="27" xfId="0" applyFont="1" applyFill="1" applyBorder="1" applyAlignment="1">
      <alignment horizontal="center" vertical="center"/>
    </xf>
    <xf numFmtId="0" fontId="2" fillId="0" borderId="14" xfId="0" applyFont="1" applyBorder="1" applyAlignment="1">
      <alignment horizontal="justify" vertical="center"/>
    </xf>
    <xf numFmtId="0" fontId="2" fillId="0" borderId="15" xfId="0" applyFont="1" applyBorder="1" applyAlignment="1">
      <alignment horizontal="justify" vertical="center"/>
    </xf>
    <xf numFmtId="0" fontId="2" fillId="0" borderId="16" xfId="0" applyFont="1" applyBorder="1" applyAlignment="1">
      <alignment horizontal="justify" vertical="center"/>
    </xf>
    <xf numFmtId="0" fontId="2" fillId="0" borderId="21" xfId="0" applyFont="1" applyBorder="1" applyAlignment="1">
      <alignment horizontal="justify" vertical="center" wrapText="1"/>
    </xf>
    <xf numFmtId="0" fontId="2" fillId="0" borderId="22" xfId="0" applyFont="1" applyBorder="1" applyAlignment="1">
      <alignment horizontal="justify" vertical="center" wrapText="1"/>
    </xf>
    <xf numFmtId="0" fontId="2" fillId="0" borderId="27" xfId="0" applyFont="1" applyBorder="1" applyAlignment="1">
      <alignment horizontal="justify" vertical="center" wrapText="1"/>
    </xf>
    <xf numFmtId="41" fontId="2" fillId="0" borderId="34" xfId="8" applyFont="1" applyBorder="1" applyAlignment="1">
      <alignment horizontal="center" vertical="center"/>
    </xf>
    <xf numFmtId="41" fontId="2" fillId="0" borderId="38" xfId="8" applyFont="1" applyBorder="1" applyAlignment="1">
      <alignment horizontal="center" vertical="center"/>
    </xf>
    <xf numFmtId="2" fontId="3" fillId="22" borderId="1" xfId="0" applyNumberFormat="1" applyFont="1" applyFill="1" applyBorder="1" applyAlignment="1">
      <alignment horizontal="center" vertical="center"/>
    </xf>
    <xf numFmtId="2" fontId="3" fillId="22" borderId="9" xfId="0" applyNumberFormat="1" applyFont="1" applyFill="1" applyBorder="1" applyAlignment="1">
      <alignment horizontal="center" vertical="center"/>
    </xf>
    <xf numFmtId="2" fontId="3" fillId="8" borderId="11" xfId="0" applyNumberFormat="1" applyFont="1" applyFill="1" applyBorder="1" applyAlignment="1">
      <alignment horizontal="center" vertical="center"/>
    </xf>
    <xf numFmtId="2" fontId="3" fillId="8" borderId="12" xfId="0" applyNumberFormat="1" applyFont="1" applyFill="1" applyBorder="1" applyAlignment="1">
      <alignment horizontal="center" vertical="center"/>
    </xf>
    <xf numFmtId="1" fontId="2" fillId="0" borderId="24" xfId="0" applyNumberFormat="1" applyFont="1" applyBorder="1" applyAlignment="1">
      <alignment horizontal="center" vertical="center"/>
    </xf>
    <xf numFmtId="1" fontId="2" fillId="0" borderId="38" xfId="0" applyNumberFormat="1" applyFont="1" applyBorder="1" applyAlignment="1">
      <alignment horizontal="center" vertical="center"/>
    </xf>
    <xf numFmtId="2" fontId="3" fillId="22" borderId="7" xfId="0" applyNumberFormat="1" applyFont="1" applyFill="1" applyBorder="1" applyAlignment="1">
      <alignment horizontal="center" vertical="center"/>
    </xf>
    <xf numFmtId="2" fontId="3" fillId="8" borderId="10" xfId="0" applyNumberFormat="1" applyFont="1" applyFill="1" applyBorder="1" applyAlignment="1">
      <alignment horizontal="center" vertical="center"/>
    </xf>
    <xf numFmtId="0" fontId="2" fillId="0" borderId="33" xfId="0" applyFont="1" applyBorder="1" applyAlignment="1">
      <alignment horizontal="center"/>
    </xf>
    <xf numFmtId="0" fontId="2" fillId="0" borderId="23" xfId="0" applyFont="1" applyBorder="1" applyAlignment="1">
      <alignment horizontal="center"/>
    </xf>
    <xf numFmtId="0" fontId="2" fillId="0" borderId="7" xfId="0" applyFont="1" applyBorder="1" applyAlignment="1">
      <alignment horizontal="center"/>
    </xf>
    <xf numFmtId="0" fontId="2" fillId="0" borderId="1" xfId="0" applyFont="1" applyBorder="1" applyAlignment="1">
      <alignment horizontal="center"/>
    </xf>
    <xf numFmtId="0" fontId="2" fillId="0" borderId="10" xfId="0" applyFont="1" applyBorder="1" applyAlignment="1">
      <alignment horizontal="center"/>
    </xf>
    <xf numFmtId="0" fontId="2" fillId="0" borderId="11" xfId="0" applyFont="1" applyBorder="1" applyAlignment="1">
      <alignment horizontal="center"/>
    </xf>
    <xf numFmtId="1" fontId="2" fillId="0" borderId="26" xfId="0" applyNumberFormat="1" applyFont="1" applyBorder="1" applyAlignment="1">
      <alignment horizontal="center" vertical="center"/>
    </xf>
    <xf numFmtId="1" fontId="2" fillId="0" borderId="37" xfId="0" applyNumberFormat="1" applyFont="1" applyBorder="1" applyAlignment="1">
      <alignment horizontal="center" vertical="center"/>
    </xf>
    <xf numFmtId="1" fontId="2" fillId="0" borderId="2" xfId="0" applyNumberFormat="1" applyFont="1" applyBorder="1" applyAlignment="1">
      <alignment horizontal="center" vertical="center"/>
    </xf>
    <xf numFmtId="1" fontId="2" fillId="0" borderId="36" xfId="0" applyNumberFormat="1" applyFont="1" applyBorder="1" applyAlignment="1">
      <alignment horizontal="center" vertical="center"/>
    </xf>
    <xf numFmtId="0" fontId="18" fillId="0" borderId="0" xfId="0" applyFont="1" applyBorder="1" applyAlignment="1">
      <alignment horizontal="center"/>
    </xf>
    <xf numFmtId="0" fontId="0" fillId="0" borderId="62" xfId="0" applyBorder="1" applyAlignment="1">
      <alignment horizontal="center"/>
    </xf>
    <xf numFmtId="0" fontId="0" fillId="0" borderId="0" xfId="0" applyAlignment="1">
      <alignment horizontal="center"/>
    </xf>
    <xf numFmtId="0" fontId="0" fillId="0" borderId="80" xfId="0" applyBorder="1" applyAlignment="1">
      <alignment horizontal="center"/>
    </xf>
  </cellXfs>
  <cellStyles count="224">
    <cellStyle name="Euro" xfId="1"/>
    <cellStyle name="Hipervínculo" xfId="4" builtinId="8" hidden="1"/>
    <cellStyle name="Hipervínculo" xfId="6" builtinId="8" hidden="1"/>
    <cellStyle name="Hipervínculo" xfId="9" builtinId="8" hidden="1"/>
    <cellStyle name="Hipervínculo" xfId="11" builtinId="8" hidden="1"/>
    <cellStyle name="Hipervínculo" xfId="13" builtinId="8" hidden="1"/>
    <cellStyle name="Hipervínculo" xfId="15" builtinId="8" hidden="1"/>
    <cellStyle name="Hipervínculo" xfId="18" builtinId="8" hidden="1"/>
    <cellStyle name="Hipervínculo" xfId="20" builtinId="8" hidden="1"/>
    <cellStyle name="Hipervínculo" xfId="22" builtinId="8" hidden="1"/>
    <cellStyle name="Hipervínculo" xfId="24" builtinId="8" hidden="1"/>
    <cellStyle name="Hipervínculo" xfId="26" builtinId="8" hidden="1"/>
    <cellStyle name="Hipervínculo" xfId="28" builtinId="8" hidden="1"/>
    <cellStyle name="Hipervínculo" xfId="30" builtinId="8" hidden="1"/>
    <cellStyle name="Hipervínculo" xfId="32" builtinId="8" hidden="1"/>
    <cellStyle name="Hipervínculo" xfId="34" builtinId="8" hidden="1"/>
    <cellStyle name="Hipervínculo" xfId="36" builtinId="8" hidden="1"/>
    <cellStyle name="Hipervínculo" xfId="38" builtinId="8" hidden="1"/>
    <cellStyle name="Hipervínculo" xfId="40" builtinId="8" hidden="1"/>
    <cellStyle name="Hipervínculo" xfId="42" builtinId="8" hidden="1"/>
    <cellStyle name="Hipervínculo" xfId="44" builtinId="8" hidden="1"/>
    <cellStyle name="Hipervínculo" xfId="46" builtinId="8" hidden="1"/>
    <cellStyle name="Hipervínculo" xfId="48" builtinId="8" hidden="1"/>
    <cellStyle name="Hipervínculo" xfId="50" builtinId="8" hidden="1"/>
    <cellStyle name="Hipervínculo" xfId="52" builtinId="8" hidden="1"/>
    <cellStyle name="Hipervínculo" xfId="54" builtinId="8" hidden="1"/>
    <cellStyle name="Hipervínculo" xfId="56" builtinId="8" hidden="1"/>
    <cellStyle name="Hipervínculo" xfId="58" builtinId="8" hidden="1"/>
    <cellStyle name="Hipervínculo" xfId="60" builtinId="8" hidden="1"/>
    <cellStyle name="Hipervínculo" xfId="62" builtinId="8" hidden="1"/>
    <cellStyle name="Hipervínculo" xfId="64" builtinId="8" hidden="1"/>
    <cellStyle name="Hipervínculo" xfId="66" builtinId="8" hidden="1"/>
    <cellStyle name="Hipervínculo" xfId="68" builtinId="8" hidden="1"/>
    <cellStyle name="Hipervínculo" xfId="70" builtinId="8" hidden="1"/>
    <cellStyle name="Hipervínculo" xfId="72" builtinId="8" hidden="1"/>
    <cellStyle name="Hipervínculo" xfId="74" builtinId="8" hidden="1"/>
    <cellStyle name="Hipervínculo" xfId="76" builtinId="8" hidden="1"/>
    <cellStyle name="Hipervínculo" xfId="78" builtinId="8" hidden="1"/>
    <cellStyle name="Hipervínculo" xfId="80" builtinId="8" hidden="1"/>
    <cellStyle name="Hipervínculo" xfId="82" builtinId="8" hidden="1"/>
    <cellStyle name="Hipervínculo" xfId="84" builtinId="8" hidden="1"/>
    <cellStyle name="Hipervínculo" xfId="86" builtinId="8" hidden="1"/>
    <cellStyle name="Hipervínculo" xfId="88" builtinId="8" hidden="1"/>
    <cellStyle name="Hipervínculo" xfId="90" builtinId="8" hidden="1"/>
    <cellStyle name="Hipervínculo" xfId="92" builtinId="8" hidden="1"/>
    <cellStyle name="Hipervínculo" xfId="94" builtinId="8" hidden="1"/>
    <cellStyle name="Hipervínculo" xfId="96" builtinId="8" hidden="1"/>
    <cellStyle name="Hipervínculo" xfId="98" builtinId="8" hidden="1"/>
    <cellStyle name="Hipervínculo" xfId="100" builtinId="8" hidden="1"/>
    <cellStyle name="Hipervínculo" xfId="102" builtinId="8" hidden="1"/>
    <cellStyle name="Hipervínculo" xfId="104" builtinId="8" hidden="1"/>
    <cellStyle name="Hipervínculo" xfId="106" builtinId="8" hidden="1"/>
    <cellStyle name="Hipervínculo" xfId="108" builtinId="8" hidden="1"/>
    <cellStyle name="Hipervínculo" xfId="110" builtinId="8" hidden="1"/>
    <cellStyle name="Hipervínculo" xfId="112" builtinId="8" hidden="1"/>
    <cellStyle name="Hipervínculo" xfId="114" builtinId="8" hidden="1"/>
    <cellStyle name="Hipervínculo" xfId="116" builtinId="8" hidden="1"/>
    <cellStyle name="Hipervínculo" xfId="118" builtinId="8" hidden="1"/>
    <cellStyle name="Hipervínculo" xfId="120" builtinId="8" hidden="1"/>
    <cellStyle name="Hipervínculo" xfId="122" builtinId="8" hidden="1"/>
    <cellStyle name="Hipervínculo" xfId="124" builtinId="8" hidden="1"/>
    <cellStyle name="Hipervínculo" xfId="126" builtinId="8" hidden="1"/>
    <cellStyle name="Hipervínculo" xfId="128" builtinId="8" hidden="1"/>
    <cellStyle name="Hipervínculo" xfId="130" builtinId="8" hidden="1"/>
    <cellStyle name="Hipervínculo" xfId="132" builtinId="8" hidden="1"/>
    <cellStyle name="Hipervínculo" xfId="134" builtinId="8" hidden="1"/>
    <cellStyle name="Hipervínculo" xfId="136" builtinId="8" hidden="1"/>
    <cellStyle name="Hipervínculo" xfId="138" builtinId="8" hidden="1"/>
    <cellStyle name="Hipervínculo" xfId="140" builtinId="8" hidden="1"/>
    <cellStyle name="Hipervínculo" xfId="142" builtinId="8" hidden="1"/>
    <cellStyle name="Hipervínculo" xfId="144" builtinId="8" hidden="1"/>
    <cellStyle name="Hipervínculo" xfId="146" builtinId="8" hidden="1"/>
    <cellStyle name="Hipervínculo" xfId="148" builtinId="8" hidden="1"/>
    <cellStyle name="Hipervínculo" xfId="150" builtinId="8" hidden="1"/>
    <cellStyle name="Hipervínculo" xfId="152" builtinId="8" hidden="1"/>
    <cellStyle name="Hipervínculo" xfId="154" builtinId="8" hidden="1"/>
    <cellStyle name="Hipervínculo" xfId="156" builtinId="8" hidden="1"/>
    <cellStyle name="Hipervínculo" xfId="158" builtinId="8" hidden="1"/>
    <cellStyle name="Hipervínculo" xfId="160" builtinId="8" hidden="1"/>
    <cellStyle name="Hipervínculo" xfId="162" builtinId="8" hidden="1"/>
    <cellStyle name="Hipervínculo" xfId="164" builtinId="8" hidden="1"/>
    <cellStyle name="Hipervínculo" xfId="166" builtinId="8" hidden="1"/>
    <cellStyle name="Hipervínculo" xfId="168" builtinId="8" hidden="1"/>
    <cellStyle name="Hipervínculo" xfId="170" builtinId="8" hidden="1"/>
    <cellStyle name="Hipervínculo" xfId="172" builtinId="8" hidden="1"/>
    <cellStyle name="Hipervínculo" xfId="174" builtinId="8" hidden="1"/>
    <cellStyle name="Hipervínculo" xfId="176" builtinId="8" hidden="1"/>
    <cellStyle name="Hipervínculo" xfId="178" builtinId="8" hidden="1"/>
    <cellStyle name="Hipervínculo" xfId="180" builtinId="8" hidden="1"/>
    <cellStyle name="Hipervínculo" xfId="182" builtinId="8" hidden="1"/>
    <cellStyle name="Hipervínculo" xfId="184" builtinId="8" hidden="1"/>
    <cellStyle name="Hipervínculo" xfId="186" builtinId="8" hidden="1"/>
    <cellStyle name="Hipervínculo" xfId="188" builtinId="8" hidden="1"/>
    <cellStyle name="Hipervínculo" xfId="190" builtinId="8" hidden="1"/>
    <cellStyle name="Hipervínculo" xfId="192" builtinId="8" hidden="1"/>
    <cellStyle name="Hipervínculo" xfId="194" builtinId="8" hidden="1"/>
    <cellStyle name="Hipervínculo" xfId="196" builtinId="8" hidden="1"/>
    <cellStyle name="Hipervínculo" xfId="198" builtinId="8" hidden="1"/>
    <cellStyle name="Hipervínculo" xfId="200" builtinId="8" hidden="1"/>
    <cellStyle name="Hipervínculo" xfId="202" builtinId="8" hidden="1"/>
    <cellStyle name="Hipervínculo" xfId="204" builtinId="8" hidden="1"/>
    <cellStyle name="Hipervínculo" xfId="206" builtinId="8" hidden="1"/>
    <cellStyle name="Hipervínculo" xfId="208" builtinId="8" hidden="1"/>
    <cellStyle name="Hipervínculo" xfId="210" builtinId="8" hidden="1"/>
    <cellStyle name="Hipervínculo" xfId="212" builtinId="8" hidden="1"/>
    <cellStyle name="Hipervínculo" xfId="214" builtinId="8" hidden="1"/>
    <cellStyle name="Hipervínculo" xfId="216" builtinId="8" hidden="1"/>
    <cellStyle name="Hipervínculo" xfId="218" builtinId="8" hidden="1"/>
    <cellStyle name="Hipervínculo" xfId="220" builtinId="8" hidden="1"/>
    <cellStyle name="Hipervínculo" xfId="222" builtinId="8" hidden="1"/>
    <cellStyle name="Hipervínculo visitado" xfId="5" builtinId="9" hidden="1"/>
    <cellStyle name="Hipervínculo visitado" xfId="7" builtinId="9" hidden="1"/>
    <cellStyle name="Hipervínculo visitado" xfId="10" builtinId="9" hidden="1"/>
    <cellStyle name="Hipervínculo visitado" xfId="12" builtinId="9" hidden="1"/>
    <cellStyle name="Hipervínculo visitado" xfId="14" builtinId="9" hidden="1"/>
    <cellStyle name="Hipervínculo visitado" xfId="16" builtinId="9" hidden="1"/>
    <cellStyle name="Hipervínculo visitado" xfId="19" builtinId="9" hidden="1"/>
    <cellStyle name="Hipervínculo visitado" xfId="21" builtinId="9" hidden="1"/>
    <cellStyle name="Hipervínculo visitado" xfId="23" builtinId="9" hidden="1"/>
    <cellStyle name="Hipervínculo visitado" xfId="25" builtinId="9" hidden="1"/>
    <cellStyle name="Hipervínculo visitado" xfId="27" builtinId="9" hidden="1"/>
    <cellStyle name="Hipervínculo visitado" xfId="29" builtinId="9" hidden="1"/>
    <cellStyle name="Hipervínculo visitado" xfId="31" builtinId="9" hidden="1"/>
    <cellStyle name="Hipervínculo visitado" xfId="33" builtinId="9" hidden="1"/>
    <cellStyle name="Hipervínculo visitado" xfId="35" builtinId="9" hidden="1"/>
    <cellStyle name="Hipervínculo visitado" xfId="37" builtinId="9" hidden="1"/>
    <cellStyle name="Hipervínculo visitado" xfId="39" builtinId="9" hidden="1"/>
    <cellStyle name="Hipervínculo visitado" xfId="41" builtinId="9" hidden="1"/>
    <cellStyle name="Hipervínculo visitado" xfId="43" builtinId="9" hidden="1"/>
    <cellStyle name="Hipervínculo visitado" xfId="45" builtinId="9" hidden="1"/>
    <cellStyle name="Hipervínculo visitado" xfId="47" builtinId="9" hidden="1"/>
    <cellStyle name="Hipervínculo visitado" xfId="49" builtinId="9" hidden="1"/>
    <cellStyle name="Hipervínculo visitado" xfId="51" builtinId="9" hidden="1"/>
    <cellStyle name="Hipervínculo visitado" xfId="53" builtinId="9" hidden="1"/>
    <cellStyle name="Hipervínculo visitado" xfId="55" builtinId="9" hidden="1"/>
    <cellStyle name="Hipervínculo visitado" xfId="57" builtinId="9" hidden="1"/>
    <cellStyle name="Hipervínculo visitado" xfId="59" builtinId="9" hidden="1"/>
    <cellStyle name="Hipervínculo visitado" xfId="61" builtinId="9" hidden="1"/>
    <cellStyle name="Hipervínculo visitado" xfId="63" builtinId="9" hidden="1"/>
    <cellStyle name="Hipervínculo visitado" xfId="65" builtinId="9" hidden="1"/>
    <cellStyle name="Hipervínculo visitado" xfId="67" builtinId="9" hidden="1"/>
    <cellStyle name="Hipervínculo visitado" xfId="69" builtinId="9" hidden="1"/>
    <cellStyle name="Hipervínculo visitado" xfId="71" builtinId="9" hidden="1"/>
    <cellStyle name="Hipervínculo visitado" xfId="73" builtinId="9" hidden="1"/>
    <cellStyle name="Hipervínculo visitado" xfId="75" builtinId="9" hidden="1"/>
    <cellStyle name="Hipervínculo visitado" xfId="77" builtinId="9" hidden="1"/>
    <cellStyle name="Hipervínculo visitado" xfId="79" builtinId="9" hidden="1"/>
    <cellStyle name="Hipervínculo visitado" xfId="81" builtinId="9" hidden="1"/>
    <cellStyle name="Hipervínculo visitado" xfId="83" builtinId="9" hidden="1"/>
    <cellStyle name="Hipervínculo visitado" xfId="85" builtinId="9" hidden="1"/>
    <cellStyle name="Hipervínculo visitado" xfId="87" builtinId="9" hidden="1"/>
    <cellStyle name="Hipervínculo visitado" xfId="89" builtinId="9" hidden="1"/>
    <cellStyle name="Hipervínculo visitado" xfId="91" builtinId="9" hidden="1"/>
    <cellStyle name="Hipervínculo visitado" xfId="93" builtinId="9" hidden="1"/>
    <cellStyle name="Hipervínculo visitado" xfId="95" builtinId="9" hidden="1"/>
    <cellStyle name="Hipervínculo visitado" xfId="97" builtinId="9" hidden="1"/>
    <cellStyle name="Hipervínculo visitado" xfId="99" builtinId="9" hidden="1"/>
    <cellStyle name="Hipervínculo visitado" xfId="101" builtinId="9" hidden="1"/>
    <cellStyle name="Hipervínculo visitado" xfId="103" builtinId="9" hidden="1"/>
    <cellStyle name="Hipervínculo visitado" xfId="105" builtinId="9" hidden="1"/>
    <cellStyle name="Hipervínculo visitado" xfId="107" builtinId="9" hidden="1"/>
    <cellStyle name="Hipervínculo visitado" xfId="109" builtinId="9" hidden="1"/>
    <cellStyle name="Hipervínculo visitado" xfId="111" builtinId="9" hidden="1"/>
    <cellStyle name="Hipervínculo visitado" xfId="113" builtinId="9" hidden="1"/>
    <cellStyle name="Hipervínculo visitado" xfId="115" builtinId="9" hidden="1"/>
    <cellStyle name="Hipervínculo visitado" xfId="117" builtinId="9" hidden="1"/>
    <cellStyle name="Hipervínculo visitado" xfId="119" builtinId="9" hidden="1"/>
    <cellStyle name="Hipervínculo visitado" xfId="121" builtinId="9" hidden="1"/>
    <cellStyle name="Hipervínculo visitado" xfId="123" builtinId="9" hidden="1"/>
    <cellStyle name="Hipervínculo visitado" xfId="125" builtinId="9" hidden="1"/>
    <cellStyle name="Hipervínculo visitado" xfId="127" builtinId="9" hidden="1"/>
    <cellStyle name="Hipervínculo visitado" xfId="129" builtinId="9" hidden="1"/>
    <cellStyle name="Hipervínculo visitado" xfId="131" builtinId="9" hidden="1"/>
    <cellStyle name="Hipervínculo visitado" xfId="133" builtinId="9" hidden="1"/>
    <cellStyle name="Hipervínculo visitado" xfId="135" builtinId="9" hidden="1"/>
    <cellStyle name="Hipervínculo visitado" xfId="137" builtinId="9" hidden="1"/>
    <cellStyle name="Hipervínculo visitado" xfId="139" builtinId="9" hidden="1"/>
    <cellStyle name="Hipervínculo visitado" xfId="141" builtinId="9" hidden="1"/>
    <cellStyle name="Hipervínculo visitado" xfId="143" builtinId="9" hidden="1"/>
    <cellStyle name="Hipervínculo visitado" xfId="145" builtinId="9" hidden="1"/>
    <cellStyle name="Hipervínculo visitado" xfId="147" builtinId="9" hidden="1"/>
    <cellStyle name="Hipervínculo visitado" xfId="149" builtinId="9" hidden="1"/>
    <cellStyle name="Hipervínculo visitado" xfId="151" builtinId="9" hidden="1"/>
    <cellStyle name="Hipervínculo visitado" xfId="153" builtinId="9" hidden="1"/>
    <cellStyle name="Hipervínculo visitado" xfId="155" builtinId="9" hidden="1"/>
    <cellStyle name="Hipervínculo visitado" xfId="157" builtinId="9" hidden="1"/>
    <cellStyle name="Hipervínculo visitado" xfId="159" builtinId="9" hidden="1"/>
    <cellStyle name="Hipervínculo visitado" xfId="161" builtinId="9" hidden="1"/>
    <cellStyle name="Hipervínculo visitado" xfId="163" builtinId="9" hidden="1"/>
    <cellStyle name="Hipervínculo visitado" xfId="165" builtinId="9" hidden="1"/>
    <cellStyle name="Hipervínculo visitado" xfId="167" builtinId="9" hidden="1"/>
    <cellStyle name="Hipervínculo visitado" xfId="169" builtinId="9" hidden="1"/>
    <cellStyle name="Hipervínculo visitado" xfId="171" builtinId="9" hidden="1"/>
    <cellStyle name="Hipervínculo visitado" xfId="173" builtinId="9" hidden="1"/>
    <cellStyle name="Hipervínculo visitado" xfId="175" builtinId="9" hidden="1"/>
    <cellStyle name="Hipervínculo visitado" xfId="177" builtinId="9" hidden="1"/>
    <cellStyle name="Hipervínculo visitado" xfId="179" builtinId="9" hidden="1"/>
    <cellStyle name="Hipervínculo visitado" xfId="181" builtinId="9" hidden="1"/>
    <cellStyle name="Hipervínculo visitado" xfId="183" builtinId="9" hidden="1"/>
    <cellStyle name="Hipervínculo visitado" xfId="185" builtinId="9" hidden="1"/>
    <cellStyle name="Hipervínculo visitado" xfId="187" builtinId="9" hidden="1"/>
    <cellStyle name="Hipervínculo visitado" xfId="189" builtinId="9" hidden="1"/>
    <cellStyle name="Hipervínculo visitado" xfId="191" builtinId="9" hidden="1"/>
    <cellStyle name="Hipervínculo visitado" xfId="193" builtinId="9" hidden="1"/>
    <cellStyle name="Hipervínculo visitado" xfId="195" builtinId="9" hidden="1"/>
    <cellStyle name="Hipervínculo visitado" xfId="197" builtinId="9" hidden="1"/>
    <cellStyle name="Hipervínculo visitado" xfId="199" builtinId="9" hidden="1"/>
    <cellStyle name="Hipervínculo visitado" xfId="201" builtinId="9" hidden="1"/>
    <cellStyle name="Hipervínculo visitado" xfId="203" builtinId="9" hidden="1"/>
    <cellStyle name="Hipervínculo visitado" xfId="205" builtinId="9" hidden="1"/>
    <cellStyle name="Hipervínculo visitado" xfId="207" builtinId="9" hidden="1"/>
    <cellStyle name="Hipervínculo visitado" xfId="209" builtinId="9" hidden="1"/>
    <cellStyle name="Hipervínculo visitado" xfId="211" builtinId="9" hidden="1"/>
    <cellStyle name="Hipervínculo visitado" xfId="213" builtinId="9" hidden="1"/>
    <cellStyle name="Hipervínculo visitado" xfId="215" builtinId="9" hidden="1"/>
    <cellStyle name="Hipervínculo visitado" xfId="217" builtinId="9" hidden="1"/>
    <cellStyle name="Hipervínculo visitado" xfId="219" builtinId="9" hidden="1"/>
    <cellStyle name="Hipervínculo visitado" xfId="221" builtinId="9" hidden="1"/>
    <cellStyle name="Hipervínculo visitado" xfId="223" builtinId="9" hidden="1"/>
    <cellStyle name="Millares" xfId="2" builtinId="3"/>
    <cellStyle name="Millares [0]" xfId="8" builtinId="6"/>
    <cellStyle name="Normal" xfId="0" builtinId="0"/>
    <cellStyle name="Normal 2" xfId="17"/>
    <cellStyle name="Porcentaje" xfId="3" builtinId="5"/>
  </cellStyles>
  <dxfs count="348">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FFFF00"/>
        </patternFill>
      </fill>
    </dxf>
    <dxf>
      <fill>
        <patternFill>
          <bgColor rgb="FFFF9A05"/>
        </patternFill>
      </fill>
    </dxf>
    <dxf>
      <fill>
        <patternFill>
          <bgColor rgb="FFFF0000"/>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FF0000"/>
        </patternFill>
      </fill>
    </dxf>
    <dxf>
      <fill>
        <patternFill>
          <bgColor rgb="FFFF9A05"/>
        </patternFill>
      </fill>
    </dxf>
    <dxf>
      <fill>
        <patternFill>
          <bgColor rgb="FFFFFF00"/>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FF0000"/>
        </patternFill>
      </fill>
    </dxf>
    <dxf>
      <fill>
        <patternFill>
          <bgColor rgb="FFFF9A05"/>
        </patternFill>
      </fill>
    </dxf>
    <dxf>
      <fill>
        <patternFill>
          <bgColor rgb="FFFFFF00"/>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FF0000"/>
        </patternFill>
      </fill>
    </dxf>
    <dxf>
      <fill>
        <patternFill>
          <bgColor rgb="FFFF9A05"/>
        </patternFill>
      </fill>
    </dxf>
    <dxf>
      <fill>
        <patternFill>
          <bgColor rgb="FFFFFF00"/>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FF0000"/>
        </patternFill>
      </fill>
    </dxf>
    <dxf>
      <fill>
        <patternFill>
          <bgColor rgb="FFFF9A05"/>
        </patternFill>
      </fill>
    </dxf>
    <dxf>
      <fill>
        <patternFill>
          <bgColor rgb="FFFFFF00"/>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FFFF00"/>
        </patternFill>
      </fill>
    </dxf>
    <dxf>
      <fill>
        <patternFill>
          <bgColor rgb="FFFF9A05"/>
        </patternFill>
      </fill>
    </dxf>
    <dxf>
      <fill>
        <patternFill>
          <bgColor rgb="FFFF0000"/>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FF0000"/>
        </patternFill>
      </fill>
    </dxf>
    <dxf>
      <fill>
        <patternFill>
          <bgColor rgb="FFFF9A05"/>
        </patternFill>
      </fill>
    </dxf>
    <dxf>
      <fill>
        <patternFill>
          <bgColor rgb="FFFFFF00"/>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FF0000"/>
        </patternFill>
      </fill>
    </dxf>
    <dxf>
      <fill>
        <patternFill>
          <bgColor rgb="FFFF9A05"/>
        </patternFill>
      </fill>
    </dxf>
    <dxf>
      <fill>
        <patternFill>
          <bgColor rgb="FFFFFF00"/>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FF0000"/>
        </patternFill>
      </fill>
    </dxf>
    <dxf>
      <fill>
        <patternFill>
          <bgColor rgb="FFFF9A05"/>
        </patternFill>
      </fill>
    </dxf>
    <dxf>
      <fill>
        <patternFill>
          <bgColor rgb="FFFFFF00"/>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FF0000"/>
        </patternFill>
      </fill>
    </dxf>
    <dxf>
      <fill>
        <patternFill>
          <bgColor rgb="FFFF9A05"/>
        </patternFill>
      </fill>
    </dxf>
    <dxf>
      <fill>
        <patternFill>
          <bgColor rgb="FFFFFF00"/>
        </patternFill>
      </fill>
    </dxf>
    <dxf>
      <fill>
        <patternFill>
          <bgColor rgb="FFFFFF00"/>
        </patternFill>
      </fill>
    </dxf>
    <dxf>
      <fill>
        <patternFill>
          <bgColor rgb="FFFF9A05"/>
        </patternFill>
      </fill>
    </dxf>
    <dxf>
      <fill>
        <patternFill>
          <bgColor rgb="FFFF0000"/>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FF0000"/>
        </patternFill>
      </fill>
    </dxf>
    <dxf>
      <fill>
        <patternFill>
          <bgColor rgb="FFFF9A05"/>
        </patternFill>
      </fill>
    </dxf>
    <dxf>
      <fill>
        <patternFill>
          <bgColor rgb="FFFFFF00"/>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FF0000"/>
        </patternFill>
      </fill>
    </dxf>
    <dxf>
      <fill>
        <patternFill>
          <bgColor rgb="FFFF9A05"/>
        </patternFill>
      </fill>
    </dxf>
    <dxf>
      <fill>
        <patternFill>
          <bgColor rgb="FFFFFF00"/>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FF0000"/>
        </patternFill>
      </fill>
    </dxf>
    <dxf>
      <fill>
        <patternFill>
          <bgColor rgb="FFFF9A05"/>
        </patternFill>
      </fill>
    </dxf>
    <dxf>
      <fill>
        <patternFill>
          <bgColor rgb="FFFFFF00"/>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FF0000"/>
        </patternFill>
      </fill>
    </dxf>
    <dxf>
      <fill>
        <patternFill>
          <bgColor rgb="FFFF9A05"/>
        </patternFill>
      </fill>
    </dxf>
    <dxf>
      <fill>
        <patternFill>
          <bgColor rgb="FFFFFF00"/>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FF0000"/>
        </patternFill>
      </fill>
    </dxf>
    <dxf>
      <fill>
        <patternFill>
          <bgColor rgb="FFFF9A05"/>
        </patternFill>
      </fill>
    </dxf>
    <dxf>
      <fill>
        <patternFill>
          <bgColor rgb="FFFFFF00"/>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FFFF00"/>
        </patternFill>
      </fill>
    </dxf>
    <dxf>
      <fill>
        <patternFill>
          <bgColor rgb="FFFF9A05"/>
        </patternFill>
      </fill>
    </dxf>
    <dxf>
      <fill>
        <patternFill>
          <bgColor rgb="FFFF0000"/>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FF0000"/>
        </patternFill>
      </fill>
    </dxf>
    <dxf>
      <fill>
        <patternFill>
          <bgColor rgb="FFFF9A05"/>
        </patternFill>
      </fill>
    </dxf>
    <dxf>
      <fill>
        <patternFill>
          <bgColor rgb="FFFFFF00"/>
        </patternFill>
      </fill>
    </dxf>
    <dxf>
      <fill>
        <patternFill>
          <bgColor theme="0" tint="-0.34998626667073579"/>
        </patternFill>
      </fill>
    </dxf>
    <dxf>
      <fill>
        <patternFill>
          <bgColor rgb="FFFF0000"/>
        </patternFill>
      </fill>
    </dxf>
    <dxf>
      <fill>
        <patternFill>
          <bgColor rgb="FFFF9A05"/>
        </patternFill>
      </fill>
    </dxf>
    <dxf>
      <fill>
        <patternFill>
          <bgColor rgb="FFFFFF00"/>
        </patternFill>
      </fill>
    </dxf>
    <dxf>
      <fill>
        <patternFill>
          <bgColor theme="0" tint="-0.34998626667073579"/>
        </patternFill>
      </fill>
    </dxf>
    <dxf>
      <fill>
        <patternFill>
          <bgColor theme="0" tint="-0.34998626667073579"/>
        </patternFill>
      </fill>
    </dxf>
    <dxf>
      <fill>
        <patternFill>
          <bgColor rgb="FFFF0000"/>
        </patternFill>
      </fill>
    </dxf>
    <dxf>
      <fill>
        <patternFill>
          <bgColor rgb="FFFF9A05"/>
        </patternFill>
      </fill>
    </dxf>
    <dxf>
      <fill>
        <patternFill>
          <bgColor rgb="FFFFFF00"/>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FFFF00"/>
        </patternFill>
      </fill>
    </dxf>
    <dxf>
      <fill>
        <patternFill>
          <bgColor rgb="FFFF9A05"/>
        </patternFill>
      </fill>
    </dxf>
    <dxf>
      <fill>
        <patternFill>
          <bgColor rgb="FFFF0000"/>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FF0000"/>
        </patternFill>
      </fill>
    </dxf>
    <dxf>
      <fill>
        <patternFill>
          <bgColor rgb="FFFF9A05"/>
        </patternFill>
      </fill>
    </dxf>
    <dxf>
      <fill>
        <patternFill>
          <bgColor rgb="FFFFFF00"/>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FF0000"/>
        </patternFill>
      </fill>
    </dxf>
    <dxf>
      <fill>
        <patternFill>
          <bgColor rgb="FFFF9A05"/>
        </patternFill>
      </fill>
    </dxf>
    <dxf>
      <fill>
        <patternFill>
          <bgColor rgb="FFFFFF00"/>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FF0000"/>
        </patternFill>
      </fill>
    </dxf>
    <dxf>
      <fill>
        <patternFill>
          <bgColor rgb="FFFF9A05"/>
        </patternFill>
      </fill>
    </dxf>
    <dxf>
      <fill>
        <patternFill>
          <bgColor rgb="FFFFFF00"/>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FF0000"/>
        </patternFill>
      </fill>
    </dxf>
    <dxf>
      <fill>
        <patternFill>
          <bgColor rgb="FFFF9A05"/>
        </patternFill>
      </fill>
    </dxf>
    <dxf>
      <fill>
        <patternFill>
          <bgColor rgb="FFFFFF00"/>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FF0000"/>
        </patternFill>
      </fill>
    </dxf>
    <dxf>
      <fill>
        <patternFill>
          <bgColor rgb="FFFF9A05"/>
        </patternFill>
      </fill>
    </dxf>
    <dxf>
      <fill>
        <patternFill>
          <bgColor rgb="FFFFFF00"/>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FF0000"/>
        </patternFill>
      </fill>
    </dxf>
    <dxf>
      <fill>
        <patternFill>
          <bgColor rgb="FFFF9A05"/>
        </patternFill>
      </fill>
    </dxf>
    <dxf>
      <fill>
        <patternFill>
          <bgColor rgb="FFFFFF00"/>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FF0000"/>
        </patternFill>
      </fill>
    </dxf>
    <dxf>
      <fill>
        <patternFill>
          <bgColor rgb="FFFF9A05"/>
        </patternFill>
      </fill>
    </dxf>
    <dxf>
      <fill>
        <patternFill>
          <bgColor rgb="FFFFFF00"/>
        </patternFill>
      </fill>
    </dxf>
    <dxf>
      <fill>
        <patternFill>
          <bgColor theme="0" tint="-0.34998626667073579"/>
        </patternFill>
      </fill>
    </dxf>
    <dxf>
      <fill>
        <patternFill>
          <bgColor rgb="FFFF0000"/>
        </patternFill>
      </fill>
    </dxf>
    <dxf>
      <fill>
        <patternFill>
          <bgColor rgb="FFFF9A05"/>
        </patternFill>
      </fill>
    </dxf>
    <dxf>
      <fill>
        <patternFill>
          <bgColor rgb="FFFFFF00"/>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FFFF00"/>
        </patternFill>
      </fill>
    </dxf>
    <dxf>
      <fill>
        <patternFill>
          <bgColor rgb="FFFF9A05"/>
        </patternFill>
      </fill>
    </dxf>
    <dxf>
      <fill>
        <patternFill>
          <bgColor rgb="FFFF0000"/>
        </patternFill>
      </fill>
    </dxf>
    <dxf>
      <fill>
        <patternFill>
          <bgColor theme="0" tint="-0.34998626667073579"/>
        </patternFill>
      </fill>
    </dxf>
    <dxf>
      <fill>
        <patternFill>
          <bgColor theme="0" tint="-0.34998626667073579"/>
        </patternFill>
      </fill>
    </dxf>
    <dxf>
      <fill>
        <patternFill>
          <bgColor rgb="FFFF0000"/>
        </patternFill>
      </fill>
    </dxf>
    <dxf>
      <fill>
        <patternFill>
          <bgColor rgb="FFFF9A05"/>
        </patternFill>
      </fill>
    </dxf>
    <dxf>
      <fill>
        <patternFill>
          <bgColor rgb="FFFFFF00"/>
        </patternFill>
      </fill>
    </dxf>
    <dxf>
      <fill>
        <patternFill>
          <bgColor theme="0" tint="-0.34998626667073579"/>
        </patternFill>
      </fill>
    </dxf>
    <dxf>
      <fill>
        <patternFill>
          <bgColor theme="0" tint="-0.34998626667073579"/>
        </patternFill>
      </fill>
    </dxf>
    <dxf>
      <fill>
        <patternFill>
          <bgColor rgb="FFFF0000"/>
        </patternFill>
      </fill>
    </dxf>
    <dxf>
      <fill>
        <patternFill>
          <bgColor rgb="FFFF9A05"/>
        </patternFill>
      </fill>
    </dxf>
    <dxf>
      <fill>
        <patternFill>
          <bgColor rgb="FFFFFF00"/>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FFFF00"/>
        </patternFill>
      </fill>
    </dxf>
    <dxf>
      <fill>
        <patternFill>
          <bgColor rgb="FFFF9A05"/>
        </patternFill>
      </fill>
    </dxf>
    <dxf>
      <fill>
        <patternFill>
          <bgColor rgb="FFFF0000"/>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FF0000"/>
        </patternFill>
      </fill>
    </dxf>
    <dxf>
      <fill>
        <patternFill>
          <bgColor rgb="FFFF9A05"/>
        </patternFill>
      </fill>
    </dxf>
    <dxf>
      <fill>
        <patternFill>
          <bgColor rgb="FFFFFF00"/>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FF0000"/>
        </patternFill>
      </fill>
    </dxf>
    <dxf>
      <fill>
        <patternFill>
          <bgColor rgb="FFFF9A05"/>
        </patternFill>
      </fill>
    </dxf>
    <dxf>
      <fill>
        <patternFill>
          <bgColor rgb="FFFFFF00"/>
        </patternFill>
      </fill>
    </dxf>
    <dxf>
      <fill>
        <patternFill>
          <bgColor theme="0" tint="-0.34998626667073579"/>
        </patternFill>
      </fill>
    </dxf>
    <dxf>
      <fill>
        <patternFill>
          <bgColor theme="0" tint="-0.34998626667073579"/>
        </patternFill>
      </fill>
    </dxf>
    <dxf>
      <fill>
        <patternFill>
          <bgColor rgb="FFFF0000"/>
        </patternFill>
      </fill>
    </dxf>
    <dxf>
      <fill>
        <patternFill>
          <bgColor rgb="FFFF9A05"/>
        </patternFill>
      </fill>
    </dxf>
    <dxf>
      <fill>
        <patternFill>
          <bgColor rgb="FFFFFF00"/>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FFFF00"/>
        </patternFill>
      </fill>
    </dxf>
    <dxf>
      <fill>
        <patternFill>
          <bgColor rgb="FFFF9A05"/>
        </patternFill>
      </fill>
    </dxf>
    <dxf>
      <fill>
        <patternFill>
          <bgColor rgb="FFFF0000"/>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FF0000"/>
        </patternFill>
      </fill>
    </dxf>
    <dxf>
      <fill>
        <patternFill>
          <bgColor rgb="FFFF9A05"/>
        </patternFill>
      </fill>
    </dxf>
    <dxf>
      <fill>
        <patternFill>
          <bgColor rgb="FFFFFF00"/>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FF0000"/>
        </patternFill>
      </fill>
    </dxf>
    <dxf>
      <fill>
        <patternFill>
          <bgColor rgb="FFFF9A05"/>
        </patternFill>
      </fill>
    </dxf>
    <dxf>
      <fill>
        <patternFill>
          <bgColor rgb="FFFFFF00"/>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FF0000"/>
        </patternFill>
      </fill>
    </dxf>
    <dxf>
      <fill>
        <patternFill>
          <bgColor rgb="FFFF9A05"/>
        </patternFill>
      </fill>
    </dxf>
    <dxf>
      <fill>
        <patternFill>
          <bgColor rgb="FFFFFF00"/>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FF0000"/>
        </patternFill>
      </fill>
    </dxf>
    <dxf>
      <fill>
        <patternFill>
          <bgColor rgb="FFFF9A05"/>
        </patternFill>
      </fill>
    </dxf>
    <dxf>
      <fill>
        <patternFill>
          <bgColor rgb="FFFFFF00"/>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FF0000"/>
        </patternFill>
      </fill>
    </dxf>
    <dxf>
      <fill>
        <patternFill>
          <bgColor rgb="FFFF9A05"/>
        </patternFill>
      </fill>
    </dxf>
    <dxf>
      <fill>
        <patternFill>
          <bgColor rgb="FFFFFF00"/>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FF0000"/>
        </patternFill>
      </fill>
    </dxf>
    <dxf>
      <fill>
        <patternFill>
          <bgColor rgb="FFFF9A05"/>
        </patternFill>
      </fill>
    </dxf>
    <dxf>
      <fill>
        <patternFill>
          <bgColor rgb="FFFFFF00"/>
        </patternFill>
      </fill>
    </dxf>
    <dxf>
      <fill>
        <patternFill>
          <bgColor theme="0" tint="-0.34998626667073579"/>
        </patternFill>
      </fill>
    </dxf>
    <dxf>
      <fill>
        <patternFill>
          <bgColor theme="0" tint="-0.34998626667073579"/>
        </patternFill>
      </fill>
    </dxf>
    <dxf>
      <fill>
        <patternFill>
          <bgColor rgb="FFFF0000"/>
        </patternFill>
      </fill>
    </dxf>
    <dxf>
      <fill>
        <patternFill>
          <bgColor rgb="FFFF9A05"/>
        </patternFill>
      </fill>
    </dxf>
    <dxf>
      <fill>
        <patternFill>
          <bgColor rgb="FFFFFF00"/>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FFFF00"/>
        </patternFill>
      </fill>
    </dxf>
    <dxf>
      <fill>
        <patternFill>
          <bgColor rgb="FFFF9A05"/>
        </patternFill>
      </fill>
    </dxf>
    <dxf>
      <fill>
        <patternFill>
          <bgColor rgb="FFFF0000"/>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FF0000"/>
        </patternFill>
      </fill>
    </dxf>
    <dxf>
      <fill>
        <patternFill>
          <bgColor rgb="FFFF9A05"/>
        </patternFill>
      </fill>
    </dxf>
    <dxf>
      <fill>
        <patternFill>
          <bgColor rgb="FFFFFF00"/>
        </patternFill>
      </fill>
    </dxf>
  </dxfs>
  <tableStyles count="0" defaultTableStyle="TableStyleMedium9" defaultPivotStyle="PivotStyleMedium4"/>
  <colors>
    <mruColors>
      <color rgb="FFFF0000"/>
      <color rgb="FFFFFF00"/>
      <color rgb="FFFF9A05"/>
      <color rgb="FFE19A0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s-CO"/>
              <a:t>IDENTIFICACIÓN DE RIESGOS ZFIP 2018 - 2020</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s-CO"/>
        </a:p>
      </c:txPr>
    </c:title>
    <c:autoTitleDeleted val="0"/>
    <c:plotArea>
      <c:layout/>
      <c:barChart>
        <c:barDir val="col"/>
        <c:grouping val="clustered"/>
        <c:varyColors val="0"/>
        <c:ser>
          <c:idx val="0"/>
          <c:order val="0"/>
          <c:tx>
            <c:v>2018</c:v>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50800" dist="38100" dir="18900000" algn="bl" rotWithShape="0">
                <a:prstClr val="black">
                  <a:alpha val="40000"/>
                </a:prstClr>
              </a:outerShdw>
            </a:effectLst>
            <a:scene3d>
              <a:camera prst="orthographicFront"/>
              <a:lightRig rig="threePt" dir="t"/>
            </a:scene3d>
            <a:sp3d>
              <a:bevelT prst="angle"/>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extLst>
                <c:ext xmlns:c15="http://schemas.microsoft.com/office/drawing/2012/chart" uri="{02D57815-91ED-43cb-92C2-25804820EDAC}">
                  <c15:fullRef>
                    <c15:sqref>'Indicador Comparativo 2018-2020'!$B$26:$B$31</c15:sqref>
                  </c15:fullRef>
                </c:ext>
              </c:extLst>
              <c:f>'Indicador Comparativo 2018-2020'!$B$27:$B$31</c:f>
              <c:strCache>
                <c:ptCount val="5"/>
                <c:pt idx="0">
                  <c:v>RIESGOS BAJOS </c:v>
                </c:pt>
                <c:pt idx="1">
                  <c:v>RIESGOS MEDIOS </c:v>
                </c:pt>
                <c:pt idx="2">
                  <c:v>RIESGOS ALTOS </c:v>
                </c:pt>
                <c:pt idx="3">
                  <c:v>Total </c:v>
                </c:pt>
                <c:pt idx="4">
                  <c:v>TOTAL OPORTUNIDADES</c:v>
                </c:pt>
              </c:strCache>
            </c:strRef>
          </c:cat>
          <c:val>
            <c:numRef>
              <c:extLst>
                <c:ext xmlns:c15="http://schemas.microsoft.com/office/drawing/2012/chart" uri="{02D57815-91ED-43cb-92C2-25804820EDAC}">
                  <c15:fullRef>
                    <c15:sqref>'Indicador Comparativo 2018-2020'!$C$26:$C$31</c15:sqref>
                  </c15:fullRef>
                </c:ext>
              </c:extLst>
              <c:f>'Indicador Comparativo 2018-2020'!$C$27:$C$31</c:f>
              <c:numCache>
                <c:formatCode>General</c:formatCode>
                <c:ptCount val="5"/>
                <c:pt idx="0">
                  <c:v>4</c:v>
                </c:pt>
                <c:pt idx="1">
                  <c:v>41</c:v>
                </c:pt>
                <c:pt idx="2">
                  <c:v>8</c:v>
                </c:pt>
                <c:pt idx="3">
                  <c:v>53</c:v>
                </c:pt>
                <c:pt idx="4">
                  <c:v>0</c:v>
                </c:pt>
              </c:numCache>
            </c:numRef>
          </c:val>
        </c:ser>
        <c:ser>
          <c:idx val="1"/>
          <c:order val="1"/>
          <c:tx>
            <c:v>2019</c:v>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50800" dist="38100" dir="18900000" algn="bl" rotWithShape="0">
                <a:prstClr val="black">
                  <a:alpha val="40000"/>
                </a:prstClr>
              </a:outerShdw>
            </a:effectLst>
            <a:scene3d>
              <a:camera prst="orthographicFront"/>
              <a:lightRig rig="threePt" dir="t"/>
            </a:scene3d>
            <a:sp3d>
              <a:bevelT prst="angle"/>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extLst>
                <c:ext xmlns:c15="http://schemas.microsoft.com/office/drawing/2012/chart" uri="{02D57815-91ED-43cb-92C2-25804820EDAC}">
                  <c15:fullRef>
                    <c15:sqref>'Indicador Comparativo 2018-2020'!$B$26:$B$31</c15:sqref>
                  </c15:fullRef>
                </c:ext>
              </c:extLst>
              <c:f>'Indicador Comparativo 2018-2020'!$B$27:$B$31</c:f>
              <c:strCache>
                <c:ptCount val="5"/>
                <c:pt idx="0">
                  <c:v>RIESGOS BAJOS </c:v>
                </c:pt>
                <c:pt idx="1">
                  <c:v>RIESGOS MEDIOS </c:v>
                </c:pt>
                <c:pt idx="2">
                  <c:v>RIESGOS ALTOS </c:v>
                </c:pt>
                <c:pt idx="3">
                  <c:v>Total </c:v>
                </c:pt>
                <c:pt idx="4">
                  <c:v>TOTAL OPORTUNIDADES</c:v>
                </c:pt>
              </c:strCache>
            </c:strRef>
          </c:cat>
          <c:val>
            <c:numRef>
              <c:extLst>
                <c:ext xmlns:c15="http://schemas.microsoft.com/office/drawing/2012/chart" uri="{02D57815-91ED-43cb-92C2-25804820EDAC}">
                  <c15:fullRef>
                    <c15:sqref>'Indicador Comparativo 2018-2020'!$D$26:$D$31</c15:sqref>
                  </c15:fullRef>
                </c:ext>
              </c:extLst>
              <c:f>'Indicador Comparativo 2018-2020'!$D$27:$D$31</c:f>
              <c:numCache>
                <c:formatCode>General</c:formatCode>
                <c:ptCount val="5"/>
                <c:pt idx="0">
                  <c:v>5</c:v>
                </c:pt>
                <c:pt idx="1">
                  <c:v>56</c:v>
                </c:pt>
                <c:pt idx="2">
                  <c:v>3</c:v>
                </c:pt>
                <c:pt idx="3">
                  <c:v>64</c:v>
                </c:pt>
                <c:pt idx="4">
                  <c:v>15</c:v>
                </c:pt>
              </c:numCache>
            </c:numRef>
          </c:val>
        </c:ser>
        <c:ser>
          <c:idx val="2"/>
          <c:order val="2"/>
          <c:tx>
            <c:v>2020</c:v>
          </c:tx>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50800" dist="38100" dir="18900000" algn="bl" rotWithShape="0">
                <a:prstClr val="black">
                  <a:alpha val="40000"/>
                </a:prstClr>
              </a:outerShdw>
            </a:effectLst>
            <a:scene3d>
              <a:camera prst="orthographicFront"/>
              <a:lightRig rig="threePt" dir="t"/>
            </a:scene3d>
            <a:sp3d>
              <a:bevelT prst="angle"/>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extLst>
                <c:ext xmlns:c15="http://schemas.microsoft.com/office/drawing/2012/chart" uri="{02D57815-91ED-43cb-92C2-25804820EDAC}">
                  <c15:fullRef>
                    <c15:sqref>'Indicador Comparativo 2018-2020'!$B$26:$B$31</c15:sqref>
                  </c15:fullRef>
                </c:ext>
              </c:extLst>
              <c:f>'Indicador Comparativo 2018-2020'!$B$27:$B$31</c:f>
              <c:strCache>
                <c:ptCount val="5"/>
                <c:pt idx="0">
                  <c:v>RIESGOS BAJOS </c:v>
                </c:pt>
                <c:pt idx="1">
                  <c:v>RIESGOS MEDIOS </c:v>
                </c:pt>
                <c:pt idx="2">
                  <c:v>RIESGOS ALTOS </c:v>
                </c:pt>
                <c:pt idx="3">
                  <c:v>Total </c:v>
                </c:pt>
                <c:pt idx="4">
                  <c:v>TOTAL OPORTUNIDADES</c:v>
                </c:pt>
              </c:strCache>
            </c:strRef>
          </c:cat>
          <c:val>
            <c:numRef>
              <c:extLst>
                <c:ext xmlns:c15="http://schemas.microsoft.com/office/drawing/2012/chart" uri="{02D57815-91ED-43cb-92C2-25804820EDAC}">
                  <c15:fullRef>
                    <c15:sqref>'Indicador Comparativo 2018-2020'!$E$26:$E$31</c15:sqref>
                  </c15:fullRef>
                </c:ext>
              </c:extLst>
              <c:f>'Indicador Comparativo 2018-2020'!$E$27:$E$31</c:f>
              <c:numCache>
                <c:formatCode>General</c:formatCode>
                <c:ptCount val="5"/>
                <c:pt idx="0">
                  <c:v>6</c:v>
                </c:pt>
                <c:pt idx="1">
                  <c:v>70</c:v>
                </c:pt>
                <c:pt idx="2">
                  <c:v>5</c:v>
                </c:pt>
                <c:pt idx="3">
                  <c:v>81</c:v>
                </c:pt>
                <c:pt idx="4">
                  <c:v>5</c:v>
                </c:pt>
              </c:numCache>
            </c:numRef>
          </c:val>
        </c:ser>
        <c:dLbls>
          <c:dLblPos val="outEnd"/>
          <c:showLegendKey val="0"/>
          <c:showVal val="1"/>
          <c:showCatName val="0"/>
          <c:showSerName val="0"/>
          <c:showPercent val="0"/>
          <c:showBubbleSize val="0"/>
        </c:dLbls>
        <c:gapWidth val="100"/>
        <c:overlap val="-24"/>
        <c:axId val="231835776"/>
        <c:axId val="231836320"/>
      </c:barChart>
      <c:catAx>
        <c:axId val="231835776"/>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s-CO"/>
          </a:p>
        </c:txPr>
        <c:crossAx val="231836320"/>
        <c:crosses val="autoZero"/>
        <c:auto val="1"/>
        <c:lblAlgn val="ctr"/>
        <c:lblOffset val="100"/>
        <c:noMultiLvlLbl val="0"/>
      </c:catAx>
      <c:valAx>
        <c:axId val="231836320"/>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s-CO"/>
          </a:p>
        </c:txPr>
        <c:crossAx val="23183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s-CO"/>
        </a:p>
      </c:txPr>
    </c:legend>
    <c:plotVisOnly val="1"/>
    <c:dispBlanksAs val="gap"/>
    <c:showDLblsOverMax val="0"/>
  </c:chart>
  <c:spPr>
    <a:solidFill>
      <a:schemeClr val="bg1"/>
    </a:solidFill>
    <a:ln w="38100" cap="flat" cmpd="sng" algn="ctr">
      <a:solidFill>
        <a:srgbClr val="002060"/>
      </a:solidFill>
      <a:round/>
    </a:ln>
    <a:effectLst/>
    <a:scene3d>
      <a:camera prst="orthographicFront"/>
      <a:lightRig rig="threePt" dir="t"/>
    </a:scene3d>
    <a:sp3d prstMaterial="matte">
      <a:bevelT w="63500" h="63500" prst="artDeco"/>
      <a:contourClr>
        <a:srgbClr val="000000"/>
      </a:contourClr>
    </a:sp3d>
  </c:spPr>
  <c:txPr>
    <a:bodyPr/>
    <a:lstStyle/>
    <a:p>
      <a:pPr>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CUMPLIMIENTO ANUAL</a:t>
            </a:r>
          </a:p>
        </c:rich>
      </c:tx>
      <c:layout>
        <c:manualLayout>
          <c:xMode val="edge"/>
          <c:yMode val="edge"/>
          <c:x val="0.2817021405122081"/>
          <c:y val="2.1691232984337904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s-CO"/>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0611833805362782"/>
          <c:y val="0.18798143435413073"/>
          <c:w val="0.88498840769903764"/>
          <c:h val="0.60943227040598469"/>
        </c:manualLayout>
      </c:layout>
      <c:bar3DChart>
        <c:barDir val="col"/>
        <c:grouping val="clustered"/>
        <c:varyColors val="0"/>
        <c:ser>
          <c:idx val="6"/>
          <c:order val="6"/>
          <c:tx>
            <c:strRef>
              <c:f>'Indicador Comparativo 2018-2020'!$B$32</c:f>
              <c:strCache>
                <c:ptCount val="1"/>
                <c:pt idx="0">
                  <c:v>% CUMPLIMIENTO</c:v>
                </c:pt>
              </c:strCache>
            </c:strRef>
          </c:tx>
          <c:spPr>
            <a:solidFill>
              <a:srgbClr val="FFFF00"/>
            </a:solidFill>
            <a:ln>
              <a:noFill/>
            </a:ln>
            <a:effectLst/>
            <a:sp3d/>
          </c:spPr>
          <c:invertIfNegative val="0"/>
          <c:dLbls>
            <c:dLbl>
              <c:idx val="0"/>
              <c:layout>
                <c:manualLayout>
                  <c:x val="0"/>
                  <c:y val="0.13425925925925927"/>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extLst>
                <c:ext xmlns:c15="http://schemas.microsoft.com/office/drawing/2012/chart" uri="{CE6537A1-D6FC-4f65-9D91-7224C49458BB}"/>
              </c:extLst>
            </c:dLbl>
            <c:dLbl>
              <c:idx val="1"/>
              <c:layout>
                <c:manualLayout>
                  <c:x val="0"/>
                  <c:y val="0.28240740740740738"/>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extLst>
                <c:ext xmlns:c15="http://schemas.microsoft.com/office/drawing/2012/chart" uri="{CE6537A1-D6FC-4f65-9D91-7224C49458BB}"/>
              </c:extLst>
            </c:dLbl>
            <c:dLbl>
              <c:idx val="2"/>
              <c:layout>
                <c:manualLayout>
                  <c:x val="2.777777777777676E-3"/>
                  <c:y val="0.22685185185185186"/>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'Indicador Comparativo 2018-2020'!$C$26:$E$26</c:f>
              <c:numCache>
                <c:formatCode>General</c:formatCode>
                <c:ptCount val="3"/>
                <c:pt idx="0">
                  <c:v>2018</c:v>
                </c:pt>
                <c:pt idx="1">
                  <c:v>2019</c:v>
                </c:pt>
                <c:pt idx="2">
                  <c:v>2020</c:v>
                </c:pt>
              </c:numCache>
            </c:numRef>
          </c:cat>
          <c:val>
            <c:numRef>
              <c:f>'Indicador Comparativo 2018-2020'!$C$32:$E$32</c:f>
              <c:numCache>
                <c:formatCode>0%</c:formatCode>
                <c:ptCount val="3"/>
                <c:pt idx="0">
                  <c:v>0.84905660377358494</c:v>
                </c:pt>
                <c:pt idx="1">
                  <c:v>0.953125</c:v>
                </c:pt>
                <c:pt idx="2">
                  <c:v>0.93827160493827155</c:v>
                </c:pt>
              </c:numCache>
            </c:numRef>
          </c:val>
        </c:ser>
        <c:dLbls>
          <c:showLegendKey val="0"/>
          <c:showVal val="0"/>
          <c:showCatName val="0"/>
          <c:showSerName val="0"/>
          <c:showPercent val="0"/>
          <c:showBubbleSize val="0"/>
        </c:dLbls>
        <c:gapWidth val="150"/>
        <c:shape val="box"/>
        <c:axId val="361912528"/>
        <c:axId val="361907088"/>
        <c:axId val="0"/>
        <c:extLst>
          <c:ext xmlns:c15="http://schemas.microsoft.com/office/drawing/2012/chart" uri="{02D57815-91ED-43cb-92C2-25804820EDAC}">
            <c15:filteredBarSeries>
              <c15:ser>
                <c:idx val="0"/>
                <c:order val="0"/>
                <c:tx>
                  <c:strRef>
                    <c:extLst>
                      <c:ext uri="{02D57815-91ED-43cb-92C2-25804820EDAC}">
                        <c15:formulaRef>
                          <c15:sqref>'Indicador Comparativo 2018-2020'!$B$26</c15:sqref>
                        </c15:formulaRef>
                      </c:ext>
                    </c:extLst>
                    <c:strCache>
                      <c:ptCount val="1"/>
                      <c:pt idx="0">
                        <c:v>TIPO DE RIESGO/AÑO</c:v>
                      </c:pt>
                    </c:strCache>
                  </c:strRef>
                </c:tx>
                <c:spPr>
                  <a:solidFill>
                    <a:schemeClr val="accent4">
                      <a:tint val="48000"/>
                    </a:schemeClr>
                  </a:solidFill>
                  <a:ln>
                    <a:noFill/>
                  </a:ln>
                  <a:effectLst/>
                  <a:sp3d/>
                </c:spPr>
                <c:invertIfNegative val="0"/>
                <c:cat>
                  <c:numRef>
                    <c:extLst>
                      <c:ext uri="{02D57815-91ED-43cb-92C2-25804820EDAC}">
                        <c15:formulaRef>
                          <c15:sqref>'Indicador Comparativo 2018-2020'!$C$26:$E$26</c15:sqref>
                        </c15:formulaRef>
                      </c:ext>
                    </c:extLst>
                    <c:numCache>
                      <c:formatCode>General</c:formatCode>
                      <c:ptCount val="3"/>
                      <c:pt idx="0">
                        <c:v>2018</c:v>
                      </c:pt>
                      <c:pt idx="1">
                        <c:v>2019</c:v>
                      </c:pt>
                      <c:pt idx="2">
                        <c:v>2020</c:v>
                      </c:pt>
                    </c:numCache>
                  </c:numRef>
                </c:cat>
                <c:val>
                  <c:numRef>
                    <c:extLst>
                      <c:ext uri="{02D57815-91ED-43cb-92C2-25804820EDAC}">
                        <c15:formulaRef>
                          <c15:sqref>'Indicador Comparativo 2018-2020'!$C$26:$E$26</c15:sqref>
                        </c15:formulaRef>
                      </c:ext>
                    </c:extLst>
                    <c:numCache>
                      <c:formatCode>General</c:formatCode>
                      <c:ptCount val="3"/>
                      <c:pt idx="0">
                        <c:v>2018</c:v>
                      </c:pt>
                      <c:pt idx="1">
                        <c:v>2019</c:v>
                      </c:pt>
                      <c:pt idx="2">
                        <c:v>2020</c:v>
                      </c:pt>
                    </c:numCache>
                  </c:numRef>
                </c:val>
              </c15:ser>
            </c15:filteredBarSeries>
            <c15:filteredBarSeries>
              <c15:ser>
                <c:idx val="1"/>
                <c:order val="1"/>
                <c:tx>
                  <c:strRef>
                    <c:extLst xmlns:c15="http://schemas.microsoft.com/office/drawing/2012/chart">
                      <c:ext xmlns:c15="http://schemas.microsoft.com/office/drawing/2012/chart" uri="{02D57815-91ED-43cb-92C2-25804820EDAC}">
                        <c15:formulaRef>
                          <c15:sqref>'Indicador Comparativo 2018-2020'!$B$27</c15:sqref>
                        </c15:formulaRef>
                      </c:ext>
                    </c:extLst>
                    <c:strCache>
                      <c:ptCount val="1"/>
                      <c:pt idx="0">
                        <c:v>RIESGOS BAJOS </c:v>
                      </c:pt>
                    </c:strCache>
                  </c:strRef>
                </c:tx>
                <c:spPr>
                  <a:solidFill>
                    <a:schemeClr val="accent4">
                      <a:tint val="65000"/>
                    </a:schemeClr>
                  </a:solidFill>
                  <a:ln>
                    <a:noFill/>
                  </a:ln>
                  <a:effectLst/>
                  <a:sp3d/>
                </c:spPr>
                <c:invertIfNegative val="0"/>
                <c:cat>
                  <c:numRef>
                    <c:extLst xmlns:c15="http://schemas.microsoft.com/office/drawing/2012/chart">
                      <c:ext xmlns:c15="http://schemas.microsoft.com/office/drawing/2012/chart" uri="{02D57815-91ED-43cb-92C2-25804820EDAC}">
                        <c15:formulaRef>
                          <c15:sqref>'Indicador Comparativo 2018-2020'!$C$26:$E$26</c15:sqref>
                        </c15:formulaRef>
                      </c:ext>
                    </c:extLst>
                    <c:numCache>
                      <c:formatCode>General</c:formatCode>
                      <c:ptCount val="3"/>
                      <c:pt idx="0">
                        <c:v>2018</c:v>
                      </c:pt>
                      <c:pt idx="1">
                        <c:v>2019</c:v>
                      </c:pt>
                      <c:pt idx="2">
                        <c:v>2020</c:v>
                      </c:pt>
                    </c:numCache>
                  </c:numRef>
                </c:cat>
                <c:val>
                  <c:numRef>
                    <c:extLst xmlns:c15="http://schemas.microsoft.com/office/drawing/2012/chart">
                      <c:ext xmlns:c15="http://schemas.microsoft.com/office/drawing/2012/chart" uri="{02D57815-91ED-43cb-92C2-25804820EDAC}">
                        <c15:formulaRef>
                          <c15:sqref>'Indicador Comparativo 2018-2020'!$C$27:$E$27</c15:sqref>
                        </c15:formulaRef>
                      </c:ext>
                    </c:extLst>
                    <c:numCache>
                      <c:formatCode>General</c:formatCode>
                      <c:ptCount val="3"/>
                      <c:pt idx="0">
                        <c:v>4</c:v>
                      </c:pt>
                      <c:pt idx="1">
                        <c:v>5</c:v>
                      </c:pt>
                      <c:pt idx="2">
                        <c:v>6</c:v>
                      </c:pt>
                    </c:numCache>
                  </c:numRef>
                </c:val>
              </c15:ser>
            </c15:filteredBarSeries>
            <c15:filteredBarSeries>
              <c15:ser>
                <c:idx val="2"/>
                <c:order val="2"/>
                <c:tx>
                  <c:strRef>
                    <c:extLst xmlns:c15="http://schemas.microsoft.com/office/drawing/2012/chart">
                      <c:ext xmlns:c15="http://schemas.microsoft.com/office/drawing/2012/chart" uri="{02D57815-91ED-43cb-92C2-25804820EDAC}">
                        <c15:formulaRef>
                          <c15:sqref>'Indicador Comparativo 2018-2020'!$B$28</c15:sqref>
                        </c15:formulaRef>
                      </c:ext>
                    </c:extLst>
                    <c:strCache>
                      <c:ptCount val="1"/>
                      <c:pt idx="0">
                        <c:v>RIESGOS MEDIOS </c:v>
                      </c:pt>
                    </c:strCache>
                  </c:strRef>
                </c:tx>
                <c:spPr>
                  <a:solidFill>
                    <a:schemeClr val="accent4">
                      <a:tint val="83000"/>
                    </a:schemeClr>
                  </a:solidFill>
                  <a:ln>
                    <a:noFill/>
                  </a:ln>
                  <a:effectLst/>
                  <a:sp3d/>
                </c:spPr>
                <c:invertIfNegative val="0"/>
                <c:cat>
                  <c:numRef>
                    <c:extLst xmlns:c15="http://schemas.microsoft.com/office/drawing/2012/chart">
                      <c:ext xmlns:c15="http://schemas.microsoft.com/office/drawing/2012/chart" uri="{02D57815-91ED-43cb-92C2-25804820EDAC}">
                        <c15:formulaRef>
                          <c15:sqref>'Indicador Comparativo 2018-2020'!$C$26:$E$26</c15:sqref>
                        </c15:formulaRef>
                      </c:ext>
                    </c:extLst>
                    <c:numCache>
                      <c:formatCode>General</c:formatCode>
                      <c:ptCount val="3"/>
                      <c:pt idx="0">
                        <c:v>2018</c:v>
                      </c:pt>
                      <c:pt idx="1">
                        <c:v>2019</c:v>
                      </c:pt>
                      <c:pt idx="2">
                        <c:v>2020</c:v>
                      </c:pt>
                    </c:numCache>
                  </c:numRef>
                </c:cat>
                <c:val>
                  <c:numRef>
                    <c:extLst xmlns:c15="http://schemas.microsoft.com/office/drawing/2012/chart">
                      <c:ext xmlns:c15="http://schemas.microsoft.com/office/drawing/2012/chart" uri="{02D57815-91ED-43cb-92C2-25804820EDAC}">
                        <c15:formulaRef>
                          <c15:sqref>'Indicador Comparativo 2018-2020'!$C$28:$E$28</c15:sqref>
                        </c15:formulaRef>
                      </c:ext>
                    </c:extLst>
                    <c:numCache>
                      <c:formatCode>General</c:formatCode>
                      <c:ptCount val="3"/>
                      <c:pt idx="0">
                        <c:v>41</c:v>
                      </c:pt>
                      <c:pt idx="1">
                        <c:v>56</c:v>
                      </c:pt>
                      <c:pt idx="2">
                        <c:v>70</c:v>
                      </c:pt>
                    </c:numCache>
                  </c:numRef>
                </c:val>
              </c15:ser>
            </c15:filteredBarSeries>
            <c15:filteredBarSeries>
              <c15:ser>
                <c:idx val="3"/>
                <c:order val="3"/>
                <c:tx>
                  <c:strRef>
                    <c:extLst xmlns:c15="http://schemas.microsoft.com/office/drawing/2012/chart">
                      <c:ext xmlns:c15="http://schemas.microsoft.com/office/drawing/2012/chart" uri="{02D57815-91ED-43cb-92C2-25804820EDAC}">
                        <c15:formulaRef>
                          <c15:sqref>'Indicador Comparativo 2018-2020'!$B$29</c15:sqref>
                        </c15:formulaRef>
                      </c:ext>
                    </c:extLst>
                    <c:strCache>
                      <c:ptCount val="1"/>
                      <c:pt idx="0">
                        <c:v>RIESGOS ALTOS </c:v>
                      </c:pt>
                    </c:strCache>
                  </c:strRef>
                </c:tx>
                <c:spPr>
                  <a:solidFill>
                    <a:schemeClr val="accent4"/>
                  </a:solidFill>
                  <a:ln>
                    <a:noFill/>
                  </a:ln>
                  <a:effectLst/>
                  <a:sp3d/>
                </c:spPr>
                <c:invertIfNegative val="0"/>
                <c:cat>
                  <c:numRef>
                    <c:extLst xmlns:c15="http://schemas.microsoft.com/office/drawing/2012/chart">
                      <c:ext xmlns:c15="http://schemas.microsoft.com/office/drawing/2012/chart" uri="{02D57815-91ED-43cb-92C2-25804820EDAC}">
                        <c15:formulaRef>
                          <c15:sqref>'Indicador Comparativo 2018-2020'!$C$26:$E$26</c15:sqref>
                        </c15:formulaRef>
                      </c:ext>
                    </c:extLst>
                    <c:numCache>
                      <c:formatCode>General</c:formatCode>
                      <c:ptCount val="3"/>
                      <c:pt idx="0">
                        <c:v>2018</c:v>
                      </c:pt>
                      <c:pt idx="1">
                        <c:v>2019</c:v>
                      </c:pt>
                      <c:pt idx="2">
                        <c:v>2020</c:v>
                      </c:pt>
                    </c:numCache>
                  </c:numRef>
                </c:cat>
                <c:val>
                  <c:numRef>
                    <c:extLst xmlns:c15="http://schemas.microsoft.com/office/drawing/2012/chart">
                      <c:ext xmlns:c15="http://schemas.microsoft.com/office/drawing/2012/chart" uri="{02D57815-91ED-43cb-92C2-25804820EDAC}">
                        <c15:formulaRef>
                          <c15:sqref>'Indicador Comparativo 2018-2020'!$C$29:$E$29</c15:sqref>
                        </c15:formulaRef>
                      </c:ext>
                    </c:extLst>
                    <c:numCache>
                      <c:formatCode>General</c:formatCode>
                      <c:ptCount val="3"/>
                      <c:pt idx="0">
                        <c:v>8</c:v>
                      </c:pt>
                      <c:pt idx="1">
                        <c:v>3</c:v>
                      </c:pt>
                      <c:pt idx="2">
                        <c:v>5</c:v>
                      </c:pt>
                    </c:numCache>
                  </c:numRef>
                </c:val>
              </c15:ser>
            </c15:filteredBarSeries>
            <c15:filteredBarSeries>
              <c15:ser>
                <c:idx val="4"/>
                <c:order val="4"/>
                <c:tx>
                  <c:strRef>
                    <c:extLst xmlns:c15="http://schemas.microsoft.com/office/drawing/2012/chart">
                      <c:ext xmlns:c15="http://schemas.microsoft.com/office/drawing/2012/chart" uri="{02D57815-91ED-43cb-92C2-25804820EDAC}">
                        <c15:formulaRef>
                          <c15:sqref>'Indicador Comparativo 2018-2020'!$B$30</c15:sqref>
                        </c15:formulaRef>
                      </c:ext>
                    </c:extLst>
                    <c:strCache>
                      <c:ptCount val="1"/>
                      <c:pt idx="0">
                        <c:v>Total </c:v>
                      </c:pt>
                    </c:strCache>
                  </c:strRef>
                </c:tx>
                <c:spPr>
                  <a:solidFill>
                    <a:schemeClr val="accent4">
                      <a:shade val="82000"/>
                    </a:schemeClr>
                  </a:solidFill>
                  <a:ln>
                    <a:noFill/>
                  </a:ln>
                  <a:effectLst/>
                  <a:sp3d/>
                </c:spPr>
                <c:invertIfNegative val="0"/>
                <c:cat>
                  <c:numRef>
                    <c:extLst xmlns:c15="http://schemas.microsoft.com/office/drawing/2012/chart">
                      <c:ext xmlns:c15="http://schemas.microsoft.com/office/drawing/2012/chart" uri="{02D57815-91ED-43cb-92C2-25804820EDAC}">
                        <c15:formulaRef>
                          <c15:sqref>'Indicador Comparativo 2018-2020'!$C$26:$E$26</c15:sqref>
                        </c15:formulaRef>
                      </c:ext>
                    </c:extLst>
                    <c:numCache>
                      <c:formatCode>General</c:formatCode>
                      <c:ptCount val="3"/>
                      <c:pt idx="0">
                        <c:v>2018</c:v>
                      </c:pt>
                      <c:pt idx="1">
                        <c:v>2019</c:v>
                      </c:pt>
                      <c:pt idx="2">
                        <c:v>2020</c:v>
                      </c:pt>
                    </c:numCache>
                  </c:numRef>
                </c:cat>
                <c:val>
                  <c:numRef>
                    <c:extLst xmlns:c15="http://schemas.microsoft.com/office/drawing/2012/chart">
                      <c:ext xmlns:c15="http://schemas.microsoft.com/office/drawing/2012/chart" uri="{02D57815-91ED-43cb-92C2-25804820EDAC}">
                        <c15:formulaRef>
                          <c15:sqref>'Indicador Comparativo 2018-2020'!$C$30:$E$30</c15:sqref>
                        </c15:formulaRef>
                      </c:ext>
                    </c:extLst>
                    <c:numCache>
                      <c:formatCode>General</c:formatCode>
                      <c:ptCount val="3"/>
                      <c:pt idx="0">
                        <c:v>53</c:v>
                      </c:pt>
                      <c:pt idx="1">
                        <c:v>64</c:v>
                      </c:pt>
                      <c:pt idx="2">
                        <c:v>81</c:v>
                      </c:pt>
                    </c:numCache>
                  </c:numRef>
                </c:val>
              </c15:ser>
            </c15:filteredBarSeries>
            <c15:filteredBarSeries>
              <c15:ser>
                <c:idx val="5"/>
                <c:order val="5"/>
                <c:tx>
                  <c:strRef>
                    <c:extLst xmlns:c15="http://schemas.microsoft.com/office/drawing/2012/chart">
                      <c:ext xmlns:c15="http://schemas.microsoft.com/office/drawing/2012/chart" uri="{02D57815-91ED-43cb-92C2-25804820EDAC}">
                        <c15:formulaRef>
                          <c15:sqref>'Indicador Comparativo 2018-2020'!$B$31</c15:sqref>
                        </c15:formulaRef>
                      </c:ext>
                    </c:extLst>
                    <c:strCache>
                      <c:ptCount val="1"/>
                      <c:pt idx="0">
                        <c:v>TOTAL OPORTUNIDADES</c:v>
                      </c:pt>
                    </c:strCache>
                  </c:strRef>
                </c:tx>
                <c:spPr>
                  <a:solidFill>
                    <a:schemeClr val="accent4">
                      <a:shade val="65000"/>
                    </a:schemeClr>
                  </a:solidFill>
                  <a:ln>
                    <a:noFill/>
                  </a:ln>
                  <a:effectLst/>
                  <a:sp3d/>
                </c:spPr>
                <c:invertIfNegative val="0"/>
                <c:cat>
                  <c:numRef>
                    <c:extLst xmlns:c15="http://schemas.microsoft.com/office/drawing/2012/chart">
                      <c:ext xmlns:c15="http://schemas.microsoft.com/office/drawing/2012/chart" uri="{02D57815-91ED-43cb-92C2-25804820EDAC}">
                        <c15:formulaRef>
                          <c15:sqref>'Indicador Comparativo 2018-2020'!$C$26:$E$26</c15:sqref>
                        </c15:formulaRef>
                      </c:ext>
                    </c:extLst>
                    <c:numCache>
                      <c:formatCode>General</c:formatCode>
                      <c:ptCount val="3"/>
                      <c:pt idx="0">
                        <c:v>2018</c:v>
                      </c:pt>
                      <c:pt idx="1">
                        <c:v>2019</c:v>
                      </c:pt>
                      <c:pt idx="2">
                        <c:v>2020</c:v>
                      </c:pt>
                    </c:numCache>
                  </c:numRef>
                </c:cat>
                <c:val>
                  <c:numRef>
                    <c:extLst xmlns:c15="http://schemas.microsoft.com/office/drawing/2012/chart">
                      <c:ext xmlns:c15="http://schemas.microsoft.com/office/drawing/2012/chart" uri="{02D57815-91ED-43cb-92C2-25804820EDAC}">
                        <c15:formulaRef>
                          <c15:sqref>'Indicador Comparativo 2018-2020'!$C$31:$E$31</c15:sqref>
                        </c15:formulaRef>
                      </c:ext>
                    </c:extLst>
                    <c:numCache>
                      <c:formatCode>General</c:formatCode>
                      <c:ptCount val="3"/>
                      <c:pt idx="0">
                        <c:v>0</c:v>
                      </c:pt>
                      <c:pt idx="1">
                        <c:v>15</c:v>
                      </c:pt>
                      <c:pt idx="2">
                        <c:v>5</c:v>
                      </c:pt>
                    </c:numCache>
                  </c:numRef>
                </c:val>
              </c15:ser>
            </c15:filteredBarSeries>
          </c:ext>
        </c:extLst>
      </c:bar3DChart>
      <c:catAx>
        <c:axId val="36191252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361907088"/>
        <c:crosses val="autoZero"/>
        <c:auto val="1"/>
        <c:lblAlgn val="ctr"/>
        <c:lblOffset val="100"/>
        <c:noMultiLvlLbl val="0"/>
      </c:catAx>
      <c:valAx>
        <c:axId val="36190708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361912528"/>
        <c:crosses val="autoZero"/>
        <c:crossBetween val="between"/>
      </c:valAx>
      <c:spPr>
        <a:solidFill>
          <a:schemeClr val="bg1"/>
        </a:solidFill>
        <a:ln cap="rnd" cmpd="dbl">
          <a:solidFill>
            <a:srgbClr val="00B050"/>
          </a:solidFill>
        </a:ln>
        <a:effectLst>
          <a:outerShdw blurRad="63500" sx="102000" sy="102000" algn="ctr" rotWithShape="0">
            <a:prstClr val="black">
              <a:alpha val="40000"/>
            </a:prstClr>
          </a:outerShdw>
        </a:effectLst>
      </c:spPr>
    </c:plotArea>
    <c:legend>
      <c:legendPos val="b"/>
      <c:layout>
        <c:manualLayout>
          <c:xMode val="edge"/>
          <c:yMode val="edge"/>
          <c:x val="0.3769332103501073"/>
          <c:y val="0.90848947035816152"/>
          <c:w val="0.27564026012346338"/>
          <c:h val="9.151052964183847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chart>
  <c:spPr>
    <a:solidFill>
      <a:schemeClr val="bg1"/>
    </a:solidFill>
    <a:ln w="9525" cap="flat" cmpd="sng" algn="ctr">
      <a:solidFill>
        <a:schemeClr val="bg2">
          <a:lumMod val="10000"/>
        </a:schemeClr>
      </a:solid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style1.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1" Type="http://schemas.openxmlformats.org/officeDocument/2006/relationships/image" Target="../media/image1.jpg"/></Relationships>
</file>

<file path=xl/drawings/_rels/drawing5.xml.rels><?xml version="1.0" encoding="UTF-8" standalone="yes"?>
<Relationships xmlns="http://schemas.openxmlformats.org/package/2006/relationships"><Relationship Id="rId1" Type="http://schemas.openxmlformats.org/officeDocument/2006/relationships/image" Target="../media/image1.jpg"/></Relationships>
</file>

<file path=xl/drawings/_rels/drawing6.xml.rels><?xml version="1.0" encoding="UTF-8" standalone="yes"?>
<Relationships xmlns="http://schemas.openxmlformats.org/package/2006/relationships"><Relationship Id="rId1" Type="http://schemas.openxmlformats.org/officeDocument/2006/relationships/image" Target="../media/image1.jpg"/></Relationships>
</file>

<file path=xl/drawings/_rels/drawing7.xml.rels><?xml version="1.0" encoding="UTF-8" standalone="yes"?>
<Relationships xmlns="http://schemas.openxmlformats.org/package/2006/relationships"><Relationship Id="rId1" Type="http://schemas.openxmlformats.org/officeDocument/2006/relationships/image" Target="../media/image1.jpg"/></Relationships>
</file>

<file path=xl/drawings/_rels/drawing8.xml.rels><?xml version="1.0" encoding="UTF-8" standalone="yes"?>
<Relationships xmlns="http://schemas.openxmlformats.org/package/2006/relationships"><Relationship Id="rId1" Type="http://schemas.openxmlformats.org/officeDocument/2006/relationships/image" Target="../media/image1.jpg"/></Relationships>
</file>

<file path=xl/drawings/_rels/drawing9.xml.rels><?xml version="1.0" encoding="UTF-8" standalone="yes"?>
<Relationships xmlns="http://schemas.openxmlformats.org/package/2006/relationships"><Relationship Id="rId1" Type="http://schemas.openxmlformats.org/officeDocument/2006/relationships/image" Target="../media/image1.jpg"/></Relationships>
</file>

<file path=xl/drawings/_rels/drawing10.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4</xdr:col>
      <xdr:colOff>1381125</xdr:colOff>
      <xdr:row>1</xdr:row>
      <xdr:rowOff>166688</xdr:rowOff>
    </xdr:from>
    <xdr:to>
      <xdr:col>5</xdr:col>
      <xdr:colOff>285750</xdr:colOff>
      <xdr:row>1</xdr:row>
      <xdr:rowOff>1542906</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076950" y="280988"/>
          <a:ext cx="3057525" cy="137621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1381125</xdr:colOff>
      <xdr:row>1</xdr:row>
      <xdr:rowOff>166688</xdr:rowOff>
    </xdr:from>
    <xdr:to>
      <xdr:col>5</xdr:col>
      <xdr:colOff>285750</xdr:colOff>
      <xdr:row>1</xdr:row>
      <xdr:rowOff>1542906</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076950" y="280988"/>
          <a:ext cx="3057525" cy="137621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1381125</xdr:colOff>
      <xdr:row>1</xdr:row>
      <xdr:rowOff>166688</xdr:rowOff>
    </xdr:from>
    <xdr:to>
      <xdr:col>5</xdr:col>
      <xdr:colOff>285750</xdr:colOff>
      <xdr:row>1</xdr:row>
      <xdr:rowOff>1542906</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076950" y="280988"/>
          <a:ext cx="3057525" cy="137621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4</xdr:col>
      <xdr:colOff>1381125</xdr:colOff>
      <xdr:row>1</xdr:row>
      <xdr:rowOff>166688</xdr:rowOff>
    </xdr:from>
    <xdr:to>
      <xdr:col>25</xdr:col>
      <xdr:colOff>285750</xdr:colOff>
      <xdr:row>1</xdr:row>
      <xdr:rowOff>1542906</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076950" y="280988"/>
          <a:ext cx="3057525" cy="137621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1381125</xdr:colOff>
      <xdr:row>1</xdr:row>
      <xdr:rowOff>166688</xdr:rowOff>
    </xdr:from>
    <xdr:to>
      <xdr:col>5</xdr:col>
      <xdr:colOff>285750</xdr:colOff>
      <xdr:row>1</xdr:row>
      <xdr:rowOff>1542906</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076950" y="280988"/>
          <a:ext cx="3057525" cy="137621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1381125</xdr:colOff>
      <xdr:row>1</xdr:row>
      <xdr:rowOff>166688</xdr:rowOff>
    </xdr:from>
    <xdr:to>
      <xdr:col>5</xdr:col>
      <xdr:colOff>285750</xdr:colOff>
      <xdr:row>1</xdr:row>
      <xdr:rowOff>1542906</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076950" y="280988"/>
          <a:ext cx="3057525" cy="137621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4</xdr:col>
      <xdr:colOff>1381125</xdr:colOff>
      <xdr:row>1</xdr:row>
      <xdr:rowOff>166688</xdr:rowOff>
    </xdr:from>
    <xdr:to>
      <xdr:col>5</xdr:col>
      <xdr:colOff>285750</xdr:colOff>
      <xdr:row>1</xdr:row>
      <xdr:rowOff>1542906</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076950" y="280988"/>
          <a:ext cx="3057525" cy="1376218"/>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1381125</xdr:colOff>
      <xdr:row>1</xdr:row>
      <xdr:rowOff>166688</xdr:rowOff>
    </xdr:from>
    <xdr:to>
      <xdr:col>5</xdr:col>
      <xdr:colOff>285750</xdr:colOff>
      <xdr:row>1</xdr:row>
      <xdr:rowOff>1542906</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076950" y="280988"/>
          <a:ext cx="3057525" cy="137621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1381125</xdr:colOff>
      <xdr:row>1</xdr:row>
      <xdr:rowOff>166688</xdr:rowOff>
    </xdr:from>
    <xdr:to>
      <xdr:col>5</xdr:col>
      <xdr:colOff>285750</xdr:colOff>
      <xdr:row>1</xdr:row>
      <xdr:rowOff>1542906</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076950" y="280988"/>
          <a:ext cx="3057525" cy="137621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476250</xdr:colOff>
      <xdr:row>2</xdr:row>
      <xdr:rowOff>0</xdr:rowOff>
    </xdr:from>
    <xdr:to>
      <xdr:col>6</xdr:col>
      <xdr:colOff>828675</xdr:colOff>
      <xdr:row>24</xdr:row>
      <xdr:rowOff>85725</xdr:rowOff>
    </xdr:to>
    <xdr:graphicFrame macro="">
      <xdr:nvGraphicFramePr>
        <xdr:cNvPr id="3" name="Gráfico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714375</xdr:colOff>
      <xdr:row>2</xdr:row>
      <xdr:rowOff>38100</xdr:rowOff>
    </xdr:from>
    <xdr:to>
      <xdr:col>12</xdr:col>
      <xdr:colOff>428013</xdr:colOff>
      <xdr:row>23</xdr:row>
      <xdr:rowOff>9236</xdr:rowOff>
    </xdr:to>
    <xdr:graphicFrame macro="">
      <xdr:nvGraphicFramePr>
        <xdr:cNvPr id="5" name="Gráfico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Users\THINK\Documents\Sistema%20Integado%20de%20Gesti&#243;n\SIG\Sistema%20Integrado%20de%20Gesti&#243;n\Planeacci&#243;n%20estrategica&#61480;\Revisi&#243;n%20por%20la%20gerencia&#61480;\2018\Riesgo%20por%20procesos.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ZFIP-SIG/Documents/Sistema%20Integado%20de%20Gesti&#243;n/SIG/Sistema%20Integrado%20de%20Gesti&#243;n/Procedimientos%20documentados&#61480;/1.%20Gestion%20del%20riesgo&#61480;/Riesgos%202019/FO-CL-14%20Matriz%20de%20Gestion%20de%20Riesgos%20y%20Oportunidades%20V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iesgos por procesos 2017"/>
      <sheetName val="Riesgos por procesos 2018"/>
      <sheetName val="Hoja3"/>
      <sheetName val="Riesgos por procesos 2019"/>
    </sheetNames>
    <sheetDataSet>
      <sheetData sheetId="0" refreshError="1"/>
      <sheetData sheetId="1" refreshError="1">
        <row r="13">
          <cell r="C13">
            <v>8</v>
          </cell>
          <cell r="D13">
            <v>41</v>
          </cell>
          <cell r="E13">
            <v>4</v>
          </cell>
        </row>
      </sheetData>
      <sheetData sheetId="2" refreshError="1"/>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RENCIA"/>
      <sheetName val="GCSC"/>
      <sheetName val="GOP"/>
      <sheetName val="GAD"/>
      <sheetName val="GCF"/>
      <sheetName val="SIG"/>
      <sheetName val="GTI"/>
      <sheetName val="GTC"/>
      <sheetName val="GJU-PH"/>
      <sheetName val="Valoración"/>
      <sheetName val="Indicador Comparativo 2018-2019"/>
    </sheetNames>
    <sheetDataSet>
      <sheetData sheetId="0">
        <row r="21">
          <cell r="J21">
            <v>1</v>
          </cell>
        </row>
        <row r="22">
          <cell r="J22">
            <v>6</v>
          </cell>
        </row>
        <row r="23">
          <cell r="J23">
            <v>0</v>
          </cell>
        </row>
        <row r="25">
          <cell r="J25">
            <v>3</v>
          </cell>
        </row>
      </sheetData>
      <sheetData sheetId="1">
        <row r="21">
          <cell r="J21">
            <v>1</v>
          </cell>
        </row>
        <row r="22">
          <cell r="J22">
            <v>4</v>
          </cell>
        </row>
        <row r="23">
          <cell r="J23">
            <v>0</v>
          </cell>
        </row>
        <row r="25">
          <cell r="J25">
            <v>5</v>
          </cell>
        </row>
      </sheetData>
      <sheetData sheetId="2">
        <row r="20">
          <cell r="J20">
            <v>0</v>
          </cell>
        </row>
        <row r="21">
          <cell r="J21">
            <v>7</v>
          </cell>
        </row>
        <row r="22">
          <cell r="J22">
            <v>1</v>
          </cell>
        </row>
        <row r="24">
          <cell r="J24">
            <v>1</v>
          </cell>
        </row>
      </sheetData>
      <sheetData sheetId="3">
        <row r="20">
          <cell r="J20">
            <v>0</v>
          </cell>
        </row>
        <row r="21">
          <cell r="J21">
            <v>7</v>
          </cell>
        </row>
        <row r="22">
          <cell r="J22">
            <v>0</v>
          </cell>
        </row>
        <row r="24">
          <cell r="J24">
            <v>2</v>
          </cell>
        </row>
      </sheetData>
      <sheetData sheetId="4">
        <row r="16">
          <cell r="J16">
            <v>0</v>
          </cell>
        </row>
        <row r="17">
          <cell r="J17">
            <v>4</v>
          </cell>
        </row>
        <row r="18">
          <cell r="J18">
            <v>1</v>
          </cell>
        </row>
        <row r="20">
          <cell r="J20">
            <v>0</v>
          </cell>
        </row>
      </sheetData>
      <sheetData sheetId="5">
        <row r="17">
          <cell r="J17">
            <v>1</v>
          </cell>
        </row>
        <row r="18">
          <cell r="J18">
            <v>4</v>
          </cell>
        </row>
        <row r="19">
          <cell r="J19">
            <v>0</v>
          </cell>
        </row>
        <row r="21">
          <cell r="J21">
            <v>1</v>
          </cell>
        </row>
      </sheetData>
      <sheetData sheetId="6">
        <row r="17">
          <cell r="J17">
            <v>2</v>
          </cell>
        </row>
        <row r="18">
          <cell r="J18">
            <v>4</v>
          </cell>
        </row>
        <row r="19">
          <cell r="J19">
            <v>0</v>
          </cell>
        </row>
        <row r="21">
          <cell r="J21">
            <v>0</v>
          </cell>
        </row>
      </sheetData>
      <sheetData sheetId="7">
        <row r="18">
          <cell r="J18">
            <v>0</v>
          </cell>
        </row>
        <row r="19">
          <cell r="J19">
            <v>6</v>
          </cell>
        </row>
        <row r="20">
          <cell r="J20">
            <v>0</v>
          </cell>
        </row>
        <row r="22">
          <cell r="J22">
            <v>1</v>
          </cell>
        </row>
      </sheetData>
      <sheetData sheetId="8">
        <row r="28">
          <cell r="J28">
            <v>0</v>
          </cell>
        </row>
        <row r="29">
          <cell r="J29">
            <v>14</v>
          </cell>
        </row>
        <row r="30">
          <cell r="J30">
            <v>1</v>
          </cell>
        </row>
        <row r="32">
          <cell r="J32">
            <v>2</v>
          </cell>
        </row>
      </sheetData>
      <sheetData sheetId="9"/>
      <sheetData sheetId="10"/>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9.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pageSetUpPr fitToPage="1"/>
  </sheetPr>
  <dimension ref="B1:AO80"/>
  <sheetViews>
    <sheetView showGridLines="0" view="pageBreakPreview" topLeftCell="A7" zoomScale="50" zoomScaleNormal="25" zoomScaleSheetLayoutView="50" zoomScalePageLayoutView="75" workbookViewId="0">
      <selection activeCell="AD16" sqref="AD16"/>
    </sheetView>
  </sheetViews>
  <sheetFormatPr baseColWidth="10" defaultColWidth="33.85546875" defaultRowHeight="23.25" x14ac:dyDescent="0.2"/>
  <cols>
    <col min="1" max="1" width="2.140625" style="24" customWidth="1"/>
    <col min="2" max="2" width="17.42578125" style="24" customWidth="1"/>
    <col min="3" max="3" width="23.140625" style="24" customWidth="1"/>
    <col min="4" max="4" width="27.7109375" style="24" customWidth="1"/>
    <col min="5" max="5" width="62.28515625" style="24" bestFit="1" customWidth="1"/>
    <col min="6" max="7" width="28.28515625" style="24" customWidth="1"/>
    <col min="8" max="8" width="32.5703125" style="24" customWidth="1"/>
    <col min="9" max="9" width="32.28515625" style="24" customWidth="1"/>
    <col min="10" max="13" width="15.7109375" style="24" customWidth="1"/>
    <col min="14" max="14" width="29" style="24" customWidth="1"/>
    <col min="15" max="16" width="61.28515625" style="24" customWidth="1"/>
    <col min="17" max="18" width="14.85546875" style="24" customWidth="1"/>
    <col min="19" max="19" width="18.28515625" style="24" customWidth="1"/>
    <col min="20" max="20" width="16.28515625" style="24" customWidth="1"/>
    <col min="21" max="21" width="18" style="24" customWidth="1"/>
    <col min="22" max="25" width="16.28515625" style="24" customWidth="1"/>
    <col min="26" max="26" width="39.5703125" style="24" customWidth="1"/>
    <col min="27" max="28" width="28" style="24" customWidth="1"/>
    <col min="29" max="29" width="29.42578125" style="24" customWidth="1"/>
    <col min="30" max="30" width="49.42578125" style="24" customWidth="1"/>
    <col min="31" max="31" width="23.140625" style="41" customWidth="1"/>
    <col min="32" max="32" width="17.7109375" style="24" customWidth="1"/>
    <col min="33" max="36" width="33.85546875" style="24" customWidth="1"/>
    <col min="37" max="16384" width="33.85546875" style="24"/>
  </cols>
  <sheetData>
    <row r="1" spans="2:41" ht="9" customHeight="1" x14ac:dyDescent="0.2"/>
    <row r="2" spans="2:41" s="28" customFormat="1" ht="125.25" customHeight="1" thickBot="1" x14ac:dyDescent="0.25">
      <c r="B2" s="385" t="s">
        <v>109</v>
      </c>
      <c r="C2" s="386"/>
      <c r="D2" s="386"/>
      <c r="E2" s="386"/>
      <c r="F2" s="386"/>
      <c r="G2" s="386"/>
      <c r="H2" s="386"/>
      <c r="I2" s="386"/>
      <c r="J2" s="386"/>
      <c r="K2" s="386"/>
      <c r="L2" s="386"/>
      <c r="M2" s="386"/>
      <c r="N2" s="386"/>
      <c r="O2" s="386"/>
      <c r="P2" s="386"/>
      <c r="Q2" s="386"/>
      <c r="R2" s="386"/>
      <c r="S2" s="386"/>
      <c r="T2" s="386"/>
      <c r="U2" s="386"/>
      <c r="V2" s="386"/>
      <c r="W2" s="386"/>
      <c r="X2" s="386"/>
      <c r="Y2" s="386"/>
      <c r="Z2" s="386"/>
      <c r="AA2" s="386"/>
      <c r="AB2" s="386"/>
      <c r="AC2" s="386"/>
      <c r="AD2" s="386"/>
      <c r="AE2" s="386"/>
      <c r="AF2" s="31"/>
    </row>
    <row r="3" spans="2:41" s="29" customFormat="1" ht="66" customHeight="1" thickBot="1" x14ac:dyDescent="0.25">
      <c r="B3" s="387" t="s">
        <v>37</v>
      </c>
      <c r="C3" s="388"/>
      <c r="D3" s="388"/>
      <c r="E3" s="388"/>
      <c r="F3" s="388"/>
      <c r="G3" s="387" t="s">
        <v>108</v>
      </c>
      <c r="H3" s="388"/>
      <c r="I3" s="388"/>
      <c r="J3" s="388"/>
      <c r="K3" s="388"/>
      <c r="L3" s="388"/>
      <c r="M3" s="388"/>
      <c r="N3" s="389"/>
      <c r="O3" s="387" t="s">
        <v>107</v>
      </c>
      <c r="P3" s="388"/>
      <c r="Q3" s="388"/>
      <c r="R3" s="388"/>
      <c r="S3" s="388"/>
      <c r="T3" s="389"/>
      <c r="U3" s="387" t="s">
        <v>38</v>
      </c>
      <c r="V3" s="388"/>
      <c r="W3" s="388"/>
      <c r="X3" s="388"/>
      <c r="Y3" s="388"/>
      <c r="Z3" s="388"/>
      <c r="AA3" s="389"/>
      <c r="AB3" s="387" t="s">
        <v>35</v>
      </c>
      <c r="AC3" s="388"/>
      <c r="AD3" s="388"/>
      <c r="AE3" s="389"/>
      <c r="AF3" s="32"/>
    </row>
    <row r="4" spans="2:41" s="29" customFormat="1" ht="72" customHeight="1" thickBot="1" x14ac:dyDescent="0.25">
      <c r="B4" s="390" t="s">
        <v>36</v>
      </c>
      <c r="C4" s="391"/>
      <c r="D4" s="391"/>
      <c r="E4" s="391"/>
      <c r="F4" s="391"/>
      <c r="G4" s="392">
        <v>42874</v>
      </c>
      <c r="H4" s="393"/>
      <c r="I4" s="393"/>
      <c r="J4" s="393"/>
      <c r="K4" s="393"/>
      <c r="L4" s="393"/>
      <c r="M4" s="393"/>
      <c r="N4" s="394"/>
      <c r="O4" s="395">
        <v>43700</v>
      </c>
      <c r="P4" s="396"/>
      <c r="Q4" s="396"/>
      <c r="R4" s="396"/>
      <c r="S4" s="396"/>
      <c r="T4" s="397"/>
      <c r="U4" s="390">
        <v>4</v>
      </c>
      <c r="V4" s="391"/>
      <c r="W4" s="391"/>
      <c r="X4" s="391"/>
      <c r="Y4" s="391"/>
      <c r="Z4" s="391"/>
      <c r="AA4" s="398"/>
      <c r="AB4" s="390" t="s">
        <v>50</v>
      </c>
      <c r="AC4" s="391"/>
      <c r="AD4" s="391"/>
      <c r="AE4" s="398"/>
      <c r="AF4" s="112"/>
    </row>
    <row r="5" spans="2:41" s="29" customFormat="1" ht="32.1" customHeight="1" thickBot="1" x14ac:dyDescent="0.25">
      <c r="B5" s="383" t="s">
        <v>604</v>
      </c>
      <c r="C5" s="384"/>
      <c r="D5" s="384"/>
      <c r="E5" s="384"/>
      <c r="F5" s="384"/>
      <c r="G5" s="384"/>
      <c r="H5" s="384"/>
      <c r="I5" s="384"/>
      <c r="J5" s="384"/>
      <c r="K5" s="384"/>
      <c r="L5" s="384"/>
      <c r="M5" s="384"/>
      <c r="N5" s="384"/>
      <c r="O5" s="384"/>
      <c r="P5" s="384"/>
      <c r="Q5" s="384"/>
      <c r="R5" s="384"/>
      <c r="S5" s="384"/>
      <c r="T5" s="384"/>
      <c r="U5" s="384"/>
      <c r="V5" s="384"/>
      <c r="W5" s="384"/>
      <c r="X5" s="384"/>
      <c r="Y5" s="384"/>
      <c r="Z5" s="384"/>
      <c r="AA5" s="384"/>
      <c r="AB5" s="384"/>
      <c r="AC5" s="384"/>
      <c r="AD5" s="384"/>
      <c r="AE5" s="384"/>
      <c r="AF5" s="112"/>
    </row>
    <row r="6" spans="2:41" s="29" customFormat="1" ht="54.95" customHeight="1" thickBot="1" x14ac:dyDescent="0.25">
      <c r="B6" s="409" t="s">
        <v>0</v>
      </c>
      <c r="C6" s="410"/>
      <c r="D6" s="410"/>
      <c r="E6" s="410"/>
      <c r="F6" s="410"/>
      <c r="G6" s="410"/>
      <c r="H6" s="410"/>
      <c r="I6" s="411"/>
      <c r="J6" s="412" t="s">
        <v>60</v>
      </c>
      <c r="K6" s="413"/>
      <c r="L6" s="413"/>
      <c r="M6" s="413"/>
      <c r="N6" s="414"/>
      <c r="O6" s="418" t="s">
        <v>92</v>
      </c>
      <c r="P6" s="419"/>
      <c r="Q6" s="420" t="s">
        <v>61</v>
      </c>
      <c r="R6" s="421"/>
      <c r="S6" s="421"/>
      <c r="T6" s="421"/>
      <c r="U6" s="422"/>
      <c r="V6" s="426" t="s">
        <v>56</v>
      </c>
      <c r="W6" s="427"/>
      <c r="X6" s="427"/>
      <c r="Y6" s="427"/>
      <c r="Z6" s="427"/>
      <c r="AA6" s="427"/>
      <c r="AB6" s="427"/>
      <c r="AC6" s="427"/>
      <c r="AD6" s="427"/>
      <c r="AE6" s="428"/>
    </row>
    <row r="7" spans="2:41" s="29" customFormat="1" ht="90" customHeight="1" thickBot="1" x14ac:dyDescent="0.25">
      <c r="B7" s="429" t="s">
        <v>8</v>
      </c>
      <c r="C7" s="430" t="s">
        <v>58</v>
      </c>
      <c r="D7" s="432" t="s">
        <v>89</v>
      </c>
      <c r="E7" s="76" t="s">
        <v>59</v>
      </c>
      <c r="F7" s="43" t="s">
        <v>9</v>
      </c>
      <c r="G7" s="43" t="s">
        <v>102</v>
      </c>
      <c r="H7" s="43" t="s">
        <v>10</v>
      </c>
      <c r="I7" s="95" t="s">
        <v>57</v>
      </c>
      <c r="J7" s="415"/>
      <c r="K7" s="416"/>
      <c r="L7" s="416"/>
      <c r="M7" s="416"/>
      <c r="N7" s="417"/>
      <c r="O7" s="433" t="s">
        <v>101</v>
      </c>
      <c r="P7" s="434"/>
      <c r="Q7" s="423"/>
      <c r="R7" s="424"/>
      <c r="S7" s="424"/>
      <c r="T7" s="424"/>
      <c r="U7" s="425"/>
      <c r="V7" s="435" t="s">
        <v>94</v>
      </c>
      <c r="W7" s="436"/>
      <c r="X7" s="436"/>
      <c r="Y7" s="437"/>
      <c r="Z7" s="442" t="s">
        <v>51</v>
      </c>
      <c r="AA7" s="443"/>
      <c r="AB7" s="443"/>
      <c r="AC7" s="443"/>
      <c r="AD7" s="444"/>
      <c r="AE7" s="445" t="s">
        <v>25</v>
      </c>
      <c r="AG7" s="399" t="s">
        <v>43</v>
      </c>
      <c r="AH7" s="399"/>
      <c r="AI7" s="399"/>
      <c r="AJ7" s="399"/>
      <c r="AK7" s="29" t="s">
        <v>65</v>
      </c>
      <c r="AL7" s="29" t="s">
        <v>66</v>
      </c>
    </row>
    <row r="8" spans="2:41" s="29" customFormat="1" ht="202.5" customHeight="1" thickBot="1" x14ac:dyDescent="0.25">
      <c r="B8" s="429"/>
      <c r="C8" s="431"/>
      <c r="D8" s="431"/>
      <c r="E8" s="77" t="s">
        <v>7</v>
      </c>
      <c r="F8" s="23" t="s">
        <v>62</v>
      </c>
      <c r="G8" s="23" t="s">
        <v>13</v>
      </c>
      <c r="H8" s="23" t="s">
        <v>63</v>
      </c>
      <c r="I8" s="23" t="s">
        <v>64</v>
      </c>
      <c r="J8" s="96" t="s">
        <v>11</v>
      </c>
      <c r="K8" s="102" t="s">
        <v>12</v>
      </c>
      <c r="L8" s="97" t="s">
        <v>1</v>
      </c>
      <c r="M8" s="102" t="s">
        <v>2</v>
      </c>
      <c r="N8" s="106" t="s">
        <v>93</v>
      </c>
      <c r="O8" s="104" t="s">
        <v>90</v>
      </c>
      <c r="P8" s="105" t="s">
        <v>91</v>
      </c>
      <c r="Q8" s="101" t="s">
        <v>11</v>
      </c>
      <c r="R8" s="102" t="s">
        <v>12</v>
      </c>
      <c r="S8" s="102" t="s">
        <v>1</v>
      </c>
      <c r="T8" s="102" t="s">
        <v>2</v>
      </c>
      <c r="U8" s="103" t="s">
        <v>100</v>
      </c>
      <c r="V8" s="98" t="s">
        <v>95</v>
      </c>
      <c r="W8" s="99" t="s">
        <v>96</v>
      </c>
      <c r="X8" s="99" t="s">
        <v>97</v>
      </c>
      <c r="Y8" s="100" t="s">
        <v>98</v>
      </c>
      <c r="Z8" s="132" t="s">
        <v>52</v>
      </c>
      <c r="AA8" s="133" t="s">
        <v>53</v>
      </c>
      <c r="AB8" s="134" t="s">
        <v>54</v>
      </c>
      <c r="AC8" s="133" t="s">
        <v>55</v>
      </c>
      <c r="AD8" s="135" t="s">
        <v>99</v>
      </c>
      <c r="AE8" s="446"/>
      <c r="AG8" s="73" t="s">
        <v>39</v>
      </c>
      <c r="AH8" s="74" t="s">
        <v>40</v>
      </c>
      <c r="AI8" s="74" t="s">
        <v>41</v>
      </c>
      <c r="AJ8" s="75" t="s">
        <v>42</v>
      </c>
      <c r="AK8" s="86" t="s">
        <v>83</v>
      </c>
      <c r="AL8" s="86" t="s">
        <v>83</v>
      </c>
      <c r="AM8" s="29" t="s">
        <v>69</v>
      </c>
      <c r="AN8" s="29" t="s">
        <v>70</v>
      </c>
      <c r="AO8" s="91"/>
    </row>
    <row r="9" spans="2:41" s="29" customFormat="1" ht="235.5" customHeight="1" x14ac:dyDescent="0.2">
      <c r="B9" s="400" t="s">
        <v>71</v>
      </c>
      <c r="C9" s="353" t="s">
        <v>69</v>
      </c>
      <c r="D9" s="52" t="s">
        <v>720</v>
      </c>
      <c r="E9" s="46" t="s">
        <v>110</v>
      </c>
      <c r="F9" s="116" t="s">
        <v>111</v>
      </c>
      <c r="G9" s="116" t="s">
        <v>112</v>
      </c>
      <c r="H9" s="116" t="s">
        <v>113</v>
      </c>
      <c r="I9" s="116" t="s">
        <v>114</v>
      </c>
      <c r="J9" s="44">
        <v>2</v>
      </c>
      <c r="K9" s="44" t="str">
        <f t="shared" ref="K9:K16" si="0">IF(J9=3,"ALTO",IF(J9=2,"MEDIO",IF(J9="N/A","N/A","BAJO")))</f>
        <v>MEDIO</v>
      </c>
      <c r="L9" s="44">
        <v>20</v>
      </c>
      <c r="M9" s="44" t="str">
        <f t="shared" ref="M9:M16" si="1">IF(L9=20,"ALTO",IF(L9=10,"MEDIO",IF(L9="N/A","N/A","BAJO")))</f>
        <v>ALTO</v>
      </c>
      <c r="N9" s="89">
        <f>J9*L9</f>
        <v>40</v>
      </c>
      <c r="O9" s="119" t="s">
        <v>115</v>
      </c>
      <c r="P9" s="120" t="s">
        <v>448</v>
      </c>
      <c r="Q9" s="44">
        <v>1</v>
      </c>
      <c r="R9" s="44" t="str">
        <f>IF(Q9=3,"ALTO",IF(Q9=2,"MEDIO",IF(Q9="N/A","N/A","BAJO")))</f>
        <v>BAJO</v>
      </c>
      <c r="S9" s="44">
        <v>20</v>
      </c>
      <c r="T9" s="44" t="str">
        <f>IF(S9=20,"ALTO",IF(S9=10,"MEDIO",IF(S9="N/A","N/A","BAJO")))</f>
        <v>ALTO</v>
      </c>
      <c r="U9" s="89">
        <f>Q9*S9</f>
        <v>20</v>
      </c>
      <c r="V9" s="354"/>
      <c r="W9" s="354" t="s">
        <v>116</v>
      </c>
      <c r="X9" s="354"/>
      <c r="Y9" s="354"/>
      <c r="Z9" s="169" t="s">
        <v>117</v>
      </c>
      <c r="AA9" s="170" t="s">
        <v>576</v>
      </c>
      <c r="AB9" s="239" t="s">
        <v>118</v>
      </c>
      <c r="AC9" s="239" t="s">
        <v>119</v>
      </c>
      <c r="AD9" s="116" t="s">
        <v>566</v>
      </c>
      <c r="AE9" s="403">
        <v>44026</v>
      </c>
      <c r="AG9" s="51">
        <v>1</v>
      </c>
      <c r="AH9" s="52"/>
      <c r="AI9" s="52"/>
      <c r="AJ9" s="50">
        <f>SUM(AG9:AI9)</f>
        <v>1</v>
      </c>
      <c r="AK9" s="29">
        <v>1</v>
      </c>
      <c r="AL9" s="29">
        <v>5</v>
      </c>
      <c r="AM9" s="29" t="s">
        <v>72</v>
      </c>
      <c r="AN9" s="29" t="s">
        <v>74</v>
      </c>
      <c r="AO9" s="92"/>
    </row>
    <row r="10" spans="2:41" s="29" customFormat="1" ht="214.5" customHeight="1" x14ac:dyDescent="0.2">
      <c r="B10" s="401"/>
      <c r="C10" s="79" t="s">
        <v>69</v>
      </c>
      <c r="D10" s="360" t="s">
        <v>720</v>
      </c>
      <c r="E10" s="45" t="s">
        <v>120</v>
      </c>
      <c r="F10" s="117" t="s">
        <v>121</v>
      </c>
      <c r="G10" s="117" t="s">
        <v>122</v>
      </c>
      <c r="H10" s="117" t="s">
        <v>123</v>
      </c>
      <c r="I10" s="117" t="s">
        <v>124</v>
      </c>
      <c r="J10" s="87">
        <v>2</v>
      </c>
      <c r="K10" s="56" t="str">
        <f t="shared" si="0"/>
        <v>MEDIO</v>
      </c>
      <c r="L10" s="56">
        <v>20</v>
      </c>
      <c r="M10" s="56" t="str">
        <f t="shared" si="1"/>
        <v>ALTO</v>
      </c>
      <c r="N10" s="88">
        <f t="shared" ref="N10:N16" si="2">J10*L10</f>
        <v>40</v>
      </c>
      <c r="O10" s="117" t="s">
        <v>754</v>
      </c>
      <c r="P10" s="131" t="s">
        <v>577</v>
      </c>
      <c r="Q10" s="87">
        <v>1</v>
      </c>
      <c r="R10" s="87" t="str">
        <f t="shared" ref="R10:R16" si="3">IF(Q10=3,"ALTO",IF(Q10=2,"MEDIO",IF(Q10="N/A","N/A","BAJO")))</f>
        <v>BAJO</v>
      </c>
      <c r="S10" s="56">
        <v>20</v>
      </c>
      <c r="T10" s="87" t="str">
        <f t="shared" ref="T10:T16" si="4">IF(S10=20,"ALTO",IF(S10=10,"MEDIO",IF(S10="N/A","N/A","BAJO")))</f>
        <v>ALTO</v>
      </c>
      <c r="U10" s="88">
        <f t="shared" ref="U10:U16" si="5">Q10*S10</f>
        <v>20</v>
      </c>
      <c r="V10" s="58"/>
      <c r="W10" s="58" t="s">
        <v>116</v>
      </c>
      <c r="X10" s="58"/>
      <c r="Y10" s="58"/>
      <c r="Z10" s="124" t="s">
        <v>578</v>
      </c>
      <c r="AA10" s="125" t="s">
        <v>579</v>
      </c>
      <c r="AB10" s="126" t="s">
        <v>125</v>
      </c>
      <c r="AC10" s="126" t="s">
        <v>119</v>
      </c>
      <c r="AD10" s="127" t="s">
        <v>566</v>
      </c>
      <c r="AE10" s="404"/>
      <c r="AG10" s="113"/>
      <c r="AH10" s="114">
        <v>1</v>
      </c>
      <c r="AI10" s="114"/>
      <c r="AJ10" s="115">
        <f t="shared" ref="AJ10:AJ28" si="6">SUM(AG10:AI10)</f>
        <v>1</v>
      </c>
      <c r="AK10" s="29">
        <v>2</v>
      </c>
      <c r="AL10" s="29">
        <v>10</v>
      </c>
      <c r="AN10" s="29" t="s">
        <v>75</v>
      </c>
      <c r="AO10" s="92"/>
    </row>
    <row r="11" spans="2:41" s="29" customFormat="1" ht="174.75" customHeight="1" x14ac:dyDescent="0.2">
      <c r="B11" s="401"/>
      <c r="C11" s="79" t="s">
        <v>69</v>
      </c>
      <c r="D11" s="360" t="s">
        <v>722</v>
      </c>
      <c r="E11" s="45" t="s">
        <v>126</v>
      </c>
      <c r="F11" s="117" t="s">
        <v>127</v>
      </c>
      <c r="G11" s="117" t="s">
        <v>128</v>
      </c>
      <c r="H11" s="117" t="s">
        <v>129</v>
      </c>
      <c r="I11" s="117" t="s">
        <v>130</v>
      </c>
      <c r="J11" s="87">
        <v>2</v>
      </c>
      <c r="K11" s="56" t="str">
        <f t="shared" si="0"/>
        <v>MEDIO</v>
      </c>
      <c r="L11" s="56">
        <v>20</v>
      </c>
      <c r="M11" s="56" t="str">
        <f t="shared" si="1"/>
        <v>ALTO</v>
      </c>
      <c r="N11" s="88">
        <f t="shared" si="2"/>
        <v>40</v>
      </c>
      <c r="O11" s="117" t="s">
        <v>580</v>
      </c>
      <c r="P11" s="131" t="s">
        <v>581</v>
      </c>
      <c r="Q11" s="87">
        <v>1</v>
      </c>
      <c r="R11" s="87" t="str">
        <f t="shared" si="3"/>
        <v>BAJO</v>
      </c>
      <c r="S11" s="56">
        <v>20</v>
      </c>
      <c r="T11" s="87" t="str">
        <f t="shared" si="4"/>
        <v>ALTO</v>
      </c>
      <c r="U11" s="88">
        <f t="shared" si="5"/>
        <v>20</v>
      </c>
      <c r="V11" s="58"/>
      <c r="W11" s="58" t="s">
        <v>116</v>
      </c>
      <c r="X11" s="58"/>
      <c r="Y11" s="58"/>
      <c r="Z11" s="124" t="s">
        <v>582</v>
      </c>
      <c r="AA11" s="125" t="s">
        <v>584</v>
      </c>
      <c r="AB11" s="126" t="s">
        <v>71</v>
      </c>
      <c r="AC11" s="126" t="s">
        <v>119</v>
      </c>
      <c r="AD11" s="127" t="s">
        <v>566</v>
      </c>
      <c r="AE11" s="404"/>
      <c r="AG11" s="113">
        <v>1</v>
      </c>
      <c r="AH11" s="114"/>
      <c r="AI11" s="114"/>
      <c r="AJ11" s="115">
        <f t="shared" si="6"/>
        <v>1</v>
      </c>
      <c r="AK11" s="29">
        <v>3</v>
      </c>
      <c r="AL11" s="29">
        <v>20</v>
      </c>
      <c r="AN11" s="29" t="s">
        <v>86</v>
      </c>
      <c r="AO11" s="92"/>
    </row>
    <row r="12" spans="2:41" s="29" customFormat="1" ht="129" customHeight="1" x14ac:dyDescent="0.2">
      <c r="B12" s="401"/>
      <c r="C12" s="155" t="s">
        <v>69</v>
      </c>
      <c r="D12" s="360" t="s">
        <v>75</v>
      </c>
      <c r="E12" s="45" t="s">
        <v>132</v>
      </c>
      <c r="F12" s="117" t="s">
        <v>133</v>
      </c>
      <c r="G12" s="117" t="s">
        <v>134</v>
      </c>
      <c r="H12" s="117" t="s">
        <v>135</v>
      </c>
      <c r="I12" s="117" t="s">
        <v>136</v>
      </c>
      <c r="J12" s="56">
        <v>3</v>
      </c>
      <c r="K12" s="56" t="str">
        <f t="shared" si="0"/>
        <v>ALTO</v>
      </c>
      <c r="L12" s="159">
        <v>10</v>
      </c>
      <c r="M12" s="56" t="str">
        <f t="shared" si="1"/>
        <v>MEDIO</v>
      </c>
      <c r="N12" s="88">
        <f t="shared" si="2"/>
        <v>30</v>
      </c>
      <c r="O12" s="196" t="s">
        <v>137</v>
      </c>
      <c r="P12" s="196" t="s">
        <v>449</v>
      </c>
      <c r="Q12" s="56">
        <v>1</v>
      </c>
      <c r="R12" s="87" t="str">
        <f t="shared" si="3"/>
        <v>BAJO</v>
      </c>
      <c r="S12" s="159">
        <v>5</v>
      </c>
      <c r="T12" s="87" t="str">
        <f t="shared" si="4"/>
        <v>BAJO</v>
      </c>
      <c r="U12" s="88">
        <f t="shared" si="5"/>
        <v>5</v>
      </c>
      <c r="V12" s="164"/>
      <c r="W12" s="164" t="s">
        <v>116</v>
      </c>
      <c r="X12" s="164"/>
      <c r="Y12" s="164"/>
      <c r="Z12" s="124" t="s">
        <v>585</v>
      </c>
      <c r="AA12" s="125" t="s">
        <v>583</v>
      </c>
      <c r="AB12" s="125" t="s">
        <v>118</v>
      </c>
      <c r="AC12" s="125" t="s">
        <v>119</v>
      </c>
      <c r="AD12" s="124" t="s">
        <v>566</v>
      </c>
      <c r="AE12" s="404"/>
      <c r="AG12" s="173"/>
      <c r="AH12" s="174"/>
      <c r="AI12" s="174"/>
      <c r="AJ12" s="175"/>
      <c r="AN12" s="29" t="s">
        <v>87</v>
      </c>
      <c r="AO12" s="92"/>
    </row>
    <row r="13" spans="2:41" s="29" customFormat="1" ht="219.75" customHeight="1" x14ac:dyDescent="0.2">
      <c r="B13" s="401"/>
      <c r="C13" s="155" t="s">
        <v>69</v>
      </c>
      <c r="D13" s="366" t="s">
        <v>720</v>
      </c>
      <c r="E13" s="45" t="s">
        <v>747</v>
      </c>
      <c r="F13" s="117" t="s">
        <v>751</v>
      </c>
      <c r="G13" s="117" t="s">
        <v>748</v>
      </c>
      <c r="H13" s="117" t="s">
        <v>752</v>
      </c>
      <c r="I13" s="117" t="s">
        <v>755</v>
      </c>
      <c r="J13" s="56">
        <v>2</v>
      </c>
      <c r="K13" s="56" t="str">
        <f t="shared" si="0"/>
        <v>MEDIO</v>
      </c>
      <c r="L13" s="159">
        <v>20</v>
      </c>
      <c r="M13" s="56" t="str">
        <f t="shared" si="1"/>
        <v>ALTO</v>
      </c>
      <c r="N13" s="88">
        <f t="shared" si="2"/>
        <v>40</v>
      </c>
      <c r="O13" s="196" t="s">
        <v>749</v>
      </c>
      <c r="P13" s="196" t="s">
        <v>756</v>
      </c>
      <c r="Q13" s="56">
        <v>2</v>
      </c>
      <c r="R13" s="87" t="str">
        <f t="shared" si="3"/>
        <v>MEDIO</v>
      </c>
      <c r="S13" s="159">
        <v>10</v>
      </c>
      <c r="T13" s="87" t="str">
        <f t="shared" si="4"/>
        <v>MEDIO</v>
      </c>
      <c r="U13" s="88">
        <f t="shared" si="5"/>
        <v>20</v>
      </c>
      <c r="V13" s="164" t="s">
        <v>116</v>
      </c>
      <c r="W13" s="164"/>
      <c r="X13" s="164"/>
      <c r="Y13" s="164"/>
      <c r="Z13" s="124" t="s">
        <v>750</v>
      </c>
      <c r="AA13" s="125" t="s">
        <v>575</v>
      </c>
      <c r="AB13" s="125" t="s">
        <v>753</v>
      </c>
      <c r="AC13" s="125" t="s">
        <v>119</v>
      </c>
      <c r="AD13" s="124" t="s">
        <v>566</v>
      </c>
      <c r="AE13" s="404"/>
      <c r="AG13" s="365"/>
      <c r="AH13" s="366"/>
      <c r="AI13" s="366"/>
      <c r="AJ13" s="367"/>
      <c r="AO13" s="92"/>
    </row>
    <row r="14" spans="2:41" s="29" customFormat="1" ht="177" customHeight="1" x14ac:dyDescent="0.2">
      <c r="B14" s="401"/>
      <c r="C14" s="380" t="s">
        <v>69</v>
      </c>
      <c r="D14" s="360" t="s">
        <v>720</v>
      </c>
      <c r="E14" s="45" t="s">
        <v>458</v>
      </c>
      <c r="F14" s="117" t="s">
        <v>459</v>
      </c>
      <c r="G14" s="117" t="s">
        <v>460</v>
      </c>
      <c r="H14" s="117" t="s">
        <v>757</v>
      </c>
      <c r="I14" s="117" t="s">
        <v>758</v>
      </c>
      <c r="J14" s="56">
        <v>2</v>
      </c>
      <c r="K14" s="56" t="str">
        <f t="shared" si="0"/>
        <v>MEDIO</v>
      </c>
      <c r="L14" s="159">
        <v>20</v>
      </c>
      <c r="M14" s="56" t="str">
        <f t="shared" si="1"/>
        <v>ALTO</v>
      </c>
      <c r="N14" s="88">
        <f t="shared" si="2"/>
        <v>40</v>
      </c>
      <c r="O14" s="196" t="s">
        <v>586</v>
      </c>
      <c r="P14" s="196" t="s">
        <v>759</v>
      </c>
      <c r="Q14" s="56">
        <v>1</v>
      </c>
      <c r="R14" s="87" t="str">
        <f t="shared" si="3"/>
        <v>BAJO</v>
      </c>
      <c r="S14" s="159">
        <v>20</v>
      </c>
      <c r="T14" s="87" t="str">
        <f t="shared" si="4"/>
        <v>ALTO</v>
      </c>
      <c r="U14" s="88">
        <f t="shared" si="5"/>
        <v>20</v>
      </c>
      <c r="V14" s="164"/>
      <c r="W14" s="164" t="s">
        <v>116</v>
      </c>
      <c r="X14" s="164"/>
      <c r="Y14" s="164"/>
      <c r="Z14" s="124" t="s">
        <v>461</v>
      </c>
      <c r="AA14" s="125" t="s">
        <v>462</v>
      </c>
      <c r="AB14" s="125" t="s">
        <v>463</v>
      </c>
      <c r="AC14" s="125" t="s">
        <v>464</v>
      </c>
      <c r="AD14" s="124" t="s">
        <v>587</v>
      </c>
      <c r="AE14" s="404"/>
      <c r="AG14" s="327"/>
      <c r="AH14" s="328"/>
      <c r="AI14" s="328"/>
      <c r="AJ14" s="329"/>
      <c r="AN14" s="29" t="s">
        <v>88</v>
      </c>
      <c r="AO14" s="92"/>
    </row>
    <row r="15" spans="2:41" s="29" customFormat="1" ht="177" customHeight="1" x14ac:dyDescent="0.2">
      <c r="B15" s="401"/>
      <c r="C15" s="380" t="s">
        <v>69</v>
      </c>
      <c r="D15" s="360" t="s">
        <v>721</v>
      </c>
      <c r="E15" s="45" t="s">
        <v>709</v>
      </c>
      <c r="F15" s="117" t="s">
        <v>589</v>
      </c>
      <c r="G15" s="117" t="s">
        <v>591</v>
      </c>
      <c r="H15" s="117" t="s">
        <v>590</v>
      </c>
      <c r="I15" s="117" t="s">
        <v>592</v>
      </c>
      <c r="J15" s="56">
        <v>3</v>
      </c>
      <c r="K15" s="56" t="str">
        <f t="shared" si="0"/>
        <v>ALTO</v>
      </c>
      <c r="L15" s="159">
        <v>20</v>
      </c>
      <c r="M15" s="56" t="str">
        <f t="shared" si="1"/>
        <v>ALTO</v>
      </c>
      <c r="N15" s="88">
        <f t="shared" si="2"/>
        <v>60</v>
      </c>
      <c r="O15" s="196" t="s">
        <v>594</v>
      </c>
      <c r="P15" s="196" t="s">
        <v>593</v>
      </c>
      <c r="Q15" s="56">
        <v>3</v>
      </c>
      <c r="R15" s="87" t="str">
        <f t="shared" si="3"/>
        <v>ALTO</v>
      </c>
      <c r="S15" s="159">
        <v>20</v>
      </c>
      <c r="T15" s="87" t="str">
        <f t="shared" si="4"/>
        <v>ALTO</v>
      </c>
      <c r="U15" s="88">
        <f t="shared" si="5"/>
        <v>60</v>
      </c>
      <c r="V15" s="164" t="s">
        <v>116</v>
      </c>
      <c r="W15" s="164"/>
      <c r="X15" s="164"/>
      <c r="Y15" s="164"/>
      <c r="Z15" s="124" t="s">
        <v>595</v>
      </c>
      <c r="AA15" s="125" t="s">
        <v>575</v>
      </c>
      <c r="AB15" s="125" t="s">
        <v>596</v>
      </c>
      <c r="AC15" s="125" t="s">
        <v>464</v>
      </c>
      <c r="AD15" s="124" t="s">
        <v>587</v>
      </c>
      <c r="AE15" s="404"/>
      <c r="AG15" s="332"/>
      <c r="AH15" s="333"/>
      <c r="AI15" s="333"/>
      <c r="AJ15" s="334"/>
      <c r="AO15" s="92"/>
    </row>
    <row r="16" spans="2:41" s="29" customFormat="1" ht="177" customHeight="1" thickBot="1" x14ac:dyDescent="0.25">
      <c r="B16" s="402"/>
      <c r="C16" s="378" t="s">
        <v>69</v>
      </c>
      <c r="D16" s="81" t="s">
        <v>719</v>
      </c>
      <c r="E16" s="33" t="s">
        <v>597</v>
      </c>
      <c r="F16" s="118" t="s">
        <v>598</v>
      </c>
      <c r="G16" s="118" t="s">
        <v>599</v>
      </c>
      <c r="H16" s="118" t="s">
        <v>760</v>
      </c>
      <c r="I16" s="118" t="s">
        <v>600</v>
      </c>
      <c r="J16" s="57">
        <v>2</v>
      </c>
      <c r="K16" s="57" t="str">
        <f t="shared" si="0"/>
        <v>MEDIO</v>
      </c>
      <c r="L16" s="57">
        <v>20</v>
      </c>
      <c r="M16" s="57" t="str">
        <f t="shared" si="1"/>
        <v>ALTO</v>
      </c>
      <c r="N16" s="90">
        <f t="shared" si="2"/>
        <v>40</v>
      </c>
      <c r="O16" s="350" t="s">
        <v>601</v>
      </c>
      <c r="P16" s="350" t="s">
        <v>602</v>
      </c>
      <c r="Q16" s="57">
        <v>1</v>
      </c>
      <c r="R16" s="215" t="str">
        <f t="shared" si="3"/>
        <v>BAJO</v>
      </c>
      <c r="S16" s="57">
        <v>20</v>
      </c>
      <c r="T16" s="215" t="str">
        <f t="shared" si="4"/>
        <v>ALTO</v>
      </c>
      <c r="U16" s="90">
        <f t="shared" si="5"/>
        <v>20</v>
      </c>
      <c r="V16" s="59"/>
      <c r="W16" s="59" t="s">
        <v>116</v>
      </c>
      <c r="X16" s="59"/>
      <c r="Y16" s="59"/>
      <c r="Z16" s="128" t="s">
        <v>666</v>
      </c>
      <c r="AA16" s="129" t="s">
        <v>634</v>
      </c>
      <c r="AB16" s="129" t="s">
        <v>603</v>
      </c>
      <c r="AC16" s="129" t="s">
        <v>119</v>
      </c>
      <c r="AD16" s="128" t="s">
        <v>999</v>
      </c>
      <c r="AE16" s="405"/>
      <c r="AG16" s="332"/>
      <c r="AH16" s="333"/>
      <c r="AI16" s="333"/>
      <c r="AJ16" s="334"/>
      <c r="AO16" s="92"/>
    </row>
    <row r="17" spans="2:41" s="29" customFormat="1" ht="31.5" customHeight="1" thickBot="1" x14ac:dyDescent="0.25">
      <c r="B17" s="24"/>
      <c r="C17" s="24"/>
      <c r="D17" s="24"/>
      <c r="E17" s="24"/>
      <c r="F17" s="24"/>
      <c r="G17" s="24"/>
      <c r="H17" s="24"/>
      <c r="I17" s="24"/>
      <c r="J17" s="24"/>
      <c r="K17" s="24"/>
      <c r="L17" s="24"/>
      <c r="M17" s="24"/>
      <c r="N17" s="368">
        <f>AVERAGE(N9:N16)</f>
        <v>41.25</v>
      </c>
      <c r="O17" s="24"/>
      <c r="P17" s="24"/>
      <c r="Q17" s="24"/>
      <c r="R17" s="24"/>
      <c r="S17" s="24"/>
      <c r="T17" s="24"/>
      <c r="U17" s="368">
        <f>AVERAGE(U9:U16)</f>
        <v>23.125</v>
      </c>
      <c r="V17" s="24"/>
      <c r="W17" s="24"/>
      <c r="X17" s="24"/>
      <c r="Y17" s="24"/>
      <c r="Z17" s="24"/>
      <c r="AA17" s="24"/>
      <c r="AB17" s="24"/>
      <c r="AC17" s="24"/>
      <c r="AD17" s="85"/>
      <c r="AE17" s="47"/>
      <c r="AG17" s="113"/>
      <c r="AH17" s="114">
        <v>1</v>
      </c>
      <c r="AI17" s="114"/>
      <c r="AJ17" s="115">
        <f t="shared" si="6"/>
        <v>1</v>
      </c>
      <c r="AO17" s="93"/>
    </row>
    <row r="18" spans="2:41" s="29" customFormat="1" ht="129" customHeight="1" thickBot="1" x14ac:dyDescent="0.25">
      <c r="B18" s="24"/>
      <c r="C18" s="24"/>
      <c r="D18" s="24"/>
      <c r="E18" s="24"/>
      <c r="F18" s="109"/>
      <c r="G18" s="109"/>
      <c r="H18" s="462" t="s">
        <v>207</v>
      </c>
      <c r="I18" s="463"/>
      <c r="J18" s="463"/>
      <c r="K18" s="464"/>
      <c r="L18" s="24"/>
      <c r="M18" s="406" t="s">
        <v>446</v>
      </c>
      <c r="N18" s="407"/>
      <c r="O18" s="407"/>
      <c r="P18" s="408"/>
      <c r="Q18" s="110"/>
      <c r="R18" s="24"/>
      <c r="S18" s="24"/>
      <c r="T18" s="24"/>
      <c r="U18" s="24"/>
      <c r="V18" s="24"/>
      <c r="W18" s="24"/>
      <c r="X18" s="24"/>
      <c r="Y18" s="24"/>
      <c r="Z18" s="24"/>
      <c r="AA18" s="24"/>
      <c r="AB18" s="24"/>
      <c r="AC18" s="24"/>
      <c r="AD18" s="24"/>
      <c r="AE18" s="42"/>
      <c r="AG18" s="113">
        <v>1</v>
      </c>
      <c r="AH18" s="114"/>
      <c r="AI18" s="114"/>
      <c r="AJ18" s="115">
        <f t="shared" si="6"/>
        <v>1</v>
      </c>
      <c r="AK18" s="29" t="s">
        <v>84</v>
      </c>
      <c r="AO18" s="448" t="s">
        <v>76</v>
      </c>
    </row>
    <row r="19" spans="2:41" s="29" customFormat="1" ht="46.5" customHeight="1" x14ac:dyDescent="0.2">
      <c r="B19" s="24"/>
      <c r="C19" s="24"/>
      <c r="D19" s="24"/>
      <c r="E19" s="24"/>
      <c r="F19" s="438"/>
      <c r="G19" s="438"/>
      <c r="H19" s="465" t="s">
        <v>139</v>
      </c>
      <c r="I19" s="466"/>
      <c r="J19" s="26">
        <f>COUNTIF(U9:U16,"=5")</f>
        <v>1</v>
      </c>
      <c r="K19" s="27">
        <f>J19*100%/J22</f>
        <v>0.125</v>
      </c>
      <c r="L19" s="24"/>
      <c r="M19" s="457" t="s">
        <v>104</v>
      </c>
      <c r="N19" s="458"/>
      <c r="O19" s="458" t="s">
        <v>47</v>
      </c>
      <c r="P19" s="459"/>
      <c r="Q19" s="111"/>
      <c r="R19" s="24"/>
      <c r="S19" s="24"/>
      <c r="T19" s="24"/>
      <c r="U19" s="24"/>
      <c r="V19" s="24"/>
      <c r="W19" s="24"/>
      <c r="X19" s="24"/>
      <c r="Y19" s="24"/>
      <c r="Z19" s="24"/>
      <c r="AA19" s="24"/>
      <c r="AB19" s="24"/>
      <c r="AC19" s="24"/>
      <c r="AD19" s="24"/>
      <c r="AE19" s="42"/>
      <c r="AG19" s="113">
        <v>1</v>
      </c>
      <c r="AH19" s="114"/>
      <c r="AI19" s="114"/>
      <c r="AJ19" s="115">
        <f t="shared" si="6"/>
        <v>1</v>
      </c>
      <c r="AK19" s="29" t="s">
        <v>85</v>
      </c>
      <c r="AO19" s="449"/>
    </row>
    <row r="20" spans="2:41" s="29" customFormat="1" ht="46.5" customHeight="1" x14ac:dyDescent="0.2">
      <c r="B20" s="24"/>
      <c r="C20" s="24"/>
      <c r="D20" s="24"/>
      <c r="E20" s="24"/>
      <c r="F20" s="438"/>
      <c r="G20" s="438"/>
      <c r="H20" s="465" t="s">
        <v>140</v>
      </c>
      <c r="I20" s="466"/>
      <c r="J20" s="26">
        <f>COUNTIFS(U9:U16,"&gt;=6",U9:U16,"&lt;=30")</f>
        <v>6</v>
      </c>
      <c r="K20" s="27">
        <f>J20*100%/J22</f>
        <v>0.75</v>
      </c>
      <c r="L20" s="24"/>
      <c r="M20" s="460" t="s">
        <v>105</v>
      </c>
      <c r="N20" s="461"/>
      <c r="O20" s="461" t="s">
        <v>48</v>
      </c>
      <c r="P20" s="469"/>
      <c r="Q20" s="111"/>
      <c r="R20" s="24"/>
      <c r="S20" s="24"/>
      <c r="T20" s="24"/>
      <c r="U20" s="24"/>
      <c r="V20" s="24"/>
      <c r="W20" s="24"/>
      <c r="X20" s="24"/>
      <c r="Y20" s="24"/>
      <c r="Z20" s="24"/>
      <c r="AA20" s="24"/>
      <c r="AB20" s="24"/>
      <c r="AC20" s="24"/>
      <c r="AD20" s="24"/>
      <c r="AE20" s="42"/>
      <c r="AG20" s="113">
        <v>1</v>
      </c>
      <c r="AH20" s="114"/>
      <c r="AI20" s="114"/>
      <c r="AJ20" s="115">
        <f t="shared" si="6"/>
        <v>1</v>
      </c>
      <c r="AO20" s="449"/>
    </row>
    <row r="21" spans="2:41" s="29" customFormat="1" ht="46.5" customHeight="1" thickBot="1" x14ac:dyDescent="0.25">
      <c r="B21" s="24"/>
      <c r="C21" s="24"/>
      <c r="D21" s="24"/>
      <c r="E21" s="24"/>
      <c r="F21" s="438"/>
      <c r="G21" s="438"/>
      <c r="H21" s="465" t="s">
        <v>141</v>
      </c>
      <c r="I21" s="466"/>
      <c r="J21" s="26">
        <f>COUNTIFS(U9:U16,"&gt;=40",U9:U16,"&lt;=60")</f>
        <v>1</v>
      </c>
      <c r="K21" s="27">
        <f>J21*100%/J22</f>
        <v>0.125</v>
      </c>
      <c r="L21" s="24"/>
      <c r="M21" s="439" t="s">
        <v>106</v>
      </c>
      <c r="N21" s="440"/>
      <c r="O21" s="440" t="s">
        <v>20</v>
      </c>
      <c r="P21" s="441"/>
      <c r="Q21" s="111"/>
      <c r="R21" s="24"/>
      <c r="S21" s="24"/>
      <c r="T21" s="24"/>
      <c r="U21" s="24"/>
      <c r="V21" s="24"/>
      <c r="W21" s="24"/>
      <c r="X21" s="24"/>
      <c r="Y21" s="24"/>
      <c r="Z21" s="24"/>
      <c r="AA21" s="24"/>
      <c r="AB21" s="24"/>
      <c r="AC21" s="24"/>
      <c r="AD21" s="24"/>
      <c r="AE21" s="42"/>
      <c r="AG21" s="113">
        <v>1</v>
      </c>
      <c r="AH21" s="114"/>
      <c r="AI21" s="114"/>
      <c r="AJ21" s="115">
        <f t="shared" si="6"/>
        <v>1</v>
      </c>
      <c r="AO21" s="449"/>
    </row>
    <row r="22" spans="2:41" s="29" customFormat="1" ht="46.5" customHeight="1" thickBot="1" x14ac:dyDescent="0.25">
      <c r="B22" s="24"/>
      <c r="C22" s="24"/>
      <c r="D22" s="24"/>
      <c r="E22" s="24"/>
      <c r="F22" s="447"/>
      <c r="G22" s="447"/>
      <c r="H22" s="467" t="s">
        <v>142</v>
      </c>
      <c r="I22" s="468"/>
      <c r="J22" s="225">
        <f>+J19+J21+J20</f>
        <v>8</v>
      </c>
      <c r="K22" s="137">
        <f>K19+K20+K21</f>
        <v>1</v>
      </c>
      <c r="L22" s="24"/>
      <c r="M22" s="24"/>
      <c r="N22" s="24"/>
      <c r="O22" s="24"/>
      <c r="P22" s="24"/>
      <c r="Q22" s="24"/>
      <c r="R22" s="24"/>
      <c r="S22" s="24"/>
      <c r="T22" s="24"/>
      <c r="U22" s="24"/>
      <c r="V22" s="24"/>
      <c r="W22" s="24"/>
      <c r="X22" s="24"/>
      <c r="Y22" s="24"/>
      <c r="Z22" s="24"/>
      <c r="AA22" s="24"/>
      <c r="AB22" s="24"/>
      <c r="AC22" s="24"/>
      <c r="AD22" s="24"/>
      <c r="AE22" s="42"/>
      <c r="AG22" s="113">
        <v>1</v>
      </c>
      <c r="AH22" s="114"/>
      <c r="AI22" s="114"/>
      <c r="AJ22" s="115">
        <f t="shared" si="6"/>
        <v>1</v>
      </c>
      <c r="AO22" s="449"/>
    </row>
    <row r="23" spans="2:41" s="29" customFormat="1" ht="75" customHeight="1" thickBot="1" x14ac:dyDescent="0.25">
      <c r="B23" s="24"/>
      <c r="C23" s="24"/>
      <c r="D23" s="24"/>
      <c r="E23" s="24"/>
      <c r="F23" s="24"/>
      <c r="G23" s="24"/>
      <c r="H23" s="470" t="s">
        <v>208</v>
      </c>
      <c r="I23" s="471"/>
      <c r="J23" s="226">
        <f>COUNTIF(Q9:Q16,"N/A")</f>
        <v>0</v>
      </c>
      <c r="K23" s="227">
        <f>IF(J23&gt;=1,"100%",0)</f>
        <v>0</v>
      </c>
      <c r="L23" s="24"/>
      <c r="M23" s="24"/>
      <c r="N23" s="24"/>
      <c r="O23" s="24"/>
      <c r="P23" s="24"/>
      <c r="Q23" s="24"/>
      <c r="R23" s="24"/>
      <c r="S23" s="24"/>
      <c r="T23" s="24"/>
      <c r="U23" s="24"/>
      <c r="V23" s="24"/>
      <c r="W23" s="24"/>
      <c r="X23" s="24"/>
      <c r="Y23" s="24"/>
      <c r="Z23" s="24"/>
      <c r="AA23" s="24"/>
      <c r="AB23" s="24"/>
      <c r="AC23" s="24"/>
      <c r="AD23" s="24"/>
      <c r="AE23" s="42"/>
      <c r="AG23" s="113"/>
      <c r="AH23" s="114">
        <v>1</v>
      </c>
      <c r="AI23" s="114"/>
      <c r="AJ23" s="115">
        <f t="shared" si="6"/>
        <v>1</v>
      </c>
      <c r="AO23" s="449"/>
    </row>
    <row r="24" spans="2:41" s="29" customFormat="1" ht="97.5" customHeight="1" x14ac:dyDescent="0.2">
      <c r="B24" s="24"/>
      <c r="C24" s="82"/>
      <c r="D24" s="82"/>
      <c r="E24" s="82"/>
      <c r="F24" s="82"/>
      <c r="G24" s="83"/>
      <c r="H24" s="83"/>
      <c r="I24" s="82"/>
      <c r="J24" s="24"/>
      <c r="K24" s="24"/>
      <c r="L24" s="24"/>
      <c r="M24" s="24"/>
      <c r="N24" s="24"/>
      <c r="O24" s="24"/>
      <c r="P24" s="24"/>
      <c r="Q24" s="24"/>
      <c r="R24" s="24"/>
      <c r="S24" s="24"/>
      <c r="T24" s="24"/>
      <c r="U24" s="24"/>
      <c r="V24" s="24"/>
      <c r="W24" s="24"/>
      <c r="X24" s="24"/>
      <c r="Y24" s="24"/>
      <c r="Z24" s="24"/>
      <c r="AA24" s="24"/>
      <c r="AB24" s="24"/>
      <c r="AC24" s="24"/>
      <c r="AD24" s="24"/>
      <c r="AE24" s="42"/>
      <c r="AG24" s="113"/>
      <c r="AH24" s="114">
        <v>1</v>
      </c>
      <c r="AI24" s="114"/>
      <c r="AJ24" s="115">
        <f t="shared" si="6"/>
        <v>1</v>
      </c>
      <c r="AO24" s="449"/>
    </row>
    <row r="25" spans="2:41" s="29" customFormat="1" ht="107.25" customHeight="1" thickBot="1" x14ac:dyDescent="0.25">
      <c r="B25" s="24"/>
      <c r="C25" s="82"/>
      <c r="D25" s="82"/>
      <c r="E25" s="82"/>
      <c r="F25" s="83"/>
      <c r="G25" s="83"/>
      <c r="H25" s="83"/>
      <c r="I25" s="83"/>
      <c r="J25" s="24"/>
      <c r="K25" s="24"/>
      <c r="L25" s="24"/>
      <c r="M25" s="24"/>
      <c r="N25" s="24"/>
      <c r="O25" s="24"/>
      <c r="P25" s="24"/>
      <c r="Q25" s="24"/>
      <c r="R25" s="24"/>
      <c r="S25" s="24"/>
      <c r="T25" s="24"/>
      <c r="U25" s="24"/>
      <c r="V25" s="24"/>
      <c r="W25" s="24"/>
      <c r="X25" s="24"/>
      <c r="Y25" s="24"/>
      <c r="Z25" s="24"/>
      <c r="AA25" s="24"/>
      <c r="AB25" s="24"/>
      <c r="AC25" s="24"/>
      <c r="AD25" s="24"/>
      <c r="AE25" s="42"/>
      <c r="AG25" s="113">
        <v>1</v>
      </c>
      <c r="AH25" s="114"/>
      <c r="AI25" s="114"/>
      <c r="AJ25" s="115">
        <f t="shared" si="6"/>
        <v>1</v>
      </c>
      <c r="AO25" s="450"/>
    </row>
    <row r="26" spans="2:41" s="28" customFormat="1" ht="80.25" customHeight="1" x14ac:dyDescent="0.2">
      <c r="B26" s="24"/>
      <c r="C26" s="82"/>
      <c r="D26" s="82"/>
      <c r="E26" s="84"/>
      <c r="F26" s="84"/>
      <c r="G26" s="84"/>
      <c r="H26" s="84"/>
      <c r="I26" s="84"/>
      <c r="J26" s="24"/>
      <c r="K26" s="24"/>
      <c r="L26" s="24"/>
      <c r="M26" s="24"/>
      <c r="N26" s="24"/>
      <c r="O26" s="24"/>
      <c r="P26" s="24"/>
      <c r="Q26" s="24"/>
      <c r="R26" s="24"/>
      <c r="S26" s="24"/>
      <c r="T26" s="24"/>
      <c r="U26" s="24"/>
      <c r="V26" s="24"/>
      <c r="W26" s="24"/>
      <c r="X26" s="24"/>
      <c r="Y26" s="24"/>
      <c r="Z26" s="24"/>
      <c r="AA26" s="24"/>
      <c r="AB26" s="24"/>
      <c r="AC26" s="24"/>
      <c r="AD26" s="24"/>
      <c r="AE26" s="42"/>
      <c r="AG26" s="39"/>
      <c r="AH26" s="49"/>
      <c r="AI26" s="49"/>
      <c r="AJ26" s="40"/>
      <c r="AO26" s="448" t="s">
        <v>77</v>
      </c>
    </row>
    <row r="27" spans="2:41" s="29" customFormat="1" ht="101.25" customHeight="1" x14ac:dyDescent="0.2">
      <c r="B27" s="24"/>
      <c r="C27" s="83"/>
      <c r="D27" s="83"/>
      <c r="E27" s="48"/>
      <c r="F27" s="48"/>
      <c r="G27" s="48"/>
      <c r="H27" s="48"/>
      <c r="I27" s="48"/>
      <c r="J27" s="24"/>
      <c r="K27" s="24"/>
      <c r="L27" s="24"/>
      <c r="M27" s="24"/>
      <c r="N27" s="24"/>
      <c r="O27" s="24"/>
      <c r="P27" s="24"/>
      <c r="Q27" s="24"/>
      <c r="R27" s="24"/>
      <c r="S27" s="24"/>
      <c r="T27" s="24"/>
      <c r="U27" s="24"/>
      <c r="V27" s="24"/>
      <c r="W27" s="24"/>
      <c r="X27" s="24"/>
      <c r="Y27" s="24"/>
      <c r="Z27" s="24"/>
      <c r="AA27" s="24"/>
      <c r="AB27" s="24"/>
      <c r="AC27" s="24"/>
      <c r="AD27" s="24"/>
      <c r="AE27" s="42"/>
      <c r="AG27" s="113">
        <v>1</v>
      </c>
      <c r="AH27" s="114"/>
      <c r="AI27" s="114"/>
      <c r="AJ27" s="115">
        <f t="shared" si="6"/>
        <v>1</v>
      </c>
      <c r="AO27" s="449"/>
    </row>
    <row r="28" spans="2:41" s="29" customFormat="1" ht="109.5" customHeight="1" x14ac:dyDescent="0.2">
      <c r="B28" s="24"/>
      <c r="C28" s="83"/>
      <c r="D28" s="83"/>
      <c r="I28" s="24"/>
      <c r="J28" s="24"/>
      <c r="K28" s="24"/>
      <c r="L28" s="24"/>
      <c r="M28" s="24"/>
      <c r="N28" s="24"/>
      <c r="O28" s="24"/>
      <c r="P28" s="24"/>
      <c r="Q28" s="24"/>
      <c r="R28" s="24"/>
      <c r="S28" s="24"/>
      <c r="T28" s="24"/>
      <c r="U28" s="24"/>
      <c r="V28" s="24"/>
      <c r="W28" s="24"/>
      <c r="X28" s="24"/>
      <c r="Y28" s="24"/>
      <c r="Z28" s="24"/>
      <c r="AA28" s="24"/>
      <c r="AB28" s="24"/>
      <c r="AC28" s="24"/>
      <c r="AD28" s="24"/>
      <c r="AE28" s="42"/>
      <c r="AG28" s="113"/>
      <c r="AH28" s="114">
        <v>1</v>
      </c>
      <c r="AI28" s="114"/>
      <c r="AJ28" s="115">
        <f t="shared" si="6"/>
        <v>1</v>
      </c>
      <c r="AO28" s="449"/>
    </row>
    <row r="29" spans="2:41" s="29" customFormat="1" ht="67.5" customHeight="1" x14ac:dyDescent="0.2">
      <c r="B29" s="24"/>
      <c r="C29" s="83"/>
      <c r="D29" s="83"/>
      <c r="H29" s="24"/>
      <c r="I29" s="24"/>
      <c r="J29" s="24"/>
      <c r="K29" s="24"/>
      <c r="L29" s="24"/>
      <c r="M29" s="24"/>
      <c r="N29" s="24"/>
      <c r="O29" s="24"/>
      <c r="P29" s="24"/>
      <c r="Q29" s="24"/>
      <c r="R29" s="24"/>
      <c r="S29" s="24"/>
      <c r="T29" s="24"/>
      <c r="U29" s="24"/>
      <c r="V29" s="24"/>
      <c r="W29" s="24"/>
      <c r="X29" s="24"/>
      <c r="Y29" s="24"/>
      <c r="Z29" s="24"/>
      <c r="AA29" s="24"/>
      <c r="AB29" s="24"/>
      <c r="AC29" s="24"/>
      <c r="AD29" s="24"/>
      <c r="AE29" s="42"/>
      <c r="AG29" s="113"/>
      <c r="AH29" s="114">
        <v>1</v>
      </c>
      <c r="AI29" s="114"/>
      <c r="AJ29" s="115">
        <v>1</v>
      </c>
      <c r="AO29" s="449"/>
    </row>
    <row r="30" spans="2:41" s="29" customFormat="1" ht="83.25" customHeight="1" x14ac:dyDescent="0.2">
      <c r="B30" s="24"/>
      <c r="C30" s="82"/>
      <c r="D30" s="82"/>
      <c r="G30" s="24"/>
      <c r="H30" s="24"/>
      <c r="I30" s="24"/>
      <c r="J30" s="24"/>
      <c r="K30" s="24"/>
      <c r="L30" s="24"/>
      <c r="M30" s="24"/>
      <c r="N30" s="24"/>
      <c r="O30" s="24"/>
      <c r="P30" s="24"/>
      <c r="Q30" s="24"/>
      <c r="R30" s="24"/>
      <c r="S30" s="24"/>
      <c r="T30" s="24"/>
      <c r="U30" s="24"/>
      <c r="V30" s="24"/>
      <c r="W30" s="24"/>
      <c r="X30" s="24"/>
      <c r="Y30" s="24"/>
      <c r="Z30" s="24"/>
      <c r="AA30" s="24"/>
      <c r="AB30" s="24"/>
      <c r="AC30" s="24"/>
      <c r="AD30" s="24"/>
      <c r="AE30" s="42"/>
      <c r="AG30" s="113"/>
      <c r="AH30" s="114">
        <v>1</v>
      </c>
      <c r="AI30" s="114"/>
      <c r="AJ30" s="115">
        <v>1</v>
      </c>
      <c r="AO30" s="449"/>
    </row>
    <row r="31" spans="2:41" s="29" customFormat="1" ht="75.75" customHeight="1" thickBot="1" x14ac:dyDescent="0.25">
      <c r="B31" s="24"/>
      <c r="C31" s="82"/>
      <c r="D31" s="82"/>
      <c r="G31" s="24"/>
      <c r="H31" s="24"/>
      <c r="I31" s="24"/>
      <c r="J31" s="24"/>
      <c r="K31" s="24"/>
      <c r="L31" s="24"/>
      <c r="M31" s="24"/>
      <c r="N31" s="24"/>
      <c r="O31" s="24"/>
      <c r="P31" s="24"/>
      <c r="Q31" s="24"/>
      <c r="R31" s="24"/>
      <c r="S31" s="24"/>
      <c r="T31" s="24"/>
      <c r="U31" s="24"/>
      <c r="V31" s="24"/>
      <c r="W31" s="24"/>
      <c r="X31" s="24"/>
      <c r="Y31" s="24"/>
      <c r="Z31" s="24"/>
      <c r="AA31" s="24"/>
      <c r="AB31" s="24"/>
      <c r="AC31" s="24"/>
      <c r="AD31" s="24"/>
      <c r="AE31" s="42"/>
      <c r="AG31" s="113"/>
      <c r="AH31" s="114"/>
      <c r="AI31" s="114"/>
      <c r="AJ31" s="115"/>
      <c r="AO31" s="450"/>
    </row>
    <row r="32" spans="2:41" s="29" customFormat="1" ht="73.5" customHeight="1" x14ac:dyDescent="0.2">
      <c r="B32" s="24"/>
      <c r="C32" s="82"/>
      <c r="D32" s="82"/>
      <c r="F32" s="24"/>
      <c r="G32" s="24"/>
      <c r="H32" s="24"/>
      <c r="I32" s="24"/>
      <c r="J32" s="24"/>
      <c r="K32" s="24"/>
      <c r="L32" s="24"/>
      <c r="M32" s="24"/>
      <c r="N32" s="24"/>
      <c r="O32" s="24"/>
      <c r="P32" s="24"/>
      <c r="Q32" s="24"/>
      <c r="R32" s="24"/>
      <c r="S32" s="24"/>
      <c r="T32" s="24"/>
      <c r="U32" s="24"/>
      <c r="V32" s="24"/>
      <c r="W32" s="24"/>
      <c r="X32" s="24"/>
      <c r="Y32" s="24"/>
      <c r="Z32" s="24"/>
      <c r="AA32" s="24"/>
      <c r="AB32" s="24"/>
      <c r="AC32" s="24"/>
      <c r="AD32" s="24"/>
      <c r="AE32" s="42"/>
      <c r="AG32" s="113"/>
      <c r="AH32" s="114">
        <v>1</v>
      </c>
      <c r="AI32" s="114"/>
      <c r="AJ32" s="115">
        <v>1</v>
      </c>
      <c r="AO32" s="448" t="s">
        <v>78</v>
      </c>
    </row>
    <row r="33" spans="2:41" s="29" customFormat="1" ht="58.5" customHeight="1" x14ac:dyDescent="0.2">
      <c r="B33" s="24"/>
      <c r="C33" s="83"/>
      <c r="D33" s="83"/>
      <c r="J33" s="24"/>
      <c r="K33" s="24"/>
      <c r="L33" s="24"/>
      <c r="M33" s="24"/>
      <c r="N33" s="24"/>
      <c r="O33" s="24"/>
      <c r="P33" s="24"/>
      <c r="Q33" s="24"/>
      <c r="R33" s="24"/>
      <c r="S33" s="24"/>
      <c r="T33" s="24"/>
      <c r="U33" s="24"/>
      <c r="V33" s="24"/>
      <c r="W33" s="24"/>
      <c r="X33" s="24"/>
      <c r="Y33" s="24"/>
      <c r="Z33" s="24"/>
      <c r="AA33" s="24"/>
      <c r="AB33" s="24"/>
      <c r="AC33" s="24"/>
      <c r="AD33" s="24"/>
      <c r="AE33" s="42"/>
      <c r="AG33" s="113">
        <v>1</v>
      </c>
      <c r="AH33" s="114"/>
      <c r="AI33" s="114"/>
      <c r="AJ33" s="115">
        <v>1</v>
      </c>
      <c r="AO33" s="449"/>
    </row>
    <row r="34" spans="2:41" s="29" customFormat="1" ht="73.5" customHeight="1" x14ac:dyDescent="0.2">
      <c r="B34" s="24"/>
      <c r="C34" s="83"/>
      <c r="D34" s="83"/>
      <c r="E34" s="24"/>
      <c r="F34" s="24"/>
      <c r="G34" s="24"/>
      <c r="H34" s="24"/>
      <c r="I34" s="24"/>
      <c r="J34" s="24"/>
      <c r="K34" s="24"/>
      <c r="L34" s="24"/>
      <c r="M34" s="24"/>
      <c r="N34" s="24"/>
      <c r="O34" s="24"/>
      <c r="P34" s="24"/>
      <c r="Q34" s="24"/>
      <c r="R34" s="24"/>
      <c r="S34" s="24"/>
      <c r="T34" s="24"/>
      <c r="U34" s="24"/>
      <c r="V34" s="24"/>
      <c r="W34" s="24"/>
      <c r="X34" s="24"/>
      <c r="Y34" s="24"/>
      <c r="Z34" s="24"/>
      <c r="AA34" s="24"/>
      <c r="AB34" s="24"/>
      <c r="AC34" s="24"/>
      <c r="AD34" s="24"/>
      <c r="AE34" s="42"/>
      <c r="AG34" s="113"/>
      <c r="AH34" s="114">
        <v>1</v>
      </c>
      <c r="AI34" s="114"/>
      <c r="AJ34" s="115">
        <v>1</v>
      </c>
      <c r="AO34" s="449"/>
    </row>
    <row r="35" spans="2:41" s="29" customFormat="1" ht="102" customHeight="1" thickBot="1" x14ac:dyDescent="0.25">
      <c r="B35" s="24"/>
      <c r="C35" s="83"/>
      <c r="D35" s="83"/>
      <c r="E35" s="24"/>
      <c r="F35" s="24"/>
      <c r="G35" s="24"/>
      <c r="H35" s="24"/>
      <c r="I35" s="24"/>
      <c r="J35" s="24"/>
      <c r="K35" s="24"/>
      <c r="L35" s="24"/>
      <c r="M35" s="24"/>
      <c r="N35" s="24"/>
      <c r="O35" s="24"/>
      <c r="P35" s="24"/>
      <c r="Q35" s="24"/>
      <c r="R35" s="24"/>
      <c r="S35" s="24"/>
      <c r="T35" s="24"/>
      <c r="U35" s="24"/>
      <c r="V35" s="24"/>
      <c r="W35" s="24"/>
      <c r="X35" s="24"/>
      <c r="Y35" s="24"/>
      <c r="Z35" s="24"/>
      <c r="AA35" s="24"/>
      <c r="AB35" s="24"/>
      <c r="AC35" s="24"/>
      <c r="AD35" s="24"/>
      <c r="AE35" s="42"/>
      <c r="AG35" s="113">
        <v>1</v>
      </c>
      <c r="AH35" s="114"/>
      <c r="AI35" s="114"/>
      <c r="AJ35" s="115">
        <v>1</v>
      </c>
      <c r="AO35" s="449"/>
    </row>
    <row r="36" spans="2:41" s="29" customFormat="1" ht="86.25" customHeight="1" x14ac:dyDescent="0.2">
      <c r="B36" s="24"/>
      <c r="C36" s="83"/>
      <c r="D36" s="83"/>
      <c r="E36" s="24"/>
      <c r="F36" s="24"/>
      <c r="G36" s="24"/>
      <c r="H36" s="24"/>
      <c r="I36" s="24"/>
      <c r="J36" s="24"/>
      <c r="K36" s="24"/>
      <c r="L36" s="24"/>
      <c r="M36" s="24"/>
      <c r="N36" s="24"/>
      <c r="O36" s="24"/>
      <c r="P36" s="24"/>
      <c r="Q36" s="24"/>
      <c r="R36" s="24"/>
      <c r="S36" s="24"/>
      <c r="T36" s="24"/>
      <c r="U36" s="24"/>
      <c r="V36" s="24"/>
      <c r="W36" s="24"/>
      <c r="X36" s="24"/>
      <c r="Y36" s="24"/>
      <c r="Z36" s="24"/>
      <c r="AA36" s="24"/>
      <c r="AB36" s="24"/>
      <c r="AC36" s="24"/>
      <c r="AD36" s="24"/>
      <c r="AE36" s="42"/>
      <c r="AG36" s="113"/>
      <c r="AH36" s="114">
        <v>1</v>
      </c>
      <c r="AI36" s="114"/>
      <c r="AJ36" s="115">
        <v>1</v>
      </c>
      <c r="AO36" s="451" t="s">
        <v>79</v>
      </c>
    </row>
    <row r="37" spans="2:41" s="29" customFormat="1" ht="70.5" customHeight="1" thickBot="1" x14ac:dyDescent="0.25">
      <c r="B37" s="24"/>
      <c r="C37" s="83"/>
      <c r="D37" s="83"/>
      <c r="E37" s="24"/>
      <c r="F37" s="24"/>
      <c r="G37" s="24"/>
      <c r="H37" s="24"/>
      <c r="I37" s="24"/>
      <c r="J37" s="24"/>
      <c r="K37" s="24"/>
      <c r="L37" s="24"/>
      <c r="M37" s="24"/>
      <c r="N37" s="24"/>
      <c r="O37" s="24"/>
      <c r="P37" s="24"/>
      <c r="Q37" s="24"/>
      <c r="R37" s="24"/>
      <c r="S37" s="24"/>
      <c r="T37" s="24"/>
      <c r="U37" s="24"/>
      <c r="V37" s="24"/>
      <c r="W37" s="24"/>
      <c r="X37" s="24"/>
      <c r="Y37" s="24"/>
      <c r="Z37" s="24"/>
      <c r="AA37" s="24"/>
      <c r="AB37" s="24"/>
      <c r="AC37" s="24"/>
      <c r="AD37" s="24"/>
      <c r="AE37" s="42"/>
      <c r="AG37" s="113">
        <v>1</v>
      </c>
      <c r="AH37" s="114"/>
      <c r="AI37" s="114"/>
      <c r="AJ37" s="115">
        <v>1</v>
      </c>
      <c r="AO37" s="452"/>
    </row>
    <row r="38" spans="2:41" s="29" customFormat="1" ht="62.25" customHeight="1" x14ac:dyDescent="0.2">
      <c r="B38" s="24"/>
      <c r="C38" s="83"/>
      <c r="D38" s="83"/>
      <c r="E38" s="24"/>
      <c r="F38" s="24"/>
      <c r="G38" s="24"/>
      <c r="H38" s="24"/>
      <c r="I38" s="24"/>
      <c r="J38" s="24"/>
      <c r="K38" s="24"/>
      <c r="L38" s="24"/>
      <c r="M38" s="24"/>
      <c r="N38" s="24"/>
      <c r="O38" s="24"/>
      <c r="P38" s="24"/>
      <c r="Q38" s="24"/>
      <c r="R38" s="24"/>
      <c r="S38" s="24"/>
      <c r="T38" s="24"/>
      <c r="U38" s="24"/>
      <c r="V38" s="24"/>
      <c r="W38" s="24"/>
      <c r="X38" s="24"/>
      <c r="Y38" s="24"/>
      <c r="Z38" s="24"/>
      <c r="AA38" s="24"/>
      <c r="AB38" s="24"/>
      <c r="AC38" s="24"/>
      <c r="AD38" s="24"/>
      <c r="AE38" s="42"/>
      <c r="AG38" s="113">
        <v>1</v>
      </c>
      <c r="AH38" s="114"/>
      <c r="AI38" s="114"/>
      <c r="AJ38" s="115">
        <v>1</v>
      </c>
      <c r="AO38" s="451" t="s">
        <v>80</v>
      </c>
    </row>
    <row r="39" spans="2:41" s="29" customFormat="1" ht="45.75" customHeight="1" x14ac:dyDescent="0.2">
      <c r="B39" s="24"/>
      <c r="C39" s="83"/>
      <c r="D39" s="83"/>
      <c r="E39" s="24"/>
      <c r="F39" s="24"/>
      <c r="G39" s="24"/>
      <c r="H39" s="24"/>
      <c r="I39" s="24"/>
      <c r="J39" s="24"/>
      <c r="K39" s="24"/>
      <c r="L39" s="24"/>
      <c r="M39" s="24"/>
      <c r="N39" s="24"/>
      <c r="O39" s="24"/>
      <c r="P39" s="24"/>
      <c r="Q39" s="24"/>
      <c r="R39" s="24"/>
      <c r="S39" s="24"/>
      <c r="T39" s="24"/>
      <c r="U39" s="24"/>
      <c r="V39" s="24"/>
      <c r="W39" s="24"/>
      <c r="X39" s="24"/>
      <c r="Y39" s="24"/>
      <c r="Z39" s="24"/>
      <c r="AA39" s="24"/>
      <c r="AB39" s="24"/>
      <c r="AC39" s="24"/>
      <c r="AD39" s="24"/>
      <c r="AE39" s="42"/>
      <c r="AG39" s="113"/>
      <c r="AH39" s="114"/>
      <c r="AI39" s="114">
        <v>1</v>
      </c>
      <c r="AJ39" s="115">
        <v>1</v>
      </c>
      <c r="AO39" s="453"/>
    </row>
    <row r="40" spans="2:41" s="29" customFormat="1" ht="43.5" customHeight="1" x14ac:dyDescent="0.2">
      <c r="B40" s="24"/>
      <c r="C40" s="83"/>
      <c r="D40" s="83"/>
      <c r="E40" s="24"/>
      <c r="F40" s="24"/>
      <c r="G40" s="24"/>
      <c r="H40" s="24"/>
      <c r="I40" s="24"/>
      <c r="J40" s="24"/>
      <c r="K40" s="24"/>
      <c r="L40" s="24"/>
      <c r="M40" s="24"/>
      <c r="N40" s="24"/>
      <c r="O40" s="24"/>
      <c r="P40" s="24"/>
      <c r="Q40" s="24"/>
      <c r="R40" s="24"/>
      <c r="S40" s="24"/>
      <c r="T40" s="24"/>
      <c r="U40" s="24"/>
      <c r="V40" s="24"/>
      <c r="W40" s="24"/>
      <c r="X40" s="24"/>
      <c r="Y40" s="24"/>
      <c r="Z40" s="24"/>
      <c r="AA40" s="24"/>
      <c r="AB40" s="24"/>
      <c r="AC40" s="24"/>
      <c r="AD40" s="24"/>
      <c r="AE40" s="42"/>
      <c r="AG40" s="113">
        <v>1</v>
      </c>
      <c r="AH40" s="114"/>
      <c r="AI40" s="114"/>
      <c r="AJ40" s="115">
        <v>1</v>
      </c>
      <c r="AO40" s="453"/>
    </row>
    <row r="41" spans="2:41" s="29" customFormat="1" ht="61.5" customHeight="1" thickBot="1" x14ac:dyDescent="0.25">
      <c r="B41" s="24"/>
      <c r="C41" s="83"/>
      <c r="D41" s="83"/>
      <c r="J41" s="24"/>
      <c r="K41" s="24"/>
      <c r="L41" s="24"/>
      <c r="M41" s="24"/>
      <c r="N41" s="24"/>
      <c r="O41" s="24"/>
      <c r="P41" s="24"/>
      <c r="Q41" s="24"/>
      <c r="R41" s="24"/>
      <c r="S41" s="24"/>
      <c r="T41" s="24"/>
      <c r="U41" s="24"/>
      <c r="V41" s="24"/>
      <c r="W41" s="24"/>
      <c r="X41" s="24"/>
      <c r="Y41" s="24"/>
      <c r="Z41" s="24"/>
      <c r="AA41" s="24"/>
      <c r="AB41" s="24"/>
      <c r="AC41" s="24"/>
      <c r="AD41" s="24"/>
      <c r="AE41" s="42"/>
      <c r="AG41" s="454"/>
      <c r="AH41" s="455"/>
      <c r="AI41" s="455">
        <v>1</v>
      </c>
      <c r="AJ41" s="456">
        <v>1</v>
      </c>
      <c r="AO41" s="452"/>
    </row>
    <row r="42" spans="2:41" s="29" customFormat="1" ht="70.5" customHeight="1" x14ac:dyDescent="0.2">
      <c r="B42" s="24"/>
      <c r="C42" s="83"/>
      <c r="D42" s="83"/>
      <c r="E42" s="24"/>
      <c r="F42" s="24"/>
      <c r="G42" s="24"/>
      <c r="H42" s="24"/>
      <c r="I42" s="24"/>
      <c r="J42" s="24"/>
      <c r="K42" s="24"/>
      <c r="L42" s="24"/>
      <c r="M42" s="24"/>
      <c r="N42" s="24"/>
      <c r="O42" s="24"/>
      <c r="P42" s="24"/>
      <c r="Q42" s="24"/>
      <c r="R42" s="24"/>
      <c r="S42" s="24"/>
      <c r="T42" s="24"/>
      <c r="U42" s="24"/>
      <c r="V42" s="24"/>
      <c r="W42" s="24"/>
      <c r="X42" s="24"/>
      <c r="Y42" s="24"/>
      <c r="Z42" s="24"/>
      <c r="AA42" s="24"/>
      <c r="AB42" s="24"/>
      <c r="AC42" s="24"/>
      <c r="AD42" s="24"/>
      <c r="AE42" s="42"/>
      <c r="AG42" s="454"/>
      <c r="AH42" s="455"/>
      <c r="AI42" s="455"/>
      <c r="AJ42" s="456"/>
      <c r="AO42" s="448" t="s">
        <v>81</v>
      </c>
    </row>
    <row r="43" spans="2:41" s="29" customFormat="1" ht="59.25" customHeight="1" x14ac:dyDescent="0.2">
      <c r="B43" s="24"/>
      <c r="C43" s="83"/>
      <c r="D43" s="83"/>
      <c r="E43" s="24"/>
      <c r="F43" s="24"/>
      <c r="G43" s="24"/>
      <c r="H43" s="24"/>
      <c r="I43" s="24"/>
      <c r="J43" s="24"/>
      <c r="K43" s="24"/>
      <c r="L43" s="24"/>
      <c r="M43" s="24"/>
      <c r="N43" s="24"/>
      <c r="O43" s="24"/>
      <c r="P43" s="24"/>
      <c r="Q43" s="24"/>
      <c r="R43" s="24"/>
      <c r="S43" s="24"/>
      <c r="T43" s="24"/>
      <c r="U43" s="24"/>
      <c r="V43" s="24"/>
      <c r="W43" s="24"/>
      <c r="X43" s="24"/>
      <c r="Y43" s="24"/>
      <c r="Z43" s="24"/>
      <c r="AA43" s="24"/>
      <c r="AB43" s="24"/>
      <c r="AC43" s="24"/>
      <c r="AD43" s="24"/>
      <c r="AE43" s="42"/>
      <c r="AG43" s="113">
        <v>1</v>
      </c>
      <c r="AH43" s="114"/>
      <c r="AI43" s="114"/>
      <c r="AJ43" s="115">
        <v>1</v>
      </c>
      <c r="AO43" s="449"/>
    </row>
    <row r="44" spans="2:41" s="29" customFormat="1" ht="122.25" customHeight="1" x14ac:dyDescent="0.2">
      <c r="B44" s="24"/>
      <c r="C44" s="83"/>
      <c r="D44" s="83"/>
      <c r="E44" s="24"/>
      <c r="F44" s="24"/>
      <c r="G44" s="24"/>
      <c r="H44" s="24"/>
      <c r="I44" s="24"/>
      <c r="J44" s="24"/>
      <c r="K44" s="24"/>
      <c r="L44" s="24"/>
      <c r="M44" s="24"/>
      <c r="N44" s="24"/>
      <c r="O44" s="24"/>
      <c r="P44" s="24"/>
      <c r="Q44" s="24"/>
      <c r="R44" s="24"/>
      <c r="S44" s="24"/>
      <c r="T44" s="24"/>
      <c r="U44" s="24"/>
      <c r="V44" s="24"/>
      <c r="W44" s="24"/>
      <c r="X44" s="24"/>
      <c r="Y44" s="24"/>
      <c r="Z44" s="24"/>
      <c r="AA44" s="24"/>
      <c r="AB44" s="24"/>
      <c r="AC44" s="24"/>
      <c r="AD44" s="24"/>
      <c r="AE44" s="42"/>
      <c r="AG44" s="113">
        <v>1</v>
      </c>
      <c r="AH44" s="114"/>
      <c r="AI44" s="114"/>
      <c r="AJ44" s="115">
        <v>1</v>
      </c>
      <c r="AO44" s="449"/>
    </row>
    <row r="45" spans="2:41" s="29" customFormat="1" ht="97.5" customHeight="1" x14ac:dyDescent="0.2">
      <c r="B45" s="24"/>
      <c r="C45" s="83"/>
      <c r="D45" s="83"/>
      <c r="E45" s="24"/>
      <c r="F45" s="24"/>
      <c r="G45" s="24"/>
      <c r="H45" s="24"/>
      <c r="I45" s="24"/>
      <c r="J45" s="24"/>
      <c r="K45" s="24"/>
      <c r="L45" s="24"/>
      <c r="M45" s="24"/>
      <c r="N45" s="24"/>
      <c r="O45" s="24"/>
      <c r="P45" s="24"/>
      <c r="Q45" s="24"/>
      <c r="R45" s="24"/>
      <c r="S45" s="24"/>
      <c r="T45" s="24"/>
      <c r="U45" s="24"/>
      <c r="V45" s="24"/>
      <c r="W45" s="24"/>
      <c r="X45" s="24"/>
      <c r="Y45" s="24"/>
      <c r="Z45" s="24"/>
      <c r="AA45" s="24"/>
      <c r="AB45" s="24"/>
      <c r="AC45" s="24"/>
      <c r="AD45" s="24"/>
      <c r="AE45" s="42"/>
      <c r="AG45" s="113">
        <v>1</v>
      </c>
      <c r="AH45" s="114"/>
      <c r="AI45" s="114"/>
      <c r="AJ45" s="115">
        <v>1</v>
      </c>
      <c r="AO45" s="449"/>
    </row>
    <row r="46" spans="2:41" s="29" customFormat="1" ht="49.5" customHeight="1" thickBot="1" x14ac:dyDescent="0.25">
      <c r="B46" s="24"/>
      <c r="C46" s="83"/>
      <c r="D46" s="83"/>
      <c r="E46" s="24"/>
      <c r="F46" s="24"/>
      <c r="G46" s="24"/>
      <c r="H46" s="24"/>
      <c r="I46" s="24"/>
      <c r="J46" s="24"/>
      <c r="K46" s="24"/>
      <c r="L46" s="24"/>
      <c r="M46" s="24"/>
      <c r="N46" s="24"/>
      <c r="O46" s="24"/>
      <c r="P46" s="24"/>
      <c r="Q46" s="24"/>
      <c r="R46" s="24"/>
      <c r="S46" s="24"/>
      <c r="T46" s="24"/>
      <c r="U46" s="24"/>
      <c r="V46" s="24"/>
      <c r="W46" s="24"/>
      <c r="X46" s="24"/>
      <c r="Y46" s="24"/>
      <c r="Z46" s="24"/>
      <c r="AA46" s="24"/>
      <c r="AB46" s="24"/>
      <c r="AC46" s="24"/>
      <c r="AD46" s="24"/>
      <c r="AE46" s="42"/>
      <c r="AG46" s="113">
        <v>1</v>
      </c>
      <c r="AH46" s="114"/>
      <c r="AI46" s="114"/>
      <c r="AJ46" s="115">
        <v>1</v>
      </c>
      <c r="AO46" s="450"/>
    </row>
    <row r="47" spans="2:41" s="29" customFormat="1" ht="61.5" customHeight="1" x14ac:dyDescent="0.2">
      <c r="B47" s="24"/>
      <c r="C47" s="83"/>
      <c r="D47" s="83"/>
      <c r="E47" s="24"/>
      <c r="F47" s="24"/>
      <c r="G47" s="24"/>
      <c r="H47" s="24"/>
      <c r="I47" s="24"/>
      <c r="J47" s="24"/>
      <c r="K47" s="24"/>
      <c r="L47" s="24"/>
      <c r="M47" s="24"/>
      <c r="N47" s="24"/>
      <c r="O47" s="24"/>
      <c r="P47" s="24"/>
      <c r="Q47" s="24"/>
      <c r="R47" s="24"/>
      <c r="S47" s="24"/>
      <c r="T47" s="24"/>
      <c r="U47" s="24"/>
      <c r="V47" s="24"/>
      <c r="W47" s="24"/>
      <c r="X47" s="24"/>
      <c r="Y47" s="24"/>
      <c r="Z47" s="24"/>
      <c r="AA47" s="24"/>
      <c r="AB47" s="24"/>
      <c r="AC47" s="24"/>
      <c r="AD47" s="24"/>
      <c r="AE47" s="42"/>
      <c r="AG47" s="113"/>
      <c r="AH47" s="114">
        <v>1</v>
      </c>
      <c r="AI47" s="114"/>
      <c r="AJ47" s="115">
        <v>1</v>
      </c>
      <c r="AO47" s="448" t="s">
        <v>82</v>
      </c>
    </row>
    <row r="48" spans="2:41" s="29" customFormat="1" ht="44.25" customHeight="1" x14ac:dyDescent="0.2">
      <c r="B48" s="24"/>
      <c r="C48" s="83"/>
      <c r="D48" s="83"/>
      <c r="E48" s="24"/>
      <c r="F48" s="24"/>
      <c r="G48" s="24"/>
      <c r="H48" s="24"/>
      <c r="I48" s="24"/>
      <c r="J48" s="24"/>
      <c r="K48" s="24"/>
      <c r="L48" s="24"/>
      <c r="M48" s="24"/>
      <c r="N48" s="24"/>
      <c r="O48" s="24"/>
      <c r="P48" s="24"/>
      <c r="Q48" s="24"/>
      <c r="R48" s="24"/>
      <c r="S48" s="24"/>
      <c r="T48" s="24"/>
      <c r="U48" s="24"/>
      <c r="V48" s="24"/>
      <c r="W48" s="24"/>
      <c r="X48" s="24"/>
      <c r="Y48" s="24"/>
      <c r="Z48" s="24"/>
      <c r="AA48" s="24"/>
      <c r="AB48" s="24"/>
      <c r="AC48" s="24"/>
      <c r="AD48" s="24"/>
      <c r="AE48" s="42"/>
      <c r="AG48" s="113">
        <v>1</v>
      </c>
      <c r="AH48" s="114"/>
      <c r="AI48" s="114"/>
      <c r="AJ48" s="115">
        <v>1</v>
      </c>
      <c r="AO48" s="449"/>
    </row>
    <row r="49" spans="2:41" s="29" customFormat="1" ht="97.5" customHeight="1" x14ac:dyDescent="0.2">
      <c r="B49" s="24"/>
      <c r="C49" s="83"/>
      <c r="D49" s="83"/>
      <c r="J49" s="24"/>
      <c r="K49" s="24"/>
      <c r="L49" s="24"/>
      <c r="M49" s="24"/>
      <c r="N49" s="24"/>
      <c r="O49" s="24"/>
      <c r="P49" s="24"/>
      <c r="Q49" s="24"/>
      <c r="R49" s="24"/>
      <c r="S49" s="24"/>
      <c r="T49" s="24"/>
      <c r="U49" s="24"/>
      <c r="V49" s="24"/>
      <c r="W49" s="24"/>
      <c r="X49" s="24"/>
      <c r="Y49" s="24"/>
      <c r="Z49" s="24"/>
      <c r="AA49" s="24"/>
      <c r="AB49" s="24"/>
      <c r="AC49" s="24"/>
      <c r="AD49" s="24"/>
      <c r="AE49" s="42"/>
      <c r="AG49" s="113">
        <v>1</v>
      </c>
      <c r="AH49" s="114"/>
      <c r="AI49" s="114"/>
      <c r="AJ49" s="115">
        <v>1</v>
      </c>
      <c r="AO49" s="449"/>
    </row>
    <row r="50" spans="2:41" s="29" customFormat="1" ht="54.75" customHeight="1" thickBot="1" x14ac:dyDescent="0.25">
      <c r="B50" s="24"/>
      <c r="C50" s="83"/>
      <c r="D50" s="83"/>
      <c r="E50" s="24"/>
      <c r="F50" s="24"/>
      <c r="G50" s="24"/>
      <c r="H50" s="24"/>
      <c r="I50" s="24"/>
      <c r="J50" s="24"/>
      <c r="K50" s="24"/>
      <c r="L50" s="24"/>
      <c r="M50" s="24"/>
      <c r="N50" s="24"/>
      <c r="O50" s="24"/>
      <c r="P50" s="24"/>
      <c r="Q50" s="24"/>
      <c r="R50" s="24"/>
      <c r="S50" s="24"/>
      <c r="T50" s="24"/>
      <c r="U50" s="24"/>
      <c r="V50" s="24"/>
      <c r="W50" s="24"/>
      <c r="X50" s="24"/>
      <c r="Y50" s="24"/>
      <c r="Z50" s="24"/>
      <c r="AA50" s="24"/>
      <c r="AB50" s="24"/>
      <c r="AC50" s="24"/>
      <c r="AD50" s="24"/>
      <c r="AE50" s="42"/>
      <c r="AG50" s="113">
        <v>1</v>
      </c>
      <c r="AH50" s="114"/>
      <c r="AI50" s="114"/>
      <c r="AJ50" s="115">
        <v>1</v>
      </c>
      <c r="AO50" s="450"/>
    </row>
    <row r="51" spans="2:41" s="29" customFormat="1" ht="83.25" customHeight="1" x14ac:dyDescent="0.2">
      <c r="B51" s="24"/>
      <c r="C51" s="83"/>
      <c r="D51" s="83"/>
      <c r="E51" s="24"/>
      <c r="F51" s="24"/>
      <c r="G51" s="24"/>
      <c r="H51" s="24"/>
      <c r="I51" s="24"/>
      <c r="J51" s="24"/>
      <c r="K51" s="24"/>
      <c r="L51" s="24"/>
      <c r="M51" s="24"/>
      <c r="N51" s="24"/>
      <c r="O51" s="24"/>
      <c r="P51" s="24"/>
      <c r="Q51" s="24"/>
      <c r="R51" s="24"/>
      <c r="S51" s="24"/>
      <c r="T51" s="24"/>
      <c r="U51" s="24"/>
      <c r="V51" s="24"/>
      <c r="W51" s="24"/>
      <c r="X51" s="24"/>
      <c r="Y51" s="24"/>
      <c r="Z51" s="24"/>
      <c r="AA51" s="24"/>
      <c r="AB51" s="24"/>
      <c r="AC51" s="24"/>
      <c r="AD51" s="24"/>
      <c r="AE51" s="42"/>
      <c r="AG51" s="113">
        <v>1</v>
      </c>
      <c r="AH51" s="114"/>
      <c r="AI51" s="114"/>
      <c r="AJ51" s="115">
        <v>1</v>
      </c>
      <c r="AO51" s="448" t="s">
        <v>73</v>
      </c>
    </row>
    <row r="52" spans="2:41" s="29" customFormat="1" ht="82.5" customHeight="1" x14ac:dyDescent="0.2">
      <c r="B52" s="24"/>
      <c r="C52" s="83"/>
      <c r="D52" s="83"/>
      <c r="E52" s="24"/>
      <c r="F52" s="24"/>
      <c r="G52" s="24"/>
      <c r="H52" s="24"/>
      <c r="I52" s="24"/>
      <c r="J52" s="24"/>
      <c r="K52" s="24"/>
      <c r="L52" s="24"/>
      <c r="M52" s="24"/>
      <c r="N52" s="24"/>
      <c r="O52" s="24"/>
      <c r="P52" s="24"/>
      <c r="Q52" s="24"/>
      <c r="R52" s="24"/>
      <c r="S52" s="24"/>
      <c r="T52" s="24"/>
      <c r="U52" s="24"/>
      <c r="V52" s="24"/>
      <c r="W52" s="24"/>
      <c r="X52" s="24"/>
      <c r="Y52" s="24"/>
      <c r="Z52" s="24"/>
      <c r="AA52" s="24"/>
      <c r="AB52" s="24"/>
      <c r="AC52" s="24"/>
      <c r="AD52" s="24"/>
      <c r="AE52" s="42"/>
      <c r="AG52" s="113"/>
      <c r="AH52" s="114"/>
      <c r="AI52" s="114">
        <v>1</v>
      </c>
      <c r="AJ52" s="115">
        <v>1</v>
      </c>
      <c r="AO52" s="449"/>
    </row>
    <row r="53" spans="2:41" s="29" customFormat="1" ht="67.5" customHeight="1" x14ac:dyDescent="0.2">
      <c r="B53" s="24"/>
      <c r="C53" s="83"/>
      <c r="D53" s="83"/>
      <c r="E53" s="24"/>
      <c r="F53" s="24"/>
      <c r="G53" s="24"/>
      <c r="H53" s="24"/>
      <c r="I53" s="24"/>
      <c r="J53" s="24"/>
      <c r="K53" s="24"/>
      <c r="L53" s="24"/>
      <c r="M53" s="24"/>
      <c r="N53" s="24"/>
      <c r="O53" s="24"/>
      <c r="P53" s="24"/>
      <c r="Q53" s="24"/>
      <c r="R53" s="24"/>
      <c r="S53" s="24"/>
      <c r="T53" s="24"/>
      <c r="U53" s="24"/>
      <c r="V53" s="24"/>
      <c r="W53" s="24"/>
      <c r="X53" s="24"/>
      <c r="Y53" s="24"/>
      <c r="Z53" s="24"/>
      <c r="AA53" s="24"/>
      <c r="AB53" s="24"/>
      <c r="AC53" s="24"/>
      <c r="AD53" s="24"/>
      <c r="AE53" s="42"/>
      <c r="AG53" s="113"/>
      <c r="AH53" s="114">
        <v>1</v>
      </c>
      <c r="AI53" s="114"/>
      <c r="AJ53" s="115">
        <v>1</v>
      </c>
      <c r="AO53" s="449"/>
    </row>
    <row r="54" spans="2:41" s="29" customFormat="1" ht="65.25" customHeight="1" thickBot="1" x14ac:dyDescent="0.25">
      <c r="B54" s="24"/>
      <c r="C54" s="83"/>
      <c r="D54" s="83"/>
      <c r="E54" s="24"/>
      <c r="F54" s="24"/>
      <c r="G54" s="24"/>
      <c r="H54" s="24"/>
      <c r="I54" s="24"/>
      <c r="J54" s="24"/>
      <c r="K54" s="24"/>
      <c r="L54" s="24"/>
      <c r="M54" s="24"/>
      <c r="N54" s="24"/>
      <c r="O54" s="24"/>
      <c r="P54" s="24"/>
      <c r="Q54" s="24"/>
      <c r="R54" s="24"/>
      <c r="S54" s="24"/>
      <c r="T54" s="24"/>
      <c r="U54" s="24"/>
      <c r="V54" s="24"/>
      <c r="W54" s="24"/>
      <c r="X54" s="24"/>
      <c r="Y54" s="24"/>
      <c r="Z54" s="24"/>
      <c r="AA54" s="24"/>
      <c r="AB54" s="24"/>
      <c r="AC54" s="24"/>
      <c r="AD54" s="24"/>
      <c r="AE54" s="42"/>
      <c r="AG54" s="113">
        <v>1</v>
      </c>
      <c r="AH54" s="114"/>
      <c r="AI54" s="114"/>
      <c r="AJ54" s="115">
        <v>1</v>
      </c>
      <c r="AO54" s="450"/>
    </row>
    <row r="55" spans="2:41" s="29" customFormat="1" ht="36.75" customHeight="1" x14ac:dyDescent="0.2">
      <c r="B55" s="24"/>
      <c r="C55" s="83"/>
      <c r="D55" s="83"/>
      <c r="E55" s="24"/>
      <c r="F55" s="24"/>
      <c r="G55" s="24"/>
      <c r="H55" s="24"/>
      <c r="I55" s="24"/>
      <c r="J55" s="24"/>
      <c r="K55" s="24"/>
      <c r="L55" s="24"/>
      <c r="M55" s="24"/>
      <c r="N55" s="24"/>
      <c r="O55" s="24"/>
      <c r="P55" s="24"/>
      <c r="Q55" s="24"/>
      <c r="R55" s="24"/>
      <c r="S55" s="24"/>
      <c r="T55" s="24"/>
      <c r="U55" s="24"/>
      <c r="V55" s="24"/>
      <c r="W55" s="24"/>
      <c r="X55" s="24"/>
      <c r="Y55" s="24"/>
      <c r="Z55" s="24"/>
      <c r="AA55" s="24"/>
      <c r="AB55" s="24"/>
      <c r="AC55" s="24"/>
      <c r="AD55" s="24"/>
      <c r="AE55" s="42"/>
      <c r="AG55" s="113"/>
      <c r="AH55" s="114"/>
      <c r="AI55" s="114"/>
      <c r="AJ55" s="115"/>
    </row>
    <row r="56" spans="2:41" s="29" customFormat="1" ht="151.5" customHeight="1" x14ac:dyDescent="0.2">
      <c r="B56" s="24"/>
      <c r="C56" s="83"/>
      <c r="D56" s="83"/>
      <c r="I56" s="24"/>
      <c r="J56" s="24"/>
      <c r="K56" s="24"/>
      <c r="L56" s="24"/>
      <c r="M56" s="24"/>
      <c r="N56" s="24"/>
      <c r="O56" s="24"/>
      <c r="P56" s="24"/>
      <c r="Q56" s="24"/>
      <c r="R56" s="24"/>
      <c r="S56" s="24"/>
      <c r="T56" s="24"/>
      <c r="U56" s="24"/>
      <c r="V56" s="24"/>
      <c r="W56" s="24"/>
      <c r="X56" s="24"/>
      <c r="Y56" s="24"/>
      <c r="Z56" s="24"/>
      <c r="AA56" s="24"/>
      <c r="AB56" s="24"/>
      <c r="AC56" s="24"/>
      <c r="AD56" s="24"/>
      <c r="AE56" s="42"/>
      <c r="AG56" s="113"/>
      <c r="AH56" s="114"/>
      <c r="AI56" s="114">
        <v>1</v>
      </c>
      <c r="AJ56" s="115">
        <v>1</v>
      </c>
    </row>
    <row r="57" spans="2:41" s="29" customFormat="1" ht="100.5" customHeight="1" x14ac:dyDescent="0.2">
      <c r="B57" s="24"/>
      <c r="C57" s="83"/>
      <c r="D57" s="83"/>
      <c r="E57" s="24"/>
      <c r="F57" s="24"/>
      <c r="G57" s="24"/>
      <c r="H57" s="24"/>
      <c r="I57" s="24"/>
      <c r="J57" s="24"/>
      <c r="K57" s="24"/>
      <c r="L57" s="24"/>
      <c r="M57" s="24"/>
      <c r="N57" s="24"/>
      <c r="O57" s="24"/>
      <c r="P57" s="24"/>
      <c r="Q57" s="24"/>
      <c r="R57" s="24"/>
      <c r="S57" s="24"/>
      <c r="T57" s="24"/>
      <c r="U57" s="24"/>
      <c r="V57" s="24"/>
      <c r="W57" s="24"/>
      <c r="X57" s="24"/>
      <c r="Y57" s="24"/>
      <c r="Z57" s="24"/>
      <c r="AA57" s="24"/>
      <c r="AB57" s="24"/>
      <c r="AC57" s="24"/>
      <c r="AD57" s="24"/>
      <c r="AE57" s="42"/>
      <c r="AG57" s="113"/>
      <c r="AH57" s="114"/>
      <c r="AI57" s="114">
        <v>1</v>
      </c>
      <c r="AJ57" s="115">
        <v>1</v>
      </c>
    </row>
    <row r="58" spans="2:41" s="29" customFormat="1" ht="113.25" customHeight="1" x14ac:dyDescent="0.2">
      <c r="B58" s="24"/>
      <c r="C58" s="83"/>
      <c r="D58" s="83"/>
      <c r="E58" s="24"/>
      <c r="F58" s="24"/>
      <c r="G58" s="24"/>
      <c r="H58" s="24"/>
      <c r="I58" s="24"/>
      <c r="J58" s="24"/>
      <c r="K58" s="24"/>
      <c r="L58" s="24"/>
      <c r="M58" s="24"/>
      <c r="N58" s="24"/>
      <c r="O58" s="24"/>
      <c r="P58" s="24"/>
      <c r="Q58" s="24"/>
      <c r="R58" s="24"/>
      <c r="S58" s="24"/>
      <c r="T58" s="24"/>
      <c r="U58" s="24"/>
      <c r="V58" s="24"/>
      <c r="W58" s="24"/>
      <c r="X58" s="24"/>
      <c r="Y58" s="24"/>
      <c r="Z58" s="24"/>
      <c r="AA58" s="24"/>
      <c r="AB58" s="24"/>
      <c r="AC58" s="24"/>
      <c r="AD58" s="24"/>
      <c r="AE58" s="42"/>
      <c r="AG58" s="113"/>
      <c r="AH58" s="114">
        <v>1</v>
      </c>
      <c r="AI58" s="114"/>
      <c r="AJ58" s="115">
        <v>1</v>
      </c>
    </row>
    <row r="59" spans="2:41" ht="54.75" customHeight="1" x14ac:dyDescent="0.2">
      <c r="C59" s="83"/>
      <c r="D59" s="83"/>
      <c r="AE59" s="42"/>
      <c r="AF59" s="29"/>
      <c r="AG59" s="34"/>
      <c r="AH59" s="30">
        <v>1</v>
      </c>
      <c r="AI59" s="30"/>
      <c r="AJ59" s="35">
        <v>1</v>
      </c>
    </row>
    <row r="60" spans="2:41" ht="45.75" customHeight="1" x14ac:dyDescent="0.2">
      <c r="C60" s="83"/>
      <c r="D60" s="83"/>
      <c r="AE60" s="42"/>
      <c r="AF60" s="29"/>
      <c r="AG60" s="34"/>
      <c r="AH60" s="30">
        <v>1</v>
      </c>
      <c r="AI60" s="30"/>
      <c r="AJ60" s="35">
        <v>1</v>
      </c>
    </row>
    <row r="61" spans="2:41" ht="54.75" customHeight="1" x14ac:dyDescent="0.2">
      <c r="C61" s="83"/>
      <c r="D61" s="83"/>
      <c r="AE61" s="42"/>
      <c r="AF61" s="29"/>
      <c r="AG61" s="34"/>
      <c r="AH61" s="30">
        <v>1</v>
      </c>
      <c r="AI61" s="30"/>
      <c r="AJ61" s="35">
        <v>1</v>
      </c>
    </row>
    <row r="62" spans="2:41" ht="201.75" customHeight="1" x14ac:dyDescent="0.2">
      <c r="C62" s="83"/>
      <c r="D62" s="83"/>
      <c r="AE62" s="42"/>
      <c r="AF62" s="29"/>
      <c r="AG62" s="34"/>
      <c r="AH62" s="30">
        <v>1</v>
      </c>
      <c r="AI62" s="30"/>
      <c r="AJ62" s="35">
        <v>1</v>
      </c>
    </row>
    <row r="63" spans="2:41" ht="125.25" customHeight="1" x14ac:dyDescent="0.2">
      <c r="C63" s="83"/>
      <c r="D63" s="83"/>
      <c r="AE63" s="42"/>
      <c r="AF63" s="29"/>
      <c r="AG63" s="34"/>
      <c r="AH63" s="30">
        <v>1</v>
      </c>
      <c r="AI63" s="30"/>
      <c r="AJ63" s="35">
        <v>1</v>
      </c>
    </row>
    <row r="64" spans="2:41" ht="112.5" customHeight="1" thickBot="1" x14ac:dyDescent="0.25">
      <c r="C64" s="83"/>
      <c r="D64" s="83"/>
      <c r="AE64" s="42"/>
      <c r="AG64" s="36">
        <f>SUM(AG9:AG59)</f>
        <v>23</v>
      </c>
      <c r="AH64" s="37">
        <f>SUM(AH9:AH63)</f>
        <v>18</v>
      </c>
      <c r="AI64" s="37">
        <f>SUM(AI9:AI63)</f>
        <v>5</v>
      </c>
      <c r="AJ64" s="38">
        <f>SUM(AJ9:AJ63)</f>
        <v>46</v>
      </c>
    </row>
    <row r="65" spans="3:31" ht="94.5" customHeight="1" x14ac:dyDescent="0.2">
      <c r="C65" s="83"/>
      <c r="D65" s="83"/>
      <c r="AE65" s="42"/>
    </row>
    <row r="66" spans="3:31" ht="100.5" customHeight="1" x14ac:dyDescent="0.2">
      <c r="C66" s="83"/>
      <c r="D66" s="83"/>
      <c r="AE66" s="42"/>
    </row>
    <row r="67" spans="3:31" ht="226.5" customHeight="1" x14ac:dyDescent="0.2">
      <c r="C67" s="83"/>
      <c r="D67" s="83"/>
      <c r="AE67" s="42"/>
    </row>
    <row r="68" spans="3:31" ht="67.5" customHeight="1" x14ac:dyDescent="0.2">
      <c r="C68" s="83"/>
      <c r="D68" s="83"/>
      <c r="AE68" s="42"/>
    </row>
    <row r="69" spans="3:31" ht="90.75" customHeight="1" x14ac:dyDescent="0.2">
      <c r="C69" s="83"/>
      <c r="D69" s="83"/>
      <c r="AE69" s="42"/>
    </row>
    <row r="70" spans="3:31" ht="75" customHeight="1" x14ac:dyDescent="0.2">
      <c r="C70" s="83"/>
      <c r="D70" s="83"/>
      <c r="AE70" s="42"/>
    </row>
    <row r="71" spans="3:31" x14ac:dyDescent="0.2">
      <c r="C71" s="83"/>
      <c r="D71" s="83"/>
      <c r="AE71" s="42"/>
    </row>
    <row r="72" spans="3:31" ht="43.5" customHeight="1" x14ac:dyDescent="0.2">
      <c r="C72" s="83"/>
      <c r="D72" s="83"/>
      <c r="AE72" s="42"/>
    </row>
    <row r="73" spans="3:31" ht="49.5" customHeight="1" x14ac:dyDescent="0.2">
      <c r="C73" s="83"/>
      <c r="D73" s="83"/>
      <c r="AE73" s="42"/>
    </row>
    <row r="74" spans="3:31" ht="232.5" customHeight="1" x14ac:dyDescent="0.2">
      <c r="C74" s="83"/>
      <c r="D74" s="83"/>
      <c r="H74" s="83"/>
      <c r="I74" s="83"/>
      <c r="AE74" s="42"/>
    </row>
    <row r="75" spans="3:31" x14ac:dyDescent="0.2">
      <c r="C75" s="83"/>
      <c r="D75" s="83"/>
      <c r="AE75" s="42"/>
    </row>
    <row r="76" spans="3:31" ht="241.5" customHeight="1" x14ac:dyDescent="0.2">
      <c r="C76" s="83"/>
      <c r="D76" s="83"/>
      <c r="AE76" s="42"/>
    </row>
    <row r="77" spans="3:31" x14ac:dyDescent="0.2">
      <c r="AE77" s="42"/>
    </row>
    <row r="78" spans="3:31" x14ac:dyDescent="0.2">
      <c r="AE78" s="42"/>
    </row>
    <row r="79" spans="3:31" x14ac:dyDescent="0.2">
      <c r="AE79" s="42"/>
    </row>
    <row r="80" spans="3:31" x14ac:dyDescent="0.2">
      <c r="AE80" s="42"/>
    </row>
  </sheetData>
  <autoFilter ref="B8:AC16"/>
  <mergeCells count="56">
    <mergeCell ref="AO47:AO50"/>
    <mergeCell ref="AO51:AO54"/>
    <mergeCell ref="H18:K18"/>
    <mergeCell ref="H19:I19"/>
    <mergeCell ref="H20:I20"/>
    <mergeCell ref="H21:I21"/>
    <mergeCell ref="H22:I22"/>
    <mergeCell ref="O20:P20"/>
    <mergeCell ref="H23:I23"/>
    <mergeCell ref="F22:G22"/>
    <mergeCell ref="AO26:AO31"/>
    <mergeCell ref="AO32:AO35"/>
    <mergeCell ref="AO36:AO37"/>
    <mergeCell ref="AO38:AO41"/>
    <mergeCell ref="AG41:AG42"/>
    <mergeCell ref="AH41:AH42"/>
    <mergeCell ref="AI41:AI42"/>
    <mergeCell ref="AJ41:AJ42"/>
    <mergeCell ref="AO42:AO46"/>
    <mergeCell ref="AO18:AO25"/>
    <mergeCell ref="F19:G19"/>
    <mergeCell ref="M19:N19"/>
    <mergeCell ref="O19:P19"/>
    <mergeCell ref="F20:G20"/>
    <mergeCell ref="M20:N20"/>
    <mergeCell ref="F21:G21"/>
    <mergeCell ref="M21:N21"/>
    <mergeCell ref="O21:P21"/>
    <mergeCell ref="Z7:AD7"/>
    <mergeCell ref="AE7:AE8"/>
    <mergeCell ref="AG7:AJ7"/>
    <mergeCell ref="B9:B16"/>
    <mergeCell ref="AE9:AE16"/>
    <mergeCell ref="M18:P18"/>
    <mergeCell ref="B6:I6"/>
    <mergeCell ref="J6:N7"/>
    <mergeCell ref="O6:P6"/>
    <mergeCell ref="Q6:U7"/>
    <mergeCell ref="V6:AE6"/>
    <mergeCell ref="B7:B8"/>
    <mergeCell ref="C7:C8"/>
    <mergeCell ref="D7:D8"/>
    <mergeCell ref="O7:P7"/>
    <mergeCell ref="V7:Y7"/>
    <mergeCell ref="B5:AE5"/>
    <mergeCell ref="B2:AE2"/>
    <mergeCell ref="B3:F3"/>
    <mergeCell ref="G3:N3"/>
    <mergeCell ref="O3:T3"/>
    <mergeCell ref="U3:AA3"/>
    <mergeCell ref="AB3:AE3"/>
    <mergeCell ref="B4:F4"/>
    <mergeCell ref="G4:N4"/>
    <mergeCell ref="O4:T4"/>
    <mergeCell ref="U4:AA4"/>
    <mergeCell ref="AB4:AE4"/>
  </mergeCells>
  <conditionalFormatting sqref="N9:P16">
    <cfRule type="cellIs" dxfId="347" priority="21" operator="equal">
      <formula>5</formula>
    </cfRule>
    <cfRule type="cellIs" priority="22" operator="equal">
      <formula>5</formula>
    </cfRule>
    <cfRule type="cellIs" dxfId="346" priority="23" operator="between">
      <formula>6</formula>
      <formula>30</formula>
    </cfRule>
    <cfRule type="cellIs" dxfId="345" priority="24" operator="between">
      <formula>31</formula>
      <formula>60</formula>
    </cfRule>
  </conditionalFormatting>
  <conditionalFormatting sqref="N9:P16">
    <cfRule type="containsErrors" dxfId="344" priority="20">
      <formula>ISERROR(N9)</formula>
    </cfRule>
  </conditionalFormatting>
  <conditionalFormatting sqref="J9:J16">
    <cfRule type="containsText" dxfId="343" priority="19" operator="containsText" text="N/A">
      <formula>NOT(ISERROR(SEARCH("N/A",J9)))</formula>
    </cfRule>
  </conditionalFormatting>
  <conditionalFormatting sqref="L9:L16">
    <cfRule type="containsText" dxfId="342" priority="5" operator="containsText" text="N/A">
      <formula>NOT(ISERROR(SEARCH("N/A",L9)))</formula>
    </cfRule>
    <cfRule type="containsText" dxfId="341" priority="18" operator="containsText" text="N/A">
      <formula>NOT(ISERROR(SEARCH("N/A",L9)))</formula>
    </cfRule>
  </conditionalFormatting>
  <conditionalFormatting sqref="V9:Y16">
    <cfRule type="containsErrors" dxfId="340" priority="17">
      <formula>ISERROR(V9)</formula>
    </cfRule>
  </conditionalFormatting>
  <conditionalFormatting sqref="Q9:Q16">
    <cfRule type="containsText" dxfId="339" priority="11" operator="containsText" text="N/A">
      <formula>NOT(ISERROR(SEARCH("N/A",Q9)))</formula>
    </cfRule>
  </conditionalFormatting>
  <conditionalFormatting sqref="S9:S16">
    <cfRule type="containsText" dxfId="338" priority="10" operator="containsText" text="N/A">
      <formula>NOT(ISERROR(SEARCH("N/A",S9)))</formula>
    </cfRule>
  </conditionalFormatting>
  <conditionalFormatting sqref="U9:U16">
    <cfRule type="containsErrors" dxfId="337" priority="1">
      <formula>ISERROR(U9)</formula>
    </cfRule>
    <cfRule type="cellIs" dxfId="336" priority="7" operator="between">
      <formula>31</formula>
      <formula>60</formula>
    </cfRule>
    <cfRule type="cellIs" dxfId="335" priority="8" operator="between">
      <formula>6</formula>
      <formula>30</formula>
    </cfRule>
    <cfRule type="cellIs" dxfId="334" priority="9" operator="equal">
      <formula>5</formula>
    </cfRule>
  </conditionalFormatting>
  <conditionalFormatting sqref="K9:K16">
    <cfRule type="containsText" dxfId="333" priority="6" operator="containsText" text="N/A">
      <formula>NOT(ISERROR(SEARCH("N/A",K9)))</formula>
    </cfRule>
  </conditionalFormatting>
  <conditionalFormatting sqref="M9:M16">
    <cfRule type="containsText" dxfId="332" priority="4" operator="containsText" text="N/A">
      <formula>NOT(ISERROR(SEARCH("N/A",M9)))</formula>
    </cfRule>
  </conditionalFormatting>
  <conditionalFormatting sqref="R9:R16">
    <cfRule type="containsText" dxfId="331" priority="3" operator="containsText" text="N/A">
      <formula>NOT(ISERROR(SEARCH("N/A",R9)))</formula>
    </cfRule>
  </conditionalFormatting>
  <conditionalFormatting sqref="T9:T16">
    <cfRule type="containsText" dxfId="330" priority="2" operator="containsText" text="N/A">
      <formula>NOT(ISERROR(SEARCH("N/A",T9)))</formula>
    </cfRule>
  </conditionalFormatting>
  <dataValidations count="3">
    <dataValidation type="list" allowBlank="1" showInputMessage="1" showErrorMessage="1" sqref="C9:C16">
      <formula1>$AM$8:$AM$9</formula1>
    </dataValidation>
    <dataValidation type="list" allowBlank="1" showInputMessage="1" showErrorMessage="1" sqref="L9:L16 S9:S16">
      <formula1>$AL$8:$AL$11</formula1>
    </dataValidation>
    <dataValidation type="list" allowBlank="1" showInputMessage="1" showErrorMessage="1" sqref="J9:J16 Q9:Q16">
      <formula1>$AK$8:$AK$11</formula1>
    </dataValidation>
  </dataValidations>
  <printOptions verticalCentered="1"/>
  <pageMargins left="0.19685039370078741" right="0.59055118110236227" top="0.39370078740157483" bottom="0.47244094488188981" header="0" footer="0"/>
  <pageSetup scale="16" fitToHeight="0" orientation="landscape" r:id="rId1"/>
  <headerFooter alignWithMargins="0">
    <oddFooter>&amp;C&amp;8Página &amp;P de &amp;N</oddFooter>
  </headerFooter>
  <colBreaks count="1" manualBreakCount="1">
    <brk id="31" max="1048575" man="1"/>
  </colBreaks>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pageSetUpPr fitToPage="1"/>
  </sheetPr>
  <dimension ref="B1:AO79"/>
  <sheetViews>
    <sheetView showGridLines="0" view="pageBreakPreview" topLeftCell="A7" zoomScale="60" zoomScaleNormal="25" zoomScalePageLayoutView="75" workbookViewId="0">
      <selection activeCell="E15" sqref="E15"/>
    </sheetView>
  </sheetViews>
  <sheetFormatPr baseColWidth="10" defaultColWidth="33.85546875" defaultRowHeight="23.25" x14ac:dyDescent="0.2"/>
  <cols>
    <col min="1" max="1" width="2.140625" style="24" customWidth="1"/>
    <col min="2" max="2" width="17.42578125" style="24" customWidth="1"/>
    <col min="3" max="3" width="23.140625" style="24" customWidth="1"/>
    <col min="4" max="4" width="27.7109375" style="24" customWidth="1"/>
    <col min="5" max="5" width="62.28515625" style="24" bestFit="1" customWidth="1"/>
    <col min="6" max="7" width="28.28515625" style="24" customWidth="1"/>
    <col min="8" max="8" width="32.5703125" style="24" customWidth="1"/>
    <col min="9" max="9" width="32.28515625" style="24" customWidth="1"/>
    <col min="10" max="13" width="15.7109375" style="24" customWidth="1"/>
    <col min="14" max="14" width="29" style="24" customWidth="1"/>
    <col min="15" max="16" width="61.28515625" style="24" customWidth="1"/>
    <col min="17" max="18" width="14.85546875" style="24" customWidth="1"/>
    <col min="19" max="19" width="18.28515625" style="24" customWidth="1"/>
    <col min="20" max="25" width="16.28515625" style="24" customWidth="1"/>
    <col min="26" max="26" width="39.5703125" style="24" customWidth="1"/>
    <col min="27" max="28" width="28" style="24" customWidth="1"/>
    <col min="29" max="29" width="29.42578125" style="24" customWidth="1"/>
    <col min="30" max="30" width="49.42578125" style="24" customWidth="1"/>
    <col min="31" max="31" width="23.140625" style="41" customWidth="1"/>
    <col min="32" max="32" width="17.7109375" style="24" customWidth="1"/>
    <col min="33" max="36" width="33.85546875" style="24" customWidth="1"/>
    <col min="37" max="16384" width="33.85546875" style="24"/>
  </cols>
  <sheetData>
    <row r="1" spans="2:41" ht="9" customHeight="1" x14ac:dyDescent="0.2"/>
    <row r="2" spans="2:41" s="28" customFormat="1" ht="125.25" customHeight="1" thickBot="1" x14ac:dyDescent="0.25">
      <c r="B2" s="385" t="s">
        <v>109</v>
      </c>
      <c r="C2" s="386"/>
      <c r="D2" s="386"/>
      <c r="E2" s="386"/>
      <c r="F2" s="386"/>
      <c r="G2" s="386"/>
      <c r="H2" s="386"/>
      <c r="I2" s="386"/>
      <c r="J2" s="386"/>
      <c r="K2" s="386"/>
      <c r="L2" s="386"/>
      <c r="M2" s="386"/>
      <c r="N2" s="386"/>
      <c r="O2" s="386"/>
      <c r="P2" s="386"/>
      <c r="Q2" s="386"/>
      <c r="R2" s="386"/>
      <c r="S2" s="386"/>
      <c r="T2" s="386"/>
      <c r="U2" s="386"/>
      <c r="V2" s="386"/>
      <c r="W2" s="386"/>
      <c r="X2" s="386"/>
      <c r="Y2" s="386"/>
      <c r="Z2" s="386"/>
      <c r="AA2" s="386"/>
      <c r="AB2" s="386"/>
      <c r="AC2" s="386"/>
      <c r="AD2" s="386"/>
      <c r="AE2" s="386"/>
      <c r="AF2" s="31"/>
    </row>
    <row r="3" spans="2:41" s="29" customFormat="1" ht="66" customHeight="1" thickBot="1" x14ac:dyDescent="0.25">
      <c r="B3" s="387" t="s">
        <v>37</v>
      </c>
      <c r="C3" s="388"/>
      <c r="D3" s="388"/>
      <c r="E3" s="388"/>
      <c r="F3" s="388"/>
      <c r="G3" s="387" t="s">
        <v>108</v>
      </c>
      <c r="H3" s="388"/>
      <c r="I3" s="388"/>
      <c r="J3" s="388"/>
      <c r="K3" s="388"/>
      <c r="L3" s="388"/>
      <c r="M3" s="388"/>
      <c r="N3" s="389"/>
      <c r="O3" s="387" t="s">
        <v>107</v>
      </c>
      <c r="P3" s="388"/>
      <c r="Q3" s="388"/>
      <c r="R3" s="388"/>
      <c r="S3" s="388"/>
      <c r="T3" s="389"/>
      <c r="U3" s="387" t="s">
        <v>38</v>
      </c>
      <c r="V3" s="388"/>
      <c r="W3" s="388"/>
      <c r="X3" s="388"/>
      <c r="Y3" s="388"/>
      <c r="Z3" s="388"/>
      <c r="AA3" s="389"/>
      <c r="AB3" s="387" t="s">
        <v>35</v>
      </c>
      <c r="AC3" s="388"/>
      <c r="AD3" s="388"/>
      <c r="AE3" s="389"/>
      <c r="AF3" s="32"/>
    </row>
    <row r="4" spans="2:41" s="29" customFormat="1" ht="72" customHeight="1" thickBot="1" x14ac:dyDescent="0.25">
      <c r="B4" s="390" t="s">
        <v>36</v>
      </c>
      <c r="C4" s="391"/>
      <c r="D4" s="391"/>
      <c r="E4" s="391"/>
      <c r="F4" s="391"/>
      <c r="G4" s="392">
        <v>42874</v>
      </c>
      <c r="H4" s="393"/>
      <c r="I4" s="393"/>
      <c r="J4" s="393"/>
      <c r="K4" s="393"/>
      <c r="L4" s="393"/>
      <c r="M4" s="393"/>
      <c r="N4" s="394"/>
      <c r="O4" s="395">
        <v>43700</v>
      </c>
      <c r="P4" s="396"/>
      <c r="Q4" s="396"/>
      <c r="R4" s="396"/>
      <c r="S4" s="396"/>
      <c r="T4" s="397"/>
      <c r="U4" s="390">
        <v>4</v>
      </c>
      <c r="V4" s="391"/>
      <c r="W4" s="391"/>
      <c r="X4" s="391"/>
      <c r="Y4" s="391"/>
      <c r="Z4" s="391"/>
      <c r="AA4" s="398"/>
      <c r="AB4" s="390" t="s">
        <v>50</v>
      </c>
      <c r="AC4" s="391"/>
      <c r="AD4" s="391"/>
      <c r="AE4" s="398"/>
      <c r="AF4" s="189"/>
    </row>
    <row r="5" spans="2:41" s="29" customFormat="1" ht="32.1" customHeight="1" thickBot="1" x14ac:dyDescent="0.25">
      <c r="B5" s="383" t="s">
        <v>673</v>
      </c>
      <c r="C5" s="384"/>
      <c r="D5" s="384"/>
      <c r="E5" s="384"/>
      <c r="F5" s="384"/>
      <c r="G5" s="384"/>
      <c r="H5" s="384"/>
      <c r="I5" s="384"/>
      <c r="J5" s="384"/>
      <c r="K5" s="384"/>
      <c r="L5" s="384"/>
      <c r="M5" s="384"/>
      <c r="N5" s="384"/>
      <c r="O5" s="384"/>
      <c r="P5" s="384"/>
      <c r="Q5" s="384"/>
      <c r="R5" s="384"/>
      <c r="S5" s="384"/>
      <c r="T5" s="384"/>
      <c r="U5" s="384"/>
      <c r="V5" s="384"/>
      <c r="W5" s="384"/>
      <c r="X5" s="384"/>
      <c r="Y5" s="384"/>
      <c r="Z5" s="384"/>
      <c r="AA5" s="384"/>
      <c r="AB5" s="384"/>
      <c r="AC5" s="384"/>
      <c r="AD5" s="384"/>
      <c r="AE5" s="384"/>
      <c r="AF5" s="189"/>
    </row>
    <row r="6" spans="2:41" s="29" customFormat="1" ht="54.95" customHeight="1" thickBot="1" x14ac:dyDescent="0.25">
      <c r="B6" s="409" t="s">
        <v>0</v>
      </c>
      <c r="C6" s="410"/>
      <c r="D6" s="410"/>
      <c r="E6" s="410"/>
      <c r="F6" s="410"/>
      <c r="G6" s="410"/>
      <c r="H6" s="410"/>
      <c r="I6" s="411"/>
      <c r="J6" s="412" t="s">
        <v>60</v>
      </c>
      <c r="K6" s="413"/>
      <c r="L6" s="413"/>
      <c r="M6" s="413"/>
      <c r="N6" s="414"/>
      <c r="O6" s="418" t="s">
        <v>92</v>
      </c>
      <c r="P6" s="419"/>
      <c r="Q6" s="420" t="s">
        <v>61</v>
      </c>
      <c r="R6" s="421"/>
      <c r="S6" s="421"/>
      <c r="T6" s="421"/>
      <c r="U6" s="422"/>
      <c r="V6" s="426" t="s">
        <v>56</v>
      </c>
      <c r="W6" s="427"/>
      <c r="X6" s="427"/>
      <c r="Y6" s="427"/>
      <c r="Z6" s="427"/>
      <c r="AA6" s="427"/>
      <c r="AB6" s="427"/>
      <c r="AC6" s="427"/>
      <c r="AD6" s="427"/>
      <c r="AE6" s="428"/>
    </row>
    <row r="7" spans="2:41" s="29" customFormat="1" ht="90" customHeight="1" thickBot="1" x14ac:dyDescent="0.25">
      <c r="B7" s="429" t="s">
        <v>8</v>
      </c>
      <c r="C7" s="430" t="s">
        <v>58</v>
      </c>
      <c r="D7" s="432" t="s">
        <v>89</v>
      </c>
      <c r="E7" s="76" t="s">
        <v>59</v>
      </c>
      <c r="F7" s="43" t="s">
        <v>9</v>
      </c>
      <c r="G7" s="43" t="s">
        <v>102</v>
      </c>
      <c r="H7" s="43" t="s">
        <v>10</v>
      </c>
      <c r="I7" s="95" t="s">
        <v>57</v>
      </c>
      <c r="J7" s="415"/>
      <c r="K7" s="416"/>
      <c r="L7" s="416"/>
      <c r="M7" s="416"/>
      <c r="N7" s="417"/>
      <c r="O7" s="433" t="s">
        <v>101</v>
      </c>
      <c r="P7" s="434"/>
      <c r="Q7" s="423"/>
      <c r="R7" s="424"/>
      <c r="S7" s="424"/>
      <c r="T7" s="424"/>
      <c r="U7" s="425"/>
      <c r="V7" s="435" t="s">
        <v>94</v>
      </c>
      <c r="W7" s="436"/>
      <c r="X7" s="436"/>
      <c r="Y7" s="437"/>
      <c r="Z7" s="475" t="s">
        <v>51</v>
      </c>
      <c r="AA7" s="476"/>
      <c r="AB7" s="476"/>
      <c r="AC7" s="476"/>
      <c r="AD7" s="477"/>
      <c r="AE7" s="445" t="s">
        <v>25</v>
      </c>
      <c r="AG7" s="399" t="s">
        <v>43</v>
      </c>
      <c r="AH7" s="399"/>
      <c r="AI7" s="399"/>
      <c r="AJ7" s="399"/>
      <c r="AK7" s="29" t="s">
        <v>65</v>
      </c>
      <c r="AL7" s="29" t="s">
        <v>66</v>
      </c>
    </row>
    <row r="8" spans="2:41" s="29" customFormat="1" ht="202.5" customHeight="1" thickBot="1" x14ac:dyDescent="0.25">
      <c r="B8" s="429"/>
      <c r="C8" s="431"/>
      <c r="D8" s="431"/>
      <c r="E8" s="77" t="s">
        <v>7</v>
      </c>
      <c r="F8" s="23" t="s">
        <v>62</v>
      </c>
      <c r="G8" s="23" t="s">
        <v>13</v>
      </c>
      <c r="H8" s="23" t="s">
        <v>63</v>
      </c>
      <c r="I8" s="23" t="s">
        <v>64</v>
      </c>
      <c r="J8" s="96" t="s">
        <v>11</v>
      </c>
      <c r="K8" s="102" t="s">
        <v>12</v>
      </c>
      <c r="L8" s="97" t="s">
        <v>1</v>
      </c>
      <c r="M8" s="97" t="s">
        <v>2</v>
      </c>
      <c r="N8" s="106" t="s">
        <v>93</v>
      </c>
      <c r="O8" s="104" t="s">
        <v>90</v>
      </c>
      <c r="P8" s="105" t="s">
        <v>91</v>
      </c>
      <c r="Q8" s="101" t="s">
        <v>11</v>
      </c>
      <c r="R8" s="102" t="s">
        <v>12</v>
      </c>
      <c r="S8" s="102" t="s">
        <v>1</v>
      </c>
      <c r="T8" s="102" t="s">
        <v>2</v>
      </c>
      <c r="U8" s="103" t="s">
        <v>100</v>
      </c>
      <c r="V8" s="98" t="s">
        <v>95</v>
      </c>
      <c r="W8" s="99" t="s">
        <v>96</v>
      </c>
      <c r="X8" s="99" t="s">
        <v>97</v>
      </c>
      <c r="Y8" s="100" t="s">
        <v>98</v>
      </c>
      <c r="Z8" s="53" t="s">
        <v>52</v>
      </c>
      <c r="AA8" s="54" t="s">
        <v>53</v>
      </c>
      <c r="AB8" s="55" t="s">
        <v>54</v>
      </c>
      <c r="AC8" s="54" t="s">
        <v>55</v>
      </c>
      <c r="AD8" s="108" t="s">
        <v>99</v>
      </c>
      <c r="AE8" s="446"/>
      <c r="AG8" s="73" t="s">
        <v>39</v>
      </c>
      <c r="AH8" s="74" t="s">
        <v>40</v>
      </c>
      <c r="AI8" s="74" t="s">
        <v>41</v>
      </c>
      <c r="AJ8" s="75" t="s">
        <v>42</v>
      </c>
      <c r="AK8" s="86" t="s">
        <v>83</v>
      </c>
      <c r="AL8" s="86" t="s">
        <v>83</v>
      </c>
      <c r="AM8" s="29" t="s">
        <v>69</v>
      </c>
      <c r="AN8" s="29" t="s">
        <v>70</v>
      </c>
      <c r="AO8" s="91"/>
    </row>
    <row r="9" spans="2:41" s="29" customFormat="1" ht="202.5" customHeight="1" x14ac:dyDescent="0.2">
      <c r="B9" s="400" t="s">
        <v>705</v>
      </c>
      <c r="C9" s="78" t="s">
        <v>69</v>
      </c>
      <c r="D9" s="94" t="s">
        <v>720</v>
      </c>
      <c r="E9" s="46" t="s">
        <v>454</v>
      </c>
      <c r="F9" s="116" t="s">
        <v>227</v>
      </c>
      <c r="G9" s="116" t="s">
        <v>228</v>
      </c>
      <c r="H9" s="116" t="s">
        <v>229</v>
      </c>
      <c r="I9" s="116" t="s">
        <v>455</v>
      </c>
      <c r="J9" s="87">
        <v>3</v>
      </c>
      <c r="K9" s="87" t="str">
        <f>IF(J9=3,"ALTO",IF(J9=2,"MEDIO",IF(J9="N/A","N/A","BAJO")))</f>
        <v>ALTO</v>
      </c>
      <c r="L9" s="44">
        <v>10</v>
      </c>
      <c r="M9" s="56" t="str">
        <f>IF(L9=20,"ALTO",IF(L9=10,"MEDIO",IF(L9="N/A","N/A","BAJO")))</f>
        <v>MEDIO</v>
      </c>
      <c r="N9" s="89">
        <f>J9*L9</f>
        <v>30</v>
      </c>
      <c r="O9" s="120" t="s">
        <v>230</v>
      </c>
      <c r="P9" s="120" t="s">
        <v>828</v>
      </c>
      <c r="Q9" s="87">
        <v>2</v>
      </c>
      <c r="R9" s="87" t="str">
        <f>IF(Q9=3,"ALTO",IF(Q9=2,"MEDIO",IF(Q9="N/A","N/A","BAJO")))</f>
        <v>MEDIO</v>
      </c>
      <c r="S9" s="87">
        <v>10</v>
      </c>
      <c r="T9" s="44" t="str">
        <f>IF(S9=20,"ALTO",IF(S9=10,"MEDIO",IF(S9="N/A","N/A","BAJO")))</f>
        <v>MEDIO</v>
      </c>
      <c r="U9" s="107">
        <f>Q9*S9</f>
        <v>20</v>
      </c>
      <c r="V9" s="58"/>
      <c r="W9" s="58" t="s">
        <v>116</v>
      </c>
      <c r="X9" s="58"/>
      <c r="Y9" s="58"/>
      <c r="Z9" s="169" t="s">
        <v>234</v>
      </c>
      <c r="AA9" s="170" t="s">
        <v>231</v>
      </c>
      <c r="AB9" s="238" t="s">
        <v>232</v>
      </c>
      <c r="AC9" s="239" t="s">
        <v>233</v>
      </c>
      <c r="AD9" s="116" t="s">
        <v>983</v>
      </c>
      <c r="AE9" s="403">
        <v>43987</v>
      </c>
      <c r="AG9" s="51">
        <v>1</v>
      </c>
      <c r="AH9" s="52"/>
      <c r="AI9" s="52"/>
      <c r="AJ9" s="50">
        <f>SUM(AG9:AI9)</f>
        <v>1</v>
      </c>
      <c r="AK9" s="29">
        <v>1</v>
      </c>
      <c r="AL9" s="29">
        <v>5</v>
      </c>
      <c r="AM9" s="29" t="s">
        <v>72</v>
      </c>
      <c r="AN9" s="29" t="s">
        <v>74</v>
      </c>
      <c r="AO9" s="92"/>
    </row>
    <row r="10" spans="2:41" s="29" customFormat="1" ht="291.75" customHeight="1" x14ac:dyDescent="0.2">
      <c r="B10" s="401"/>
      <c r="C10" s="79" t="s">
        <v>69</v>
      </c>
      <c r="D10" s="339" t="s">
        <v>719</v>
      </c>
      <c r="E10" s="45" t="s">
        <v>235</v>
      </c>
      <c r="F10" s="117" t="s">
        <v>236</v>
      </c>
      <c r="G10" s="117" t="s">
        <v>237</v>
      </c>
      <c r="H10" s="117" t="s">
        <v>238</v>
      </c>
      <c r="I10" s="117" t="s">
        <v>239</v>
      </c>
      <c r="J10" s="87">
        <v>3</v>
      </c>
      <c r="K10" s="56" t="str">
        <f t="shared" ref="K10:K15" si="0">IF(J10=3,"ALTO",IF(J10=2,"MEDIO",IF(J10="N/A","N/A","BAJO")))</f>
        <v>ALTO</v>
      </c>
      <c r="L10" s="56">
        <v>10</v>
      </c>
      <c r="M10" s="56" t="str">
        <f t="shared" ref="M10:M15" si="1">IF(L10=20,"ALTO",IF(L10=10,"MEDIO",IF(L10="N/A","N/A","BAJO")))</f>
        <v>MEDIO</v>
      </c>
      <c r="N10" s="88">
        <f t="shared" ref="N10:N15" si="2">J10*L10</f>
        <v>30</v>
      </c>
      <c r="O10" s="131" t="s">
        <v>240</v>
      </c>
      <c r="P10" s="131" t="s">
        <v>829</v>
      </c>
      <c r="Q10" s="87">
        <v>1</v>
      </c>
      <c r="R10" s="87" t="str">
        <f t="shared" ref="R10:R15" si="3">IF(Q10=3,"ALTO",IF(Q10=2,"MEDIO",IF(Q10="N/A","N/A","BAJO")))</f>
        <v>BAJO</v>
      </c>
      <c r="S10" s="56">
        <v>5</v>
      </c>
      <c r="T10" s="87" t="str">
        <f t="shared" ref="T10:T15" si="4">IF(S10=20,"ALTO",IF(S10=10,"MEDIO",IF(S10="N/A","N/A","BAJO")))</f>
        <v>BAJO</v>
      </c>
      <c r="U10" s="88">
        <f t="shared" ref="U10:U15" si="5">Q10*S10</f>
        <v>5</v>
      </c>
      <c r="V10" s="58" t="s">
        <v>116</v>
      </c>
      <c r="W10" s="58"/>
      <c r="X10" s="58"/>
      <c r="Y10" s="58"/>
      <c r="Z10" s="124" t="s">
        <v>241</v>
      </c>
      <c r="AA10" s="125" t="s">
        <v>669</v>
      </c>
      <c r="AB10" s="154" t="s">
        <v>242</v>
      </c>
      <c r="AC10" s="126" t="s">
        <v>243</v>
      </c>
      <c r="AD10" s="117" t="s">
        <v>830</v>
      </c>
      <c r="AE10" s="404"/>
      <c r="AG10" s="186"/>
      <c r="AH10" s="187">
        <v>1</v>
      </c>
      <c r="AI10" s="187"/>
      <c r="AJ10" s="188">
        <f t="shared" ref="AJ10:AJ27" si="6">SUM(AG10:AI10)</f>
        <v>1</v>
      </c>
      <c r="AK10" s="29">
        <v>2</v>
      </c>
      <c r="AL10" s="29">
        <v>10</v>
      </c>
      <c r="AN10" s="29" t="s">
        <v>75</v>
      </c>
      <c r="AO10" s="92"/>
    </row>
    <row r="11" spans="2:41" s="29" customFormat="1" ht="318.75" customHeight="1" x14ac:dyDescent="0.2">
      <c r="B11" s="401"/>
      <c r="C11" s="79" t="s">
        <v>69</v>
      </c>
      <c r="D11" s="339" t="s">
        <v>75</v>
      </c>
      <c r="E11" s="45" t="s">
        <v>244</v>
      </c>
      <c r="F11" s="117" t="s">
        <v>245</v>
      </c>
      <c r="G11" s="117" t="s">
        <v>246</v>
      </c>
      <c r="H11" s="117" t="s">
        <v>247</v>
      </c>
      <c r="I11" s="117" t="s">
        <v>248</v>
      </c>
      <c r="J11" s="87">
        <v>3</v>
      </c>
      <c r="K11" s="56" t="str">
        <f t="shared" si="0"/>
        <v>ALTO</v>
      </c>
      <c r="L11" s="56">
        <v>10</v>
      </c>
      <c r="M11" s="56" t="str">
        <f t="shared" si="1"/>
        <v>MEDIO</v>
      </c>
      <c r="N11" s="88">
        <f t="shared" si="2"/>
        <v>30</v>
      </c>
      <c r="O11" s="117" t="s">
        <v>249</v>
      </c>
      <c r="P11" s="131" t="s">
        <v>831</v>
      </c>
      <c r="Q11" s="87">
        <v>1</v>
      </c>
      <c r="R11" s="87" t="str">
        <f t="shared" si="3"/>
        <v>BAJO</v>
      </c>
      <c r="S11" s="56">
        <v>5</v>
      </c>
      <c r="T11" s="87" t="str">
        <f t="shared" si="4"/>
        <v>BAJO</v>
      </c>
      <c r="U11" s="88">
        <f t="shared" si="5"/>
        <v>5</v>
      </c>
      <c r="V11" s="58" t="s">
        <v>116</v>
      </c>
      <c r="W11" s="58"/>
      <c r="X11" s="58"/>
      <c r="Y11" s="58"/>
      <c r="Z11" s="124" t="s">
        <v>832</v>
      </c>
      <c r="AA11" s="125" t="s">
        <v>634</v>
      </c>
      <c r="AB11" s="126" t="s">
        <v>670</v>
      </c>
      <c r="AC11" s="126" t="s">
        <v>243</v>
      </c>
      <c r="AD11" s="127" t="s">
        <v>587</v>
      </c>
      <c r="AE11" s="404"/>
      <c r="AG11" s="186">
        <v>1</v>
      </c>
      <c r="AH11" s="187"/>
      <c r="AI11" s="187"/>
      <c r="AJ11" s="188">
        <f t="shared" si="6"/>
        <v>1</v>
      </c>
      <c r="AK11" s="29">
        <v>3</v>
      </c>
      <c r="AL11" s="29">
        <v>20</v>
      </c>
      <c r="AN11" s="29" t="s">
        <v>86</v>
      </c>
      <c r="AO11" s="92"/>
    </row>
    <row r="12" spans="2:41" s="29" customFormat="1" ht="187.5" customHeight="1" x14ac:dyDescent="0.2">
      <c r="B12" s="401"/>
      <c r="C12" s="155" t="s">
        <v>69</v>
      </c>
      <c r="D12" s="156" t="s">
        <v>75</v>
      </c>
      <c r="E12" s="45" t="s">
        <v>251</v>
      </c>
      <c r="F12" s="127" t="s">
        <v>252</v>
      </c>
      <c r="G12" s="117" t="s">
        <v>253</v>
      </c>
      <c r="H12" s="117" t="s">
        <v>254</v>
      </c>
      <c r="I12" s="117" t="s">
        <v>255</v>
      </c>
      <c r="J12" s="56">
        <v>2</v>
      </c>
      <c r="K12" s="56" t="str">
        <f t="shared" si="0"/>
        <v>MEDIO</v>
      </c>
      <c r="L12" s="159">
        <v>20</v>
      </c>
      <c r="M12" s="56" t="str">
        <f t="shared" si="1"/>
        <v>ALTO</v>
      </c>
      <c r="N12" s="88">
        <f t="shared" si="2"/>
        <v>40</v>
      </c>
      <c r="O12" s="160" t="s">
        <v>256</v>
      </c>
      <c r="P12" s="160" t="s">
        <v>833</v>
      </c>
      <c r="Q12" s="56">
        <v>2</v>
      </c>
      <c r="R12" s="87" t="str">
        <f t="shared" si="3"/>
        <v>MEDIO</v>
      </c>
      <c r="S12" s="56">
        <v>10</v>
      </c>
      <c r="T12" s="87" t="str">
        <f t="shared" si="4"/>
        <v>MEDIO</v>
      </c>
      <c r="U12" s="88">
        <f t="shared" si="5"/>
        <v>20</v>
      </c>
      <c r="V12" s="164"/>
      <c r="W12" s="164" t="s">
        <v>116</v>
      </c>
      <c r="X12" s="164"/>
      <c r="Y12" s="164"/>
      <c r="Z12" s="124" t="s">
        <v>671</v>
      </c>
      <c r="AA12" s="125" t="s">
        <v>672</v>
      </c>
      <c r="AB12" s="126" t="s">
        <v>257</v>
      </c>
      <c r="AC12" s="126" t="s">
        <v>243</v>
      </c>
      <c r="AD12" s="154" t="s">
        <v>830</v>
      </c>
      <c r="AE12" s="404"/>
      <c r="AG12" s="186"/>
      <c r="AH12" s="187"/>
      <c r="AI12" s="187"/>
      <c r="AJ12" s="188"/>
      <c r="AN12" s="29" t="s">
        <v>87</v>
      </c>
      <c r="AO12" s="92"/>
    </row>
    <row r="13" spans="2:41" s="29" customFormat="1" ht="129.75" customHeight="1" x14ac:dyDescent="0.2">
      <c r="B13" s="401"/>
      <c r="C13" s="155" t="s">
        <v>69</v>
      </c>
      <c r="D13" s="156" t="s">
        <v>75</v>
      </c>
      <c r="E13" s="45" t="s">
        <v>258</v>
      </c>
      <c r="F13" s="127" t="s">
        <v>259</v>
      </c>
      <c r="G13" s="117" t="s">
        <v>260</v>
      </c>
      <c r="H13" s="117" t="s">
        <v>261</v>
      </c>
      <c r="I13" s="117" t="s">
        <v>262</v>
      </c>
      <c r="J13" s="56">
        <v>3</v>
      </c>
      <c r="K13" s="56" t="str">
        <f t="shared" si="0"/>
        <v>ALTO</v>
      </c>
      <c r="L13" s="159">
        <v>10</v>
      </c>
      <c r="M13" s="56" t="str">
        <f t="shared" si="1"/>
        <v>MEDIO</v>
      </c>
      <c r="N13" s="88">
        <f t="shared" si="2"/>
        <v>30</v>
      </c>
      <c r="O13" s="117" t="s">
        <v>263</v>
      </c>
      <c r="P13" s="160" t="s">
        <v>264</v>
      </c>
      <c r="Q13" s="56">
        <v>2</v>
      </c>
      <c r="R13" s="56" t="str">
        <f t="shared" si="3"/>
        <v>MEDIO</v>
      </c>
      <c r="S13" s="56">
        <v>5</v>
      </c>
      <c r="T13" s="56" t="str">
        <f t="shared" si="4"/>
        <v>BAJO</v>
      </c>
      <c r="U13" s="88">
        <f t="shared" si="5"/>
        <v>10</v>
      </c>
      <c r="V13" s="164"/>
      <c r="W13" s="164" t="s">
        <v>116</v>
      </c>
      <c r="X13" s="164"/>
      <c r="Y13" s="164"/>
      <c r="Z13" s="124" t="s">
        <v>832</v>
      </c>
      <c r="AA13" s="125" t="s">
        <v>634</v>
      </c>
      <c r="AB13" s="126" t="s">
        <v>670</v>
      </c>
      <c r="AC13" s="126" t="s">
        <v>243</v>
      </c>
      <c r="AD13" s="127" t="s">
        <v>587</v>
      </c>
      <c r="AE13" s="404"/>
      <c r="AG13" s="186"/>
      <c r="AH13" s="187"/>
      <c r="AI13" s="187"/>
      <c r="AJ13" s="188"/>
      <c r="AN13" s="29" t="s">
        <v>88</v>
      </c>
      <c r="AO13" s="92"/>
    </row>
    <row r="14" spans="2:41" s="29" customFormat="1" ht="179.25" customHeight="1" x14ac:dyDescent="0.2">
      <c r="B14" s="401"/>
      <c r="C14" s="155" t="s">
        <v>69</v>
      </c>
      <c r="D14" s="156" t="s">
        <v>719</v>
      </c>
      <c r="E14" s="45" t="s">
        <v>665</v>
      </c>
      <c r="F14" s="117" t="s">
        <v>986</v>
      </c>
      <c r="G14" s="117" t="s">
        <v>987</v>
      </c>
      <c r="H14" s="117" t="s">
        <v>760</v>
      </c>
      <c r="I14" s="117" t="s">
        <v>600</v>
      </c>
      <c r="J14" s="56">
        <v>2</v>
      </c>
      <c r="K14" s="56" t="str">
        <f t="shared" si="0"/>
        <v>MEDIO</v>
      </c>
      <c r="L14" s="159">
        <v>20</v>
      </c>
      <c r="M14" s="56" t="str">
        <f t="shared" si="1"/>
        <v>ALTO</v>
      </c>
      <c r="N14" s="88">
        <f t="shared" si="2"/>
        <v>40</v>
      </c>
      <c r="O14" s="117" t="s">
        <v>988</v>
      </c>
      <c r="P14" s="160" t="s">
        <v>834</v>
      </c>
      <c r="Q14" s="177">
        <v>1</v>
      </c>
      <c r="R14" s="56" t="str">
        <f t="shared" si="3"/>
        <v>BAJO</v>
      </c>
      <c r="S14" s="177">
        <v>20</v>
      </c>
      <c r="T14" s="56" t="str">
        <f t="shared" si="4"/>
        <v>ALTO</v>
      </c>
      <c r="U14" s="88">
        <f t="shared" si="5"/>
        <v>20</v>
      </c>
      <c r="V14" s="178"/>
      <c r="W14" s="178" t="s">
        <v>116</v>
      </c>
      <c r="X14" s="178"/>
      <c r="Y14" s="178"/>
      <c r="Z14" s="124" t="s">
        <v>667</v>
      </c>
      <c r="AA14" s="125" t="s">
        <v>634</v>
      </c>
      <c r="AB14" s="126" t="s">
        <v>265</v>
      </c>
      <c r="AC14" s="125" t="s">
        <v>243</v>
      </c>
      <c r="AD14" s="163" t="s">
        <v>668</v>
      </c>
      <c r="AE14" s="404"/>
      <c r="AG14" s="338"/>
      <c r="AH14" s="339"/>
      <c r="AI14" s="339"/>
      <c r="AJ14" s="340"/>
      <c r="AO14" s="92"/>
    </row>
    <row r="15" spans="2:41" s="29" customFormat="1" ht="176.25" customHeight="1" thickBot="1" x14ac:dyDescent="0.25">
      <c r="B15" s="402"/>
      <c r="C15" s="378" t="s">
        <v>69</v>
      </c>
      <c r="D15" s="81" t="s">
        <v>721</v>
      </c>
      <c r="E15" s="33" t="s">
        <v>588</v>
      </c>
      <c r="F15" s="214" t="s">
        <v>835</v>
      </c>
      <c r="G15" s="214" t="s">
        <v>836</v>
      </c>
      <c r="H15" s="214" t="s">
        <v>723</v>
      </c>
      <c r="I15" s="214" t="s">
        <v>724</v>
      </c>
      <c r="J15" s="57">
        <v>3</v>
      </c>
      <c r="K15" s="57" t="str">
        <f t="shared" si="0"/>
        <v>ALTO</v>
      </c>
      <c r="L15" s="57">
        <v>20</v>
      </c>
      <c r="M15" s="57" t="str">
        <f t="shared" si="1"/>
        <v>ALTO</v>
      </c>
      <c r="N15" s="90">
        <f t="shared" si="2"/>
        <v>60</v>
      </c>
      <c r="O15" s="350" t="s">
        <v>837</v>
      </c>
      <c r="P15" s="350" t="s">
        <v>838</v>
      </c>
      <c r="Q15" s="57">
        <v>3</v>
      </c>
      <c r="R15" s="215" t="str">
        <f t="shared" si="3"/>
        <v>ALTO</v>
      </c>
      <c r="S15" s="57">
        <v>10</v>
      </c>
      <c r="T15" s="215" t="str">
        <f t="shared" si="4"/>
        <v>MEDIO</v>
      </c>
      <c r="U15" s="90">
        <f t="shared" si="5"/>
        <v>30</v>
      </c>
      <c r="V15" s="59" t="s">
        <v>116</v>
      </c>
      <c r="W15" s="59"/>
      <c r="X15" s="59"/>
      <c r="Y15" s="59"/>
      <c r="Z15" s="128" t="s">
        <v>636</v>
      </c>
      <c r="AA15" s="129" t="s">
        <v>634</v>
      </c>
      <c r="AB15" s="129" t="s">
        <v>596</v>
      </c>
      <c r="AC15" s="129" t="s">
        <v>464</v>
      </c>
      <c r="AD15" s="128" t="s">
        <v>839</v>
      </c>
      <c r="AE15" s="405"/>
      <c r="AG15" s="186">
        <v>1</v>
      </c>
      <c r="AH15" s="187"/>
      <c r="AI15" s="187"/>
      <c r="AJ15" s="188">
        <f t="shared" si="6"/>
        <v>1</v>
      </c>
      <c r="AK15" s="29">
        <v>4</v>
      </c>
      <c r="AO15" s="92"/>
    </row>
    <row r="16" spans="2:41" s="29" customFormat="1" ht="31.5" customHeight="1" thickBot="1" x14ac:dyDescent="0.25">
      <c r="B16" s="24"/>
      <c r="C16" s="24"/>
      <c r="D16" s="24"/>
      <c r="E16" s="24"/>
      <c r="F16" s="24"/>
      <c r="G16" s="24"/>
      <c r="H16" s="24"/>
      <c r="I16" s="24"/>
      <c r="J16" s="24"/>
      <c r="K16" s="24"/>
      <c r="L16" s="24"/>
      <c r="M16" s="24"/>
      <c r="N16" s="368">
        <f>AVERAGE(N9:N15)</f>
        <v>37.142857142857146</v>
      </c>
      <c r="O16" s="24"/>
      <c r="P16" s="24"/>
      <c r="Q16" s="24"/>
      <c r="R16" s="24"/>
      <c r="S16" s="24"/>
      <c r="T16" s="24"/>
      <c r="U16" s="368">
        <f>AVERAGE(U9:U15)</f>
        <v>15.714285714285714</v>
      </c>
      <c r="V16" s="24"/>
      <c r="W16" s="24"/>
      <c r="X16" s="24"/>
      <c r="Y16" s="24"/>
      <c r="Z16" s="24"/>
      <c r="AA16" s="24"/>
      <c r="AB16" s="24"/>
      <c r="AC16" s="24"/>
      <c r="AD16" s="85"/>
      <c r="AE16" s="47"/>
      <c r="AG16" s="186"/>
      <c r="AH16" s="187">
        <v>1</v>
      </c>
      <c r="AI16" s="187"/>
      <c r="AJ16" s="188">
        <f t="shared" si="6"/>
        <v>1</v>
      </c>
      <c r="AO16" s="93"/>
    </row>
    <row r="17" spans="2:41" s="29" customFormat="1" ht="129" customHeight="1" thickBot="1" x14ac:dyDescent="0.25">
      <c r="B17" s="24"/>
      <c r="C17" s="24"/>
      <c r="D17" s="24"/>
      <c r="E17" s="24"/>
      <c r="F17" s="109"/>
      <c r="G17" s="109"/>
      <c r="H17" s="462" t="s">
        <v>209</v>
      </c>
      <c r="I17" s="463"/>
      <c r="J17" s="463"/>
      <c r="K17" s="464"/>
      <c r="L17" s="24"/>
      <c r="M17" s="406" t="s">
        <v>446</v>
      </c>
      <c r="N17" s="407"/>
      <c r="O17" s="407"/>
      <c r="P17" s="408"/>
      <c r="Q17" s="110"/>
      <c r="R17" s="24"/>
      <c r="S17" s="24"/>
      <c r="T17" s="24"/>
      <c r="U17" s="24"/>
      <c r="V17" s="24"/>
      <c r="W17" s="24"/>
      <c r="X17" s="24"/>
      <c r="Y17" s="24"/>
      <c r="Z17" s="24"/>
      <c r="AA17" s="24"/>
      <c r="AB17" s="24"/>
      <c r="AC17" s="24"/>
      <c r="AD17" s="24"/>
      <c r="AE17" s="42"/>
      <c r="AG17" s="186">
        <v>1</v>
      </c>
      <c r="AH17" s="187"/>
      <c r="AI17" s="187"/>
      <c r="AJ17" s="188">
        <f t="shared" si="6"/>
        <v>1</v>
      </c>
      <c r="AK17" s="29" t="s">
        <v>84</v>
      </c>
      <c r="AO17" s="448" t="s">
        <v>76</v>
      </c>
    </row>
    <row r="18" spans="2:41" s="29" customFormat="1" ht="46.5" customHeight="1" x14ac:dyDescent="0.2">
      <c r="B18" s="24"/>
      <c r="C18" s="24"/>
      <c r="D18" s="24"/>
      <c r="E18" s="24"/>
      <c r="F18" s="438"/>
      <c r="G18" s="438"/>
      <c r="H18" s="465" t="s">
        <v>139</v>
      </c>
      <c r="I18" s="466"/>
      <c r="J18" s="26">
        <f>COUNTIF(U9:U15,"=5")</f>
        <v>2</v>
      </c>
      <c r="K18" s="27">
        <f>J18*100%/J21</f>
        <v>0.2857142857142857</v>
      </c>
      <c r="L18" s="24"/>
      <c r="M18" s="485" t="s">
        <v>104</v>
      </c>
      <c r="N18" s="486"/>
      <c r="O18" s="486" t="s">
        <v>47</v>
      </c>
      <c r="P18" s="487"/>
      <c r="Q18" s="111"/>
      <c r="R18" s="24"/>
      <c r="S18" s="24"/>
      <c r="T18" s="24"/>
      <c r="U18" s="24"/>
      <c r="V18" s="24"/>
      <c r="W18" s="24"/>
      <c r="X18" s="24"/>
      <c r="Y18" s="24"/>
      <c r="Z18" s="24"/>
      <c r="AA18" s="24"/>
      <c r="AB18" s="24"/>
      <c r="AC18" s="24"/>
      <c r="AD18" s="24"/>
      <c r="AE18" s="42"/>
      <c r="AG18" s="186">
        <v>1</v>
      </c>
      <c r="AH18" s="187"/>
      <c r="AI18" s="187"/>
      <c r="AJ18" s="188">
        <f t="shared" si="6"/>
        <v>1</v>
      </c>
      <c r="AK18" s="29" t="s">
        <v>85</v>
      </c>
      <c r="AO18" s="449"/>
    </row>
    <row r="19" spans="2:41" s="29" customFormat="1" ht="46.5" customHeight="1" x14ac:dyDescent="0.2">
      <c r="B19" s="24"/>
      <c r="C19" s="24"/>
      <c r="D19" s="24"/>
      <c r="E19" s="24"/>
      <c r="F19" s="438"/>
      <c r="G19" s="438"/>
      <c r="H19" s="465" t="s">
        <v>140</v>
      </c>
      <c r="I19" s="466"/>
      <c r="J19" s="26">
        <f>COUNTIFS(U9:U15,"&gt;=6",U9:U15,"&lt;=30")</f>
        <v>5</v>
      </c>
      <c r="K19" s="27">
        <f>J19*100%/J21</f>
        <v>0.7142857142857143</v>
      </c>
      <c r="L19" s="24"/>
      <c r="M19" s="488" t="s">
        <v>105</v>
      </c>
      <c r="N19" s="489"/>
      <c r="O19" s="490" t="s">
        <v>48</v>
      </c>
      <c r="P19" s="491"/>
      <c r="Q19" s="111"/>
      <c r="R19" s="24"/>
      <c r="S19" s="24"/>
      <c r="T19" s="24"/>
      <c r="U19" s="24"/>
      <c r="V19" s="24"/>
      <c r="W19" s="24"/>
      <c r="X19" s="24"/>
      <c r="Y19" s="24"/>
      <c r="Z19" s="24"/>
      <c r="AA19" s="24"/>
      <c r="AB19" s="24"/>
      <c r="AC19" s="24"/>
      <c r="AD19" s="24"/>
      <c r="AE19" s="42"/>
      <c r="AG19" s="186">
        <v>1</v>
      </c>
      <c r="AH19" s="187"/>
      <c r="AI19" s="187"/>
      <c r="AJ19" s="188">
        <f t="shared" si="6"/>
        <v>1</v>
      </c>
      <c r="AO19" s="449"/>
    </row>
    <row r="20" spans="2:41" s="29" customFormat="1" ht="46.5" customHeight="1" thickBot="1" x14ac:dyDescent="0.25">
      <c r="B20" s="24"/>
      <c r="C20" s="24"/>
      <c r="D20" s="24"/>
      <c r="E20" s="24"/>
      <c r="F20" s="438"/>
      <c r="G20" s="438"/>
      <c r="H20" s="465" t="s">
        <v>141</v>
      </c>
      <c r="I20" s="466"/>
      <c r="J20" s="26">
        <f>COUNTIFS(U9:U15,"&gt;=40",U9:U15,"&lt;=60")</f>
        <v>0</v>
      </c>
      <c r="K20" s="27">
        <f>J20*100%/J21</f>
        <v>0</v>
      </c>
      <c r="L20" s="24"/>
      <c r="M20" s="482" t="s">
        <v>106</v>
      </c>
      <c r="N20" s="483"/>
      <c r="O20" s="483" t="s">
        <v>20</v>
      </c>
      <c r="P20" s="484"/>
      <c r="Q20" s="111"/>
      <c r="R20" s="24"/>
      <c r="S20" s="24"/>
      <c r="T20" s="24"/>
      <c r="U20" s="24"/>
      <c r="V20" s="24"/>
      <c r="W20" s="24"/>
      <c r="X20" s="24"/>
      <c r="Y20" s="24"/>
      <c r="Z20" s="24"/>
      <c r="AA20" s="24"/>
      <c r="AB20" s="24"/>
      <c r="AC20" s="24"/>
      <c r="AD20" s="24"/>
      <c r="AE20" s="42"/>
      <c r="AG20" s="186">
        <v>1</v>
      </c>
      <c r="AH20" s="187"/>
      <c r="AI20" s="187"/>
      <c r="AJ20" s="188">
        <f t="shared" si="6"/>
        <v>1</v>
      </c>
      <c r="AO20" s="449"/>
    </row>
    <row r="21" spans="2:41" s="29" customFormat="1" ht="46.5" customHeight="1" thickBot="1" x14ac:dyDescent="0.25">
      <c r="B21" s="24"/>
      <c r="C21" s="24"/>
      <c r="D21" s="24"/>
      <c r="E21" s="24"/>
      <c r="F21" s="447"/>
      <c r="G21" s="447"/>
      <c r="H21" s="472" t="s">
        <v>142</v>
      </c>
      <c r="I21" s="473"/>
      <c r="J21" s="185">
        <f>+J18+J20+J19</f>
        <v>7</v>
      </c>
      <c r="K21" s="137">
        <f>K18+K19+K20</f>
        <v>1</v>
      </c>
      <c r="L21" s="24"/>
      <c r="M21" s="24"/>
      <c r="N21" s="24"/>
      <c r="O21" s="24"/>
      <c r="P21" s="24"/>
      <c r="Q21" s="24"/>
      <c r="R21" s="24"/>
      <c r="S21" s="24"/>
      <c r="T21" s="24"/>
      <c r="U21" s="24"/>
      <c r="V21" s="24"/>
      <c r="W21" s="24"/>
      <c r="X21" s="24"/>
      <c r="Y21" s="24"/>
      <c r="Z21" s="24"/>
      <c r="AA21" s="24"/>
      <c r="AB21" s="24"/>
      <c r="AC21" s="24"/>
      <c r="AD21" s="24"/>
      <c r="AE21" s="42"/>
      <c r="AG21" s="186">
        <v>1</v>
      </c>
      <c r="AH21" s="187"/>
      <c r="AI21" s="187"/>
      <c r="AJ21" s="188">
        <f t="shared" si="6"/>
        <v>1</v>
      </c>
      <c r="AO21" s="449"/>
    </row>
    <row r="22" spans="2:41" s="29" customFormat="1" ht="75" customHeight="1" thickBot="1" x14ac:dyDescent="0.25">
      <c r="B22" s="24"/>
      <c r="C22" s="24"/>
      <c r="D22" s="24"/>
      <c r="E22" s="24"/>
      <c r="F22" s="24"/>
      <c r="G22" s="24"/>
      <c r="H22" s="470" t="s">
        <v>208</v>
      </c>
      <c r="I22" s="471"/>
      <c r="J22" s="226">
        <f>COUNTIF(Q9:Q15,"N/A")</f>
        <v>0</v>
      </c>
      <c r="K22" s="227">
        <f>IF(J22&gt;=1,"100%",0)</f>
        <v>0</v>
      </c>
      <c r="L22" s="24"/>
      <c r="M22" s="24"/>
      <c r="N22" s="24"/>
      <c r="O22" s="24"/>
      <c r="P22" s="24"/>
      <c r="Q22" s="24"/>
      <c r="R22" s="24"/>
      <c r="S22" s="24"/>
      <c r="T22" s="24"/>
      <c r="U22" s="24"/>
      <c r="V22" s="24"/>
      <c r="W22" s="24"/>
      <c r="X22" s="24"/>
      <c r="Y22" s="24"/>
      <c r="Z22" s="24"/>
      <c r="AA22" s="24"/>
      <c r="AB22" s="24"/>
      <c r="AC22" s="24"/>
      <c r="AD22" s="24"/>
      <c r="AE22" s="42"/>
      <c r="AG22" s="186"/>
      <c r="AH22" s="187">
        <v>1</v>
      </c>
      <c r="AI22" s="187"/>
      <c r="AJ22" s="188">
        <f t="shared" si="6"/>
        <v>1</v>
      </c>
      <c r="AO22" s="449"/>
    </row>
    <row r="23" spans="2:41" s="29" customFormat="1" ht="97.5" customHeight="1" x14ac:dyDescent="0.2">
      <c r="B23" s="24"/>
      <c r="C23" s="82"/>
      <c r="D23" s="82"/>
      <c r="E23" s="82"/>
      <c r="F23" s="82"/>
      <c r="G23" s="83"/>
      <c r="H23" s="83"/>
      <c r="I23" s="82"/>
      <c r="J23" s="24"/>
      <c r="K23" s="24"/>
      <c r="L23" s="24"/>
      <c r="M23" s="24"/>
      <c r="N23" s="24"/>
      <c r="O23" s="24"/>
      <c r="P23" s="24"/>
      <c r="Q23" s="24"/>
      <c r="R23" s="24"/>
      <c r="S23" s="24"/>
      <c r="T23" s="24"/>
      <c r="U23" s="24"/>
      <c r="V23" s="24"/>
      <c r="W23" s="24"/>
      <c r="X23" s="24"/>
      <c r="Y23" s="24"/>
      <c r="Z23" s="24"/>
      <c r="AA23" s="24"/>
      <c r="AB23" s="24"/>
      <c r="AC23" s="24"/>
      <c r="AD23" s="24"/>
      <c r="AE23" s="42"/>
      <c r="AG23" s="186"/>
      <c r="AH23" s="187">
        <v>1</v>
      </c>
      <c r="AI23" s="187"/>
      <c r="AJ23" s="188">
        <f t="shared" si="6"/>
        <v>1</v>
      </c>
      <c r="AO23" s="449"/>
    </row>
    <row r="24" spans="2:41" s="29" customFormat="1" ht="107.25" customHeight="1" thickBot="1" x14ac:dyDescent="0.25">
      <c r="B24" s="24"/>
      <c r="C24" s="82"/>
      <c r="D24" s="82"/>
      <c r="E24" s="82"/>
      <c r="F24" s="83"/>
      <c r="G24" s="83"/>
      <c r="H24" s="83"/>
      <c r="I24" s="83"/>
      <c r="J24" s="24"/>
      <c r="K24" s="24"/>
      <c r="L24" s="24"/>
      <c r="M24" s="24"/>
      <c r="N24" s="24"/>
      <c r="O24" s="24"/>
      <c r="P24" s="24"/>
      <c r="Q24" s="24"/>
      <c r="R24" s="24"/>
      <c r="S24" s="24"/>
      <c r="T24" s="24"/>
      <c r="U24" s="24"/>
      <c r="V24" s="24"/>
      <c r="W24" s="24"/>
      <c r="X24" s="24"/>
      <c r="Y24" s="24"/>
      <c r="Z24" s="24"/>
      <c r="AA24" s="24"/>
      <c r="AB24" s="24"/>
      <c r="AC24" s="24"/>
      <c r="AD24" s="24"/>
      <c r="AE24" s="42"/>
      <c r="AG24" s="186">
        <v>1</v>
      </c>
      <c r="AH24" s="187"/>
      <c r="AI24" s="187"/>
      <c r="AJ24" s="188">
        <f t="shared" si="6"/>
        <v>1</v>
      </c>
      <c r="AO24" s="450"/>
    </row>
    <row r="25" spans="2:41" s="28" customFormat="1" ht="80.25" customHeight="1" x14ac:dyDescent="0.2">
      <c r="B25" s="24"/>
      <c r="C25" s="82"/>
      <c r="D25" s="82"/>
      <c r="E25" s="84"/>
      <c r="F25" s="84"/>
      <c r="G25" s="84"/>
      <c r="H25" s="84"/>
      <c r="I25" s="84"/>
      <c r="J25" s="24"/>
      <c r="K25" s="24"/>
      <c r="L25" s="24"/>
      <c r="M25" s="24"/>
      <c r="N25" s="24"/>
      <c r="O25" s="24"/>
      <c r="P25" s="24"/>
      <c r="Q25" s="24"/>
      <c r="R25" s="24"/>
      <c r="S25" s="24"/>
      <c r="T25" s="24"/>
      <c r="U25" s="24"/>
      <c r="V25" s="24"/>
      <c r="W25" s="24"/>
      <c r="X25" s="24"/>
      <c r="Y25" s="24"/>
      <c r="Z25" s="24"/>
      <c r="AA25" s="24"/>
      <c r="AB25" s="24"/>
      <c r="AC25" s="24"/>
      <c r="AD25" s="24"/>
      <c r="AE25" s="42"/>
      <c r="AG25" s="39"/>
      <c r="AH25" s="49"/>
      <c r="AI25" s="49"/>
      <c r="AJ25" s="40"/>
      <c r="AO25" s="448" t="s">
        <v>77</v>
      </c>
    </row>
    <row r="26" spans="2:41" s="29" customFormat="1" ht="101.25" customHeight="1" x14ac:dyDescent="0.2">
      <c r="B26" s="24"/>
      <c r="C26" s="83"/>
      <c r="D26" s="83"/>
      <c r="E26" s="48"/>
      <c r="F26" s="48"/>
      <c r="G26" s="48"/>
      <c r="H26" s="48"/>
      <c r="I26" s="48"/>
      <c r="J26" s="24"/>
      <c r="K26" s="24"/>
      <c r="L26" s="24"/>
      <c r="M26" s="24"/>
      <c r="N26" s="24"/>
      <c r="O26" s="24"/>
      <c r="P26" s="24"/>
      <c r="Q26" s="24"/>
      <c r="R26" s="24"/>
      <c r="S26" s="24"/>
      <c r="T26" s="24"/>
      <c r="U26" s="24"/>
      <c r="V26" s="24"/>
      <c r="W26" s="24"/>
      <c r="X26" s="24"/>
      <c r="Y26" s="24"/>
      <c r="Z26" s="24"/>
      <c r="AA26" s="24"/>
      <c r="AB26" s="24"/>
      <c r="AC26" s="24"/>
      <c r="AD26" s="24"/>
      <c r="AE26" s="42"/>
      <c r="AG26" s="186">
        <v>1</v>
      </c>
      <c r="AH26" s="187"/>
      <c r="AI26" s="187"/>
      <c r="AJ26" s="188">
        <f t="shared" si="6"/>
        <v>1</v>
      </c>
      <c r="AO26" s="449"/>
    </row>
    <row r="27" spans="2:41" s="29" customFormat="1" ht="109.5" customHeight="1" x14ac:dyDescent="0.2">
      <c r="B27" s="24"/>
      <c r="C27" s="83"/>
      <c r="D27" s="83"/>
      <c r="I27" s="24"/>
      <c r="J27" s="24"/>
      <c r="K27" s="24"/>
      <c r="L27" s="24"/>
      <c r="M27" s="24"/>
      <c r="N27" s="24"/>
      <c r="O27" s="24"/>
      <c r="P27" s="24"/>
      <c r="Q27" s="24"/>
      <c r="R27" s="24"/>
      <c r="S27" s="24"/>
      <c r="T27" s="24"/>
      <c r="U27" s="24"/>
      <c r="V27" s="24"/>
      <c r="W27" s="24"/>
      <c r="X27" s="24"/>
      <c r="Y27" s="24"/>
      <c r="Z27" s="24"/>
      <c r="AA27" s="24"/>
      <c r="AB27" s="24"/>
      <c r="AC27" s="24"/>
      <c r="AD27" s="24"/>
      <c r="AE27" s="42"/>
      <c r="AG27" s="186"/>
      <c r="AH27" s="187">
        <v>1</v>
      </c>
      <c r="AI27" s="187"/>
      <c r="AJ27" s="188">
        <f t="shared" si="6"/>
        <v>1</v>
      </c>
      <c r="AO27" s="449"/>
    </row>
    <row r="28" spans="2:41" s="29" customFormat="1" ht="67.5" customHeight="1" x14ac:dyDescent="0.2">
      <c r="B28" s="24"/>
      <c r="C28" s="83"/>
      <c r="D28" s="83"/>
      <c r="H28" s="24"/>
      <c r="I28" s="24"/>
      <c r="J28" s="24"/>
      <c r="K28" s="24"/>
      <c r="L28" s="24"/>
      <c r="M28" s="24"/>
      <c r="N28" s="24"/>
      <c r="O28" s="24"/>
      <c r="P28" s="24"/>
      <c r="Q28" s="24"/>
      <c r="R28" s="24"/>
      <c r="S28" s="24"/>
      <c r="T28" s="24"/>
      <c r="U28" s="24"/>
      <c r="V28" s="24"/>
      <c r="W28" s="24"/>
      <c r="X28" s="24"/>
      <c r="Y28" s="24"/>
      <c r="Z28" s="24"/>
      <c r="AA28" s="24"/>
      <c r="AB28" s="24"/>
      <c r="AC28" s="24"/>
      <c r="AD28" s="24"/>
      <c r="AE28" s="42"/>
      <c r="AG28" s="186"/>
      <c r="AH28" s="187">
        <v>1</v>
      </c>
      <c r="AI28" s="187"/>
      <c r="AJ28" s="188">
        <v>1</v>
      </c>
      <c r="AO28" s="449"/>
    </row>
    <row r="29" spans="2:41" s="29" customFormat="1" ht="83.25" customHeight="1" x14ac:dyDescent="0.2">
      <c r="B29" s="24"/>
      <c r="C29" s="82"/>
      <c r="D29" s="82"/>
      <c r="G29" s="24"/>
      <c r="H29" s="24"/>
      <c r="I29" s="24"/>
      <c r="J29" s="24"/>
      <c r="K29" s="24"/>
      <c r="L29" s="24"/>
      <c r="M29" s="24"/>
      <c r="N29" s="24"/>
      <c r="O29" s="24"/>
      <c r="P29" s="24"/>
      <c r="Q29" s="24"/>
      <c r="R29" s="24"/>
      <c r="S29" s="24"/>
      <c r="T29" s="24"/>
      <c r="U29" s="24"/>
      <c r="V29" s="24"/>
      <c r="W29" s="24"/>
      <c r="X29" s="24"/>
      <c r="Y29" s="24"/>
      <c r="Z29" s="24"/>
      <c r="AA29" s="24"/>
      <c r="AB29" s="24"/>
      <c r="AC29" s="24"/>
      <c r="AD29" s="24"/>
      <c r="AE29" s="42"/>
      <c r="AG29" s="186"/>
      <c r="AH29" s="187">
        <v>1</v>
      </c>
      <c r="AI29" s="187"/>
      <c r="AJ29" s="188">
        <v>1</v>
      </c>
      <c r="AO29" s="449"/>
    </row>
    <row r="30" spans="2:41" s="29" customFormat="1" ht="75.75" customHeight="1" thickBot="1" x14ac:dyDescent="0.25">
      <c r="B30" s="24"/>
      <c r="C30" s="82"/>
      <c r="D30" s="82"/>
      <c r="G30" s="24"/>
      <c r="H30" s="24"/>
      <c r="I30" s="24"/>
      <c r="J30" s="24"/>
      <c r="K30" s="24"/>
      <c r="L30" s="24"/>
      <c r="M30" s="24"/>
      <c r="N30" s="24"/>
      <c r="O30" s="24"/>
      <c r="P30" s="24"/>
      <c r="Q30" s="24"/>
      <c r="R30" s="24"/>
      <c r="S30" s="24"/>
      <c r="T30" s="24"/>
      <c r="U30" s="24"/>
      <c r="V30" s="24"/>
      <c r="W30" s="24"/>
      <c r="X30" s="24"/>
      <c r="Y30" s="24"/>
      <c r="Z30" s="24"/>
      <c r="AA30" s="24"/>
      <c r="AB30" s="24"/>
      <c r="AC30" s="24"/>
      <c r="AD30" s="24"/>
      <c r="AE30" s="42"/>
      <c r="AG30" s="186"/>
      <c r="AH30" s="187"/>
      <c r="AI30" s="187"/>
      <c r="AJ30" s="188"/>
      <c r="AO30" s="450"/>
    </row>
    <row r="31" spans="2:41" s="29" customFormat="1" ht="73.5" customHeight="1" x14ac:dyDescent="0.2">
      <c r="B31" s="24"/>
      <c r="C31" s="82"/>
      <c r="D31" s="82"/>
      <c r="F31" s="24"/>
      <c r="G31" s="24"/>
      <c r="H31" s="24"/>
      <c r="I31" s="24"/>
      <c r="J31" s="24"/>
      <c r="K31" s="24"/>
      <c r="L31" s="24"/>
      <c r="M31" s="24"/>
      <c r="N31" s="24"/>
      <c r="O31" s="24"/>
      <c r="P31" s="24"/>
      <c r="Q31" s="24"/>
      <c r="R31" s="24"/>
      <c r="S31" s="24"/>
      <c r="T31" s="24"/>
      <c r="U31" s="24"/>
      <c r="V31" s="24"/>
      <c r="W31" s="24"/>
      <c r="X31" s="24"/>
      <c r="Y31" s="24"/>
      <c r="Z31" s="24"/>
      <c r="AA31" s="24"/>
      <c r="AB31" s="24"/>
      <c r="AC31" s="24"/>
      <c r="AD31" s="24"/>
      <c r="AE31" s="42"/>
      <c r="AG31" s="186"/>
      <c r="AH31" s="187">
        <v>1</v>
      </c>
      <c r="AI31" s="187"/>
      <c r="AJ31" s="188">
        <v>1</v>
      </c>
      <c r="AO31" s="448" t="s">
        <v>78</v>
      </c>
    </row>
    <row r="32" spans="2:41" s="29" customFormat="1" ht="58.5" customHeight="1" x14ac:dyDescent="0.2">
      <c r="B32" s="24"/>
      <c r="C32" s="83"/>
      <c r="D32" s="83"/>
      <c r="J32" s="24"/>
      <c r="K32" s="24"/>
      <c r="L32" s="24"/>
      <c r="M32" s="24"/>
      <c r="N32" s="24"/>
      <c r="O32" s="24"/>
      <c r="P32" s="24"/>
      <c r="Q32" s="24"/>
      <c r="R32" s="24"/>
      <c r="S32" s="24"/>
      <c r="T32" s="24"/>
      <c r="U32" s="24"/>
      <c r="V32" s="24"/>
      <c r="W32" s="24"/>
      <c r="X32" s="24"/>
      <c r="Y32" s="24"/>
      <c r="Z32" s="24"/>
      <c r="AA32" s="24"/>
      <c r="AB32" s="24"/>
      <c r="AC32" s="24"/>
      <c r="AD32" s="24"/>
      <c r="AE32" s="42"/>
      <c r="AG32" s="186">
        <v>1</v>
      </c>
      <c r="AH32" s="187"/>
      <c r="AI32" s="187"/>
      <c r="AJ32" s="188">
        <v>1</v>
      </c>
      <c r="AO32" s="449"/>
    </row>
    <row r="33" spans="2:41" s="29" customFormat="1" ht="73.5" customHeight="1" x14ac:dyDescent="0.2">
      <c r="B33" s="24"/>
      <c r="C33" s="83"/>
      <c r="D33" s="83"/>
      <c r="E33" s="24"/>
      <c r="F33" s="24"/>
      <c r="G33" s="24"/>
      <c r="H33" s="24"/>
      <c r="I33" s="24"/>
      <c r="J33" s="24"/>
      <c r="K33" s="24"/>
      <c r="L33" s="24"/>
      <c r="M33" s="24"/>
      <c r="N33" s="24"/>
      <c r="O33" s="24"/>
      <c r="P33" s="24"/>
      <c r="Q33" s="24"/>
      <c r="R33" s="24"/>
      <c r="S33" s="24"/>
      <c r="T33" s="24"/>
      <c r="U33" s="24"/>
      <c r="V33" s="24"/>
      <c r="W33" s="24"/>
      <c r="X33" s="24"/>
      <c r="Y33" s="24"/>
      <c r="Z33" s="24"/>
      <c r="AA33" s="24"/>
      <c r="AB33" s="24"/>
      <c r="AC33" s="24"/>
      <c r="AD33" s="24"/>
      <c r="AE33" s="42"/>
      <c r="AG33" s="186"/>
      <c r="AH33" s="187">
        <v>1</v>
      </c>
      <c r="AI33" s="187"/>
      <c r="AJ33" s="188">
        <v>1</v>
      </c>
      <c r="AO33" s="449"/>
    </row>
    <row r="34" spans="2:41" s="29" customFormat="1" ht="102" customHeight="1" thickBot="1" x14ac:dyDescent="0.25">
      <c r="B34" s="24"/>
      <c r="C34" s="83"/>
      <c r="D34" s="83"/>
      <c r="E34" s="24"/>
      <c r="F34" s="24"/>
      <c r="G34" s="24"/>
      <c r="H34" s="24"/>
      <c r="I34" s="24"/>
      <c r="J34" s="24"/>
      <c r="K34" s="24"/>
      <c r="L34" s="24"/>
      <c r="M34" s="24"/>
      <c r="N34" s="24"/>
      <c r="O34" s="24"/>
      <c r="P34" s="24"/>
      <c r="Q34" s="24"/>
      <c r="R34" s="24"/>
      <c r="S34" s="24"/>
      <c r="T34" s="24"/>
      <c r="U34" s="24"/>
      <c r="V34" s="24"/>
      <c r="W34" s="24"/>
      <c r="X34" s="24"/>
      <c r="Y34" s="24"/>
      <c r="Z34" s="24"/>
      <c r="AA34" s="24"/>
      <c r="AB34" s="24"/>
      <c r="AC34" s="24"/>
      <c r="AD34" s="24"/>
      <c r="AE34" s="42"/>
      <c r="AG34" s="186">
        <v>1</v>
      </c>
      <c r="AH34" s="187"/>
      <c r="AI34" s="187"/>
      <c r="AJ34" s="188">
        <v>1</v>
      </c>
      <c r="AO34" s="449"/>
    </row>
    <row r="35" spans="2:41" s="29" customFormat="1" ht="86.25" customHeight="1" x14ac:dyDescent="0.2">
      <c r="B35" s="24"/>
      <c r="C35" s="83"/>
      <c r="D35" s="83"/>
      <c r="E35" s="24"/>
      <c r="F35" s="24"/>
      <c r="G35" s="24"/>
      <c r="H35" s="24"/>
      <c r="I35" s="24"/>
      <c r="J35" s="24"/>
      <c r="K35" s="24"/>
      <c r="L35" s="24"/>
      <c r="M35" s="24"/>
      <c r="N35" s="24"/>
      <c r="O35" s="24"/>
      <c r="P35" s="24"/>
      <c r="Q35" s="24"/>
      <c r="R35" s="24"/>
      <c r="S35" s="24"/>
      <c r="T35" s="24"/>
      <c r="U35" s="24"/>
      <c r="V35" s="24"/>
      <c r="W35" s="24"/>
      <c r="X35" s="24"/>
      <c r="Y35" s="24"/>
      <c r="Z35" s="24"/>
      <c r="AA35" s="24"/>
      <c r="AB35" s="24"/>
      <c r="AC35" s="24"/>
      <c r="AD35" s="24"/>
      <c r="AE35" s="42"/>
      <c r="AG35" s="186"/>
      <c r="AH35" s="187">
        <v>1</v>
      </c>
      <c r="AI35" s="187"/>
      <c r="AJ35" s="188">
        <v>1</v>
      </c>
      <c r="AO35" s="451" t="s">
        <v>79</v>
      </c>
    </row>
    <row r="36" spans="2:41" s="29" customFormat="1" ht="70.5" customHeight="1" thickBot="1" x14ac:dyDescent="0.25">
      <c r="B36" s="24"/>
      <c r="C36" s="83"/>
      <c r="D36" s="83"/>
      <c r="E36" s="24"/>
      <c r="F36" s="24"/>
      <c r="G36" s="24"/>
      <c r="H36" s="24"/>
      <c r="I36" s="24"/>
      <c r="J36" s="24"/>
      <c r="K36" s="24"/>
      <c r="L36" s="24"/>
      <c r="M36" s="24"/>
      <c r="N36" s="24"/>
      <c r="O36" s="24"/>
      <c r="P36" s="24"/>
      <c r="Q36" s="24"/>
      <c r="R36" s="24"/>
      <c r="S36" s="24"/>
      <c r="T36" s="24"/>
      <c r="U36" s="24"/>
      <c r="V36" s="24"/>
      <c r="W36" s="24"/>
      <c r="X36" s="24"/>
      <c r="Y36" s="24"/>
      <c r="Z36" s="24"/>
      <c r="AA36" s="24"/>
      <c r="AB36" s="24"/>
      <c r="AC36" s="24"/>
      <c r="AD36" s="24"/>
      <c r="AE36" s="42"/>
      <c r="AG36" s="186">
        <v>1</v>
      </c>
      <c r="AH36" s="187"/>
      <c r="AI36" s="187"/>
      <c r="AJ36" s="188">
        <v>1</v>
      </c>
      <c r="AO36" s="452"/>
    </row>
    <row r="37" spans="2:41" s="29" customFormat="1" ht="62.25" customHeight="1" x14ac:dyDescent="0.2">
      <c r="B37" s="24"/>
      <c r="C37" s="83"/>
      <c r="D37" s="83"/>
      <c r="E37" s="24"/>
      <c r="F37" s="24"/>
      <c r="G37" s="24"/>
      <c r="H37" s="24"/>
      <c r="I37" s="24"/>
      <c r="J37" s="24"/>
      <c r="K37" s="24"/>
      <c r="L37" s="24"/>
      <c r="M37" s="24"/>
      <c r="N37" s="24"/>
      <c r="O37" s="24"/>
      <c r="P37" s="24"/>
      <c r="Q37" s="24"/>
      <c r="R37" s="24"/>
      <c r="S37" s="24"/>
      <c r="T37" s="24"/>
      <c r="U37" s="24"/>
      <c r="V37" s="24"/>
      <c r="W37" s="24"/>
      <c r="X37" s="24"/>
      <c r="Y37" s="24"/>
      <c r="Z37" s="24"/>
      <c r="AA37" s="24"/>
      <c r="AB37" s="24"/>
      <c r="AC37" s="24"/>
      <c r="AD37" s="24"/>
      <c r="AE37" s="42"/>
      <c r="AG37" s="186">
        <v>1</v>
      </c>
      <c r="AH37" s="187"/>
      <c r="AI37" s="187"/>
      <c r="AJ37" s="188">
        <v>1</v>
      </c>
      <c r="AO37" s="451" t="s">
        <v>80</v>
      </c>
    </row>
    <row r="38" spans="2:41" s="29" customFormat="1" ht="45.75" customHeight="1" x14ac:dyDescent="0.2">
      <c r="B38" s="24"/>
      <c r="C38" s="83"/>
      <c r="D38" s="83"/>
      <c r="E38" s="24"/>
      <c r="F38" s="24"/>
      <c r="G38" s="24"/>
      <c r="H38" s="24"/>
      <c r="I38" s="24"/>
      <c r="J38" s="24"/>
      <c r="K38" s="24"/>
      <c r="L38" s="24"/>
      <c r="M38" s="24"/>
      <c r="N38" s="24"/>
      <c r="O38" s="24"/>
      <c r="P38" s="24"/>
      <c r="Q38" s="24"/>
      <c r="R38" s="24"/>
      <c r="S38" s="24"/>
      <c r="T38" s="24"/>
      <c r="U38" s="24"/>
      <c r="V38" s="24"/>
      <c r="W38" s="24"/>
      <c r="X38" s="24"/>
      <c r="Y38" s="24"/>
      <c r="Z38" s="24"/>
      <c r="AA38" s="24"/>
      <c r="AB38" s="24"/>
      <c r="AC38" s="24"/>
      <c r="AD38" s="24"/>
      <c r="AE38" s="42"/>
      <c r="AG38" s="186"/>
      <c r="AH38" s="187"/>
      <c r="AI38" s="187">
        <v>1</v>
      </c>
      <c r="AJ38" s="188">
        <v>1</v>
      </c>
      <c r="AO38" s="453"/>
    </row>
    <row r="39" spans="2:41" s="29" customFormat="1" ht="43.5" customHeight="1" x14ac:dyDescent="0.2">
      <c r="B39" s="24"/>
      <c r="C39" s="83"/>
      <c r="D39" s="83"/>
      <c r="E39" s="24"/>
      <c r="F39" s="24"/>
      <c r="G39" s="24"/>
      <c r="H39" s="24"/>
      <c r="I39" s="24"/>
      <c r="J39" s="24"/>
      <c r="K39" s="24"/>
      <c r="L39" s="24"/>
      <c r="M39" s="24"/>
      <c r="N39" s="24"/>
      <c r="O39" s="24"/>
      <c r="P39" s="24"/>
      <c r="Q39" s="24"/>
      <c r="R39" s="24"/>
      <c r="S39" s="24"/>
      <c r="T39" s="24"/>
      <c r="U39" s="24"/>
      <c r="V39" s="24"/>
      <c r="W39" s="24"/>
      <c r="X39" s="24"/>
      <c r="Y39" s="24"/>
      <c r="Z39" s="24"/>
      <c r="AA39" s="24"/>
      <c r="AB39" s="24"/>
      <c r="AC39" s="24"/>
      <c r="AD39" s="24"/>
      <c r="AE39" s="42"/>
      <c r="AG39" s="186">
        <v>1</v>
      </c>
      <c r="AH39" s="187"/>
      <c r="AI39" s="187"/>
      <c r="AJ39" s="188">
        <v>1</v>
      </c>
      <c r="AO39" s="453"/>
    </row>
    <row r="40" spans="2:41" s="29" customFormat="1" ht="61.5" customHeight="1" thickBot="1" x14ac:dyDescent="0.25">
      <c r="B40" s="24"/>
      <c r="C40" s="83"/>
      <c r="D40" s="83"/>
      <c r="J40" s="24"/>
      <c r="K40" s="24"/>
      <c r="L40" s="24"/>
      <c r="M40" s="24"/>
      <c r="N40" s="24"/>
      <c r="O40" s="24"/>
      <c r="P40" s="24"/>
      <c r="Q40" s="24"/>
      <c r="R40" s="24"/>
      <c r="S40" s="24"/>
      <c r="T40" s="24"/>
      <c r="U40" s="24"/>
      <c r="V40" s="24"/>
      <c r="W40" s="24"/>
      <c r="X40" s="24"/>
      <c r="Y40" s="24"/>
      <c r="Z40" s="24"/>
      <c r="AA40" s="24"/>
      <c r="AB40" s="24"/>
      <c r="AC40" s="24"/>
      <c r="AD40" s="24"/>
      <c r="AE40" s="42"/>
      <c r="AG40" s="454"/>
      <c r="AH40" s="455"/>
      <c r="AI40" s="455">
        <v>1</v>
      </c>
      <c r="AJ40" s="456">
        <v>1</v>
      </c>
      <c r="AO40" s="452"/>
    </row>
    <row r="41" spans="2:41" s="29" customFormat="1" ht="70.5" customHeight="1" x14ac:dyDescent="0.2">
      <c r="B41" s="24"/>
      <c r="C41" s="83"/>
      <c r="D41" s="83"/>
      <c r="E41" s="24"/>
      <c r="F41" s="24"/>
      <c r="G41" s="24"/>
      <c r="H41" s="24"/>
      <c r="I41" s="24"/>
      <c r="J41" s="24"/>
      <c r="K41" s="24"/>
      <c r="L41" s="24"/>
      <c r="M41" s="24"/>
      <c r="N41" s="24"/>
      <c r="O41" s="24"/>
      <c r="P41" s="24"/>
      <c r="Q41" s="24"/>
      <c r="R41" s="24"/>
      <c r="S41" s="24"/>
      <c r="T41" s="24"/>
      <c r="U41" s="24"/>
      <c r="V41" s="24"/>
      <c r="W41" s="24"/>
      <c r="X41" s="24"/>
      <c r="Y41" s="24"/>
      <c r="Z41" s="24"/>
      <c r="AA41" s="24"/>
      <c r="AB41" s="24"/>
      <c r="AC41" s="24"/>
      <c r="AD41" s="24"/>
      <c r="AE41" s="42"/>
      <c r="AG41" s="454"/>
      <c r="AH41" s="455"/>
      <c r="AI41" s="455"/>
      <c r="AJ41" s="456"/>
      <c r="AO41" s="448" t="s">
        <v>81</v>
      </c>
    </row>
    <row r="42" spans="2:41" s="29" customFormat="1" ht="59.25" customHeight="1" x14ac:dyDescent="0.2">
      <c r="B42" s="24"/>
      <c r="C42" s="83"/>
      <c r="D42" s="83"/>
      <c r="E42" s="24"/>
      <c r="F42" s="24"/>
      <c r="G42" s="24"/>
      <c r="H42" s="24"/>
      <c r="I42" s="24"/>
      <c r="J42" s="24"/>
      <c r="K42" s="24"/>
      <c r="L42" s="24"/>
      <c r="M42" s="24"/>
      <c r="N42" s="24"/>
      <c r="O42" s="24"/>
      <c r="P42" s="24"/>
      <c r="Q42" s="24"/>
      <c r="R42" s="24"/>
      <c r="S42" s="24"/>
      <c r="T42" s="24"/>
      <c r="U42" s="24"/>
      <c r="V42" s="24"/>
      <c r="W42" s="24"/>
      <c r="X42" s="24"/>
      <c r="Y42" s="24"/>
      <c r="Z42" s="24"/>
      <c r="AA42" s="24"/>
      <c r="AB42" s="24"/>
      <c r="AC42" s="24"/>
      <c r="AD42" s="24"/>
      <c r="AE42" s="42"/>
      <c r="AG42" s="186">
        <v>1</v>
      </c>
      <c r="AH42" s="187"/>
      <c r="AI42" s="187"/>
      <c r="AJ42" s="188">
        <v>1</v>
      </c>
      <c r="AO42" s="449"/>
    </row>
    <row r="43" spans="2:41" s="29" customFormat="1" ht="122.25" customHeight="1" x14ac:dyDescent="0.2">
      <c r="B43" s="24"/>
      <c r="C43" s="83"/>
      <c r="D43" s="83"/>
      <c r="E43" s="24"/>
      <c r="F43" s="24"/>
      <c r="G43" s="24"/>
      <c r="H43" s="24"/>
      <c r="I43" s="24"/>
      <c r="J43" s="24"/>
      <c r="K43" s="24"/>
      <c r="L43" s="24"/>
      <c r="M43" s="24"/>
      <c r="N43" s="24"/>
      <c r="O43" s="24"/>
      <c r="P43" s="24"/>
      <c r="Q43" s="24"/>
      <c r="R43" s="24"/>
      <c r="S43" s="24"/>
      <c r="T43" s="24"/>
      <c r="U43" s="24"/>
      <c r="V43" s="24"/>
      <c r="W43" s="24"/>
      <c r="X43" s="24"/>
      <c r="Y43" s="24"/>
      <c r="Z43" s="24"/>
      <c r="AA43" s="24"/>
      <c r="AB43" s="24"/>
      <c r="AC43" s="24"/>
      <c r="AD43" s="24"/>
      <c r="AE43" s="42"/>
      <c r="AG43" s="186">
        <v>1</v>
      </c>
      <c r="AH43" s="187"/>
      <c r="AI43" s="187"/>
      <c r="AJ43" s="188">
        <v>1</v>
      </c>
      <c r="AO43" s="449"/>
    </row>
    <row r="44" spans="2:41" s="29" customFormat="1" ht="97.5" customHeight="1" x14ac:dyDescent="0.2">
      <c r="B44" s="24"/>
      <c r="C44" s="83"/>
      <c r="D44" s="83"/>
      <c r="E44" s="24"/>
      <c r="F44" s="24"/>
      <c r="G44" s="24"/>
      <c r="H44" s="24"/>
      <c r="I44" s="24"/>
      <c r="J44" s="24"/>
      <c r="K44" s="24"/>
      <c r="L44" s="24"/>
      <c r="M44" s="24"/>
      <c r="N44" s="24"/>
      <c r="O44" s="24"/>
      <c r="P44" s="24"/>
      <c r="Q44" s="24"/>
      <c r="R44" s="24"/>
      <c r="S44" s="24"/>
      <c r="T44" s="24"/>
      <c r="U44" s="24"/>
      <c r="V44" s="24"/>
      <c r="W44" s="24"/>
      <c r="X44" s="24"/>
      <c r="Y44" s="24"/>
      <c r="Z44" s="24"/>
      <c r="AA44" s="24"/>
      <c r="AB44" s="24"/>
      <c r="AC44" s="24"/>
      <c r="AD44" s="24"/>
      <c r="AE44" s="42"/>
      <c r="AG44" s="186">
        <v>1</v>
      </c>
      <c r="AH44" s="187"/>
      <c r="AI44" s="187"/>
      <c r="AJ44" s="188">
        <v>1</v>
      </c>
      <c r="AO44" s="449"/>
    </row>
    <row r="45" spans="2:41" s="29" customFormat="1" ht="49.5" customHeight="1" thickBot="1" x14ac:dyDescent="0.25">
      <c r="B45" s="24"/>
      <c r="C45" s="83"/>
      <c r="D45" s="83"/>
      <c r="E45" s="24"/>
      <c r="F45" s="24"/>
      <c r="G45" s="24"/>
      <c r="H45" s="24"/>
      <c r="I45" s="24"/>
      <c r="J45" s="24"/>
      <c r="K45" s="24"/>
      <c r="L45" s="24"/>
      <c r="M45" s="24"/>
      <c r="N45" s="24"/>
      <c r="O45" s="24"/>
      <c r="P45" s="24"/>
      <c r="Q45" s="24"/>
      <c r="R45" s="24"/>
      <c r="S45" s="24"/>
      <c r="T45" s="24"/>
      <c r="U45" s="24"/>
      <c r="V45" s="24"/>
      <c r="W45" s="24"/>
      <c r="X45" s="24"/>
      <c r="Y45" s="24"/>
      <c r="Z45" s="24"/>
      <c r="AA45" s="24"/>
      <c r="AB45" s="24"/>
      <c r="AC45" s="24"/>
      <c r="AD45" s="24"/>
      <c r="AE45" s="42"/>
      <c r="AG45" s="186">
        <v>1</v>
      </c>
      <c r="AH45" s="187"/>
      <c r="AI45" s="187"/>
      <c r="AJ45" s="188">
        <v>1</v>
      </c>
      <c r="AO45" s="450"/>
    </row>
    <row r="46" spans="2:41" s="29" customFormat="1" ht="61.5" customHeight="1" x14ac:dyDescent="0.2">
      <c r="B46" s="24"/>
      <c r="C46" s="83"/>
      <c r="D46" s="83"/>
      <c r="E46" s="24"/>
      <c r="F46" s="24"/>
      <c r="G46" s="24"/>
      <c r="H46" s="24"/>
      <c r="I46" s="24"/>
      <c r="J46" s="24"/>
      <c r="K46" s="24"/>
      <c r="L46" s="24"/>
      <c r="M46" s="24"/>
      <c r="N46" s="24"/>
      <c r="O46" s="24"/>
      <c r="P46" s="24"/>
      <c r="Q46" s="24"/>
      <c r="R46" s="24"/>
      <c r="S46" s="24"/>
      <c r="T46" s="24"/>
      <c r="U46" s="24"/>
      <c r="V46" s="24"/>
      <c r="W46" s="24"/>
      <c r="X46" s="24"/>
      <c r="Y46" s="24"/>
      <c r="Z46" s="24"/>
      <c r="AA46" s="24"/>
      <c r="AB46" s="24"/>
      <c r="AC46" s="24"/>
      <c r="AD46" s="24"/>
      <c r="AE46" s="42"/>
      <c r="AG46" s="186"/>
      <c r="AH46" s="187">
        <v>1</v>
      </c>
      <c r="AI46" s="187"/>
      <c r="AJ46" s="188">
        <v>1</v>
      </c>
      <c r="AO46" s="448" t="s">
        <v>82</v>
      </c>
    </row>
    <row r="47" spans="2:41" s="29" customFormat="1" ht="44.25" customHeight="1" x14ac:dyDescent="0.2">
      <c r="B47" s="24"/>
      <c r="C47" s="83"/>
      <c r="D47" s="83"/>
      <c r="E47" s="24"/>
      <c r="F47" s="24"/>
      <c r="G47" s="24"/>
      <c r="H47" s="24"/>
      <c r="I47" s="24"/>
      <c r="J47" s="24"/>
      <c r="K47" s="24"/>
      <c r="L47" s="24"/>
      <c r="M47" s="24"/>
      <c r="N47" s="24"/>
      <c r="O47" s="24"/>
      <c r="P47" s="24"/>
      <c r="Q47" s="24"/>
      <c r="R47" s="24"/>
      <c r="S47" s="24"/>
      <c r="T47" s="24"/>
      <c r="U47" s="24"/>
      <c r="V47" s="24"/>
      <c r="W47" s="24"/>
      <c r="X47" s="24"/>
      <c r="Y47" s="24"/>
      <c r="Z47" s="24"/>
      <c r="AA47" s="24"/>
      <c r="AB47" s="24"/>
      <c r="AC47" s="24"/>
      <c r="AD47" s="24"/>
      <c r="AE47" s="42"/>
      <c r="AG47" s="186">
        <v>1</v>
      </c>
      <c r="AH47" s="187"/>
      <c r="AI47" s="187"/>
      <c r="AJ47" s="188">
        <v>1</v>
      </c>
      <c r="AO47" s="449"/>
    </row>
    <row r="48" spans="2:41" s="29" customFormat="1" ht="97.5" customHeight="1" x14ac:dyDescent="0.2">
      <c r="B48" s="24"/>
      <c r="C48" s="83"/>
      <c r="D48" s="83"/>
      <c r="J48" s="24"/>
      <c r="K48" s="24"/>
      <c r="L48" s="24"/>
      <c r="M48" s="24"/>
      <c r="N48" s="24"/>
      <c r="O48" s="24"/>
      <c r="P48" s="24"/>
      <c r="Q48" s="24"/>
      <c r="R48" s="24"/>
      <c r="S48" s="24"/>
      <c r="T48" s="24"/>
      <c r="U48" s="24"/>
      <c r="V48" s="24"/>
      <c r="W48" s="24"/>
      <c r="X48" s="24"/>
      <c r="Y48" s="24"/>
      <c r="Z48" s="24"/>
      <c r="AA48" s="24"/>
      <c r="AB48" s="24"/>
      <c r="AC48" s="24"/>
      <c r="AD48" s="24"/>
      <c r="AE48" s="42"/>
      <c r="AG48" s="186">
        <v>1</v>
      </c>
      <c r="AH48" s="187"/>
      <c r="AI48" s="187"/>
      <c r="AJ48" s="188">
        <v>1</v>
      </c>
      <c r="AO48" s="449"/>
    </row>
    <row r="49" spans="2:41" s="29" customFormat="1" ht="54.75" customHeight="1" thickBot="1" x14ac:dyDescent="0.25">
      <c r="B49" s="24"/>
      <c r="C49" s="83"/>
      <c r="D49" s="83"/>
      <c r="E49" s="24"/>
      <c r="F49" s="24"/>
      <c r="G49" s="24"/>
      <c r="H49" s="24"/>
      <c r="I49" s="24"/>
      <c r="J49" s="24"/>
      <c r="K49" s="24"/>
      <c r="L49" s="24"/>
      <c r="M49" s="24"/>
      <c r="N49" s="24"/>
      <c r="O49" s="24"/>
      <c r="P49" s="24"/>
      <c r="Q49" s="24"/>
      <c r="R49" s="24"/>
      <c r="S49" s="24"/>
      <c r="T49" s="24"/>
      <c r="U49" s="24"/>
      <c r="V49" s="24"/>
      <c r="W49" s="24"/>
      <c r="X49" s="24"/>
      <c r="Y49" s="24"/>
      <c r="Z49" s="24"/>
      <c r="AA49" s="24"/>
      <c r="AB49" s="24"/>
      <c r="AC49" s="24"/>
      <c r="AD49" s="24"/>
      <c r="AE49" s="42"/>
      <c r="AG49" s="186">
        <v>1</v>
      </c>
      <c r="AH49" s="187"/>
      <c r="AI49" s="187"/>
      <c r="AJ49" s="188">
        <v>1</v>
      </c>
      <c r="AO49" s="450"/>
    </row>
    <row r="50" spans="2:41" s="29" customFormat="1" ht="83.25" customHeight="1" x14ac:dyDescent="0.2">
      <c r="B50" s="24"/>
      <c r="C50" s="83"/>
      <c r="D50" s="83"/>
      <c r="E50" s="24"/>
      <c r="F50" s="24"/>
      <c r="G50" s="24"/>
      <c r="H50" s="24"/>
      <c r="I50" s="24"/>
      <c r="J50" s="24"/>
      <c r="K50" s="24"/>
      <c r="L50" s="24"/>
      <c r="M50" s="24"/>
      <c r="N50" s="24"/>
      <c r="O50" s="24"/>
      <c r="P50" s="24"/>
      <c r="Q50" s="24"/>
      <c r="R50" s="24"/>
      <c r="S50" s="24"/>
      <c r="T50" s="24"/>
      <c r="U50" s="24"/>
      <c r="V50" s="24"/>
      <c r="W50" s="24"/>
      <c r="X50" s="24"/>
      <c r="Y50" s="24"/>
      <c r="Z50" s="24"/>
      <c r="AA50" s="24"/>
      <c r="AB50" s="24"/>
      <c r="AC50" s="24"/>
      <c r="AD50" s="24"/>
      <c r="AE50" s="42"/>
      <c r="AG50" s="186">
        <v>1</v>
      </c>
      <c r="AH50" s="187"/>
      <c r="AI50" s="187"/>
      <c r="AJ50" s="188">
        <v>1</v>
      </c>
      <c r="AO50" s="448" t="s">
        <v>73</v>
      </c>
    </row>
    <row r="51" spans="2:41" s="29" customFormat="1" ht="82.5" customHeight="1" x14ac:dyDescent="0.2">
      <c r="B51" s="24"/>
      <c r="C51" s="83"/>
      <c r="D51" s="83"/>
      <c r="E51" s="24"/>
      <c r="F51" s="24"/>
      <c r="G51" s="24"/>
      <c r="H51" s="24"/>
      <c r="I51" s="24"/>
      <c r="J51" s="24"/>
      <c r="K51" s="24"/>
      <c r="L51" s="24"/>
      <c r="M51" s="24"/>
      <c r="N51" s="24"/>
      <c r="O51" s="24"/>
      <c r="P51" s="24"/>
      <c r="Q51" s="24"/>
      <c r="R51" s="24"/>
      <c r="S51" s="24"/>
      <c r="T51" s="24"/>
      <c r="U51" s="24"/>
      <c r="V51" s="24"/>
      <c r="W51" s="24"/>
      <c r="X51" s="24"/>
      <c r="Y51" s="24"/>
      <c r="Z51" s="24"/>
      <c r="AA51" s="24"/>
      <c r="AB51" s="24"/>
      <c r="AC51" s="24"/>
      <c r="AD51" s="24"/>
      <c r="AE51" s="42"/>
      <c r="AG51" s="186"/>
      <c r="AH51" s="187"/>
      <c r="AI51" s="187">
        <v>1</v>
      </c>
      <c r="AJ51" s="188">
        <v>1</v>
      </c>
      <c r="AO51" s="449"/>
    </row>
    <row r="52" spans="2:41" s="29" customFormat="1" ht="67.5" customHeight="1" x14ac:dyDescent="0.2">
      <c r="B52" s="24"/>
      <c r="C52" s="83"/>
      <c r="D52" s="83"/>
      <c r="E52" s="24"/>
      <c r="F52" s="24"/>
      <c r="G52" s="24"/>
      <c r="H52" s="24"/>
      <c r="I52" s="24"/>
      <c r="J52" s="24"/>
      <c r="K52" s="24"/>
      <c r="L52" s="24"/>
      <c r="M52" s="24"/>
      <c r="N52" s="24"/>
      <c r="O52" s="24"/>
      <c r="P52" s="24"/>
      <c r="Q52" s="24"/>
      <c r="R52" s="24"/>
      <c r="S52" s="24"/>
      <c r="T52" s="24"/>
      <c r="U52" s="24"/>
      <c r="V52" s="24"/>
      <c r="W52" s="24"/>
      <c r="X52" s="24"/>
      <c r="Y52" s="24"/>
      <c r="Z52" s="24"/>
      <c r="AA52" s="24"/>
      <c r="AB52" s="24"/>
      <c r="AC52" s="24"/>
      <c r="AD52" s="24"/>
      <c r="AE52" s="42"/>
      <c r="AG52" s="186"/>
      <c r="AH52" s="187">
        <v>1</v>
      </c>
      <c r="AI52" s="187"/>
      <c r="AJ52" s="188">
        <v>1</v>
      </c>
      <c r="AO52" s="449"/>
    </row>
    <row r="53" spans="2:41" s="29" customFormat="1" ht="65.25" customHeight="1" thickBot="1" x14ac:dyDescent="0.25">
      <c r="B53" s="24"/>
      <c r="C53" s="83"/>
      <c r="D53" s="83"/>
      <c r="E53" s="24"/>
      <c r="F53" s="24"/>
      <c r="G53" s="24"/>
      <c r="H53" s="24"/>
      <c r="I53" s="24"/>
      <c r="J53" s="24"/>
      <c r="K53" s="24"/>
      <c r="L53" s="24"/>
      <c r="M53" s="24"/>
      <c r="N53" s="24"/>
      <c r="O53" s="24"/>
      <c r="P53" s="24"/>
      <c r="Q53" s="24"/>
      <c r="R53" s="24"/>
      <c r="S53" s="24"/>
      <c r="T53" s="24"/>
      <c r="U53" s="24"/>
      <c r="V53" s="24"/>
      <c r="W53" s="24"/>
      <c r="X53" s="24"/>
      <c r="Y53" s="24"/>
      <c r="Z53" s="24"/>
      <c r="AA53" s="24"/>
      <c r="AB53" s="24"/>
      <c r="AC53" s="24"/>
      <c r="AD53" s="24"/>
      <c r="AE53" s="42"/>
      <c r="AG53" s="186">
        <v>1</v>
      </c>
      <c r="AH53" s="187"/>
      <c r="AI53" s="187"/>
      <c r="AJ53" s="188">
        <v>1</v>
      </c>
      <c r="AO53" s="450"/>
    </row>
    <row r="54" spans="2:41" s="29" customFormat="1" ht="36.75" customHeight="1" x14ac:dyDescent="0.2">
      <c r="B54" s="24"/>
      <c r="C54" s="83"/>
      <c r="D54" s="83"/>
      <c r="E54" s="24"/>
      <c r="F54" s="24"/>
      <c r="G54" s="24"/>
      <c r="H54" s="24"/>
      <c r="I54" s="24"/>
      <c r="J54" s="24"/>
      <c r="K54" s="24"/>
      <c r="L54" s="24"/>
      <c r="M54" s="24"/>
      <c r="N54" s="24"/>
      <c r="O54" s="24"/>
      <c r="P54" s="24"/>
      <c r="Q54" s="24"/>
      <c r="R54" s="24"/>
      <c r="S54" s="24"/>
      <c r="T54" s="24"/>
      <c r="U54" s="24"/>
      <c r="V54" s="24"/>
      <c r="W54" s="24"/>
      <c r="X54" s="24"/>
      <c r="Y54" s="24"/>
      <c r="Z54" s="24"/>
      <c r="AA54" s="24"/>
      <c r="AB54" s="24"/>
      <c r="AC54" s="24"/>
      <c r="AD54" s="24"/>
      <c r="AE54" s="42"/>
      <c r="AG54" s="186"/>
      <c r="AH54" s="187"/>
      <c r="AI54" s="187"/>
      <c r="AJ54" s="188"/>
    </row>
    <row r="55" spans="2:41" s="29" customFormat="1" ht="151.5" customHeight="1" x14ac:dyDescent="0.2">
      <c r="B55" s="24"/>
      <c r="C55" s="83"/>
      <c r="D55" s="83"/>
      <c r="I55" s="24"/>
      <c r="J55" s="24"/>
      <c r="K55" s="24"/>
      <c r="L55" s="24"/>
      <c r="M55" s="24"/>
      <c r="N55" s="24"/>
      <c r="O55" s="24"/>
      <c r="P55" s="24"/>
      <c r="Q55" s="24"/>
      <c r="R55" s="24"/>
      <c r="S55" s="24"/>
      <c r="T55" s="24"/>
      <c r="U55" s="24"/>
      <c r="V55" s="24"/>
      <c r="W55" s="24"/>
      <c r="X55" s="24"/>
      <c r="Y55" s="24"/>
      <c r="Z55" s="24"/>
      <c r="AA55" s="24"/>
      <c r="AB55" s="24"/>
      <c r="AC55" s="24"/>
      <c r="AD55" s="24"/>
      <c r="AE55" s="42"/>
      <c r="AG55" s="186"/>
      <c r="AH55" s="187"/>
      <c r="AI55" s="187">
        <v>1</v>
      </c>
      <c r="AJ55" s="188">
        <v>1</v>
      </c>
    </row>
    <row r="56" spans="2:41" s="29" customFormat="1" ht="100.5" customHeight="1" x14ac:dyDescent="0.2">
      <c r="B56" s="24"/>
      <c r="C56" s="83"/>
      <c r="D56" s="83"/>
      <c r="E56" s="24"/>
      <c r="F56" s="24"/>
      <c r="G56" s="24"/>
      <c r="H56" s="24"/>
      <c r="I56" s="24"/>
      <c r="J56" s="24"/>
      <c r="K56" s="24"/>
      <c r="L56" s="24"/>
      <c r="M56" s="24"/>
      <c r="N56" s="24"/>
      <c r="O56" s="24"/>
      <c r="P56" s="24"/>
      <c r="Q56" s="24"/>
      <c r="R56" s="24"/>
      <c r="S56" s="24"/>
      <c r="T56" s="24"/>
      <c r="U56" s="24"/>
      <c r="V56" s="24"/>
      <c r="W56" s="24"/>
      <c r="X56" s="24"/>
      <c r="Y56" s="24"/>
      <c r="Z56" s="24"/>
      <c r="AA56" s="24"/>
      <c r="AB56" s="24"/>
      <c r="AC56" s="24"/>
      <c r="AD56" s="24"/>
      <c r="AE56" s="42"/>
      <c r="AG56" s="186"/>
      <c r="AH56" s="187"/>
      <c r="AI56" s="187">
        <v>1</v>
      </c>
      <c r="AJ56" s="188">
        <v>1</v>
      </c>
    </row>
    <row r="57" spans="2:41" s="29" customFormat="1" ht="113.25" customHeight="1" x14ac:dyDescent="0.2">
      <c r="B57" s="24"/>
      <c r="C57" s="83"/>
      <c r="D57" s="83"/>
      <c r="E57" s="24"/>
      <c r="F57" s="24"/>
      <c r="G57" s="24"/>
      <c r="H57" s="24"/>
      <c r="I57" s="24"/>
      <c r="J57" s="24"/>
      <c r="K57" s="24"/>
      <c r="L57" s="24"/>
      <c r="M57" s="24"/>
      <c r="N57" s="24"/>
      <c r="O57" s="24"/>
      <c r="P57" s="24"/>
      <c r="Q57" s="24"/>
      <c r="R57" s="24"/>
      <c r="S57" s="24"/>
      <c r="T57" s="24"/>
      <c r="U57" s="24"/>
      <c r="V57" s="24"/>
      <c r="W57" s="24"/>
      <c r="X57" s="24"/>
      <c r="Y57" s="24"/>
      <c r="Z57" s="24"/>
      <c r="AA57" s="24"/>
      <c r="AB57" s="24"/>
      <c r="AC57" s="24"/>
      <c r="AD57" s="24"/>
      <c r="AE57" s="42"/>
      <c r="AG57" s="186"/>
      <c r="AH57" s="187">
        <v>1</v>
      </c>
      <c r="AI57" s="187"/>
      <c r="AJ57" s="188">
        <v>1</v>
      </c>
    </row>
    <row r="58" spans="2:41" ht="54.75" customHeight="1" x14ac:dyDescent="0.2">
      <c r="C58" s="83"/>
      <c r="D58" s="83"/>
      <c r="AE58" s="42"/>
      <c r="AF58" s="29"/>
      <c r="AG58" s="34"/>
      <c r="AH58" s="30">
        <v>1</v>
      </c>
      <c r="AI58" s="30"/>
      <c r="AJ58" s="35">
        <v>1</v>
      </c>
    </row>
    <row r="59" spans="2:41" ht="45.75" customHeight="1" x14ac:dyDescent="0.2">
      <c r="C59" s="83"/>
      <c r="D59" s="83"/>
      <c r="AE59" s="42"/>
      <c r="AF59" s="29"/>
      <c r="AG59" s="34"/>
      <c r="AH59" s="30">
        <v>1</v>
      </c>
      <c r="AI59" s="30"/>
      <c r="AJ59" s="35">
        <v>1</v>
      </c>
    </row>
    <row r="60" spans="2:41" ht="54.75" customHeight="1" x14ac:dyDescent="0.2">
      <c r="C60" s="83"/>
      <c r="D60" s="83"/>
      <c r="AE60" s="42"/>
      <c r="AF60" s="29"/>
      <c r="AG60" s="34"/>
      <c r="AH60" s="30">
        <v>1</v>
      </c>
      <c r="AI60" s="30"/>
      <c r="AJ60" s="35">
        <v>1</v>
      </c>
    </row>
    <row r="61" spans="2:41" ht="201.75" customHeight="1" x14ac:dyDescent="0.2">
      <c r="C61" s="83"/>
      <c r="D61" s="83"/>
      <c r="AE61" s="42"/>
      <c r="AF61" s="29"/>
      <c r="AG61" s="34"/>
      <c r="AH61" s="30">
        <v>1</v>
      </c>
      <c r="AI61" s="30"/>
      <c r="AJ61" s="35">
        <v>1</v>
      </c>
    </row>
    <row r="62" spans="2:41" ht="125.25" customHeight="1" x14ac:dyDescent="0.2">
      <c r="C62" s="83"/>
      <c r="D62" s="83"/>
      <c r="AE62" s="42"/>
      <c r="AF62" s="29"/>
      <c r="AG62" s="34"/>
      <c r="AH62" s="30">
        <v>1</v>
      </c>
      <c r="AI62" s="30"/>
      <c r="AJ62" s="35">
        <v>1</v>
      </c>
    </row>
    <row r="63" spans="2:41" ht="112.5" customHeight="1" thickBot="1" x14ac:dyDescent="0.25">
      <c r="C63" s="83"/>
      <c r="D63" s="83"/>
      <c r="AE63" s="42"/>
      <c r="AG63" s="36">
        <f>SUM(AG9:AG58)</f>
        <v>24</v>
      </c>
      <c r="AH63" s="37">
        <f>SUM(AH9:AH62)</f>
        <v>18</v>
      </c>
      <c r="AI63" s="37">
        <f>SUM(AI9:AI62)</f>
        <v>5</v>
      </c>
      <c r="AJ63" s="38">
        <f>SUM(AJ9:AJ62)</f>
        <v>47</v>
      </c>
    </row>
    <row r="64" spans="2:41" ht="94.5" customHeight="1" x14ac:dyDescent="0.2">
      <c r="C64" s="83"/>
      <c r="D64" s="83"/>
      <c r="AE64" s="42"/>
    </row>
    <row r="65" spans="3:31" ht="100.5" customHeight="1" x14ac:dyDescent="0.2">
      <c r="C65" s="83"/>
      <c r="D65" s="83"/>
      <c r="AE65" s="42"/>
    </row>
    <row r="66" spans="3:31" ht="226.5" customHeight="1" x14ac:dyDescent="0.2">
      <c r="C66" s="83"/>
      <c r="D66" s="83"/>
      <c r="AE66" s="42"/>
    </row>
    <row r="67" spans="3:31" ht="67.5" customHeight="1" x14ac:dyDescent="0.2">
      <c r="C67" s="83"/>
      <c r="D67" s="83"/>
      <c r="AE67" s="42"/>
    </row>
    <row r="68" spans="3:31" ht="90.75" customHeight="1" x14ac:dyDescent="0.2">
      <c r="C68" s="83"/>
      <c r="D68" s="83"/>
      <c r="AE68" s="42"/>
    </row>
    <row r="69" spans="3:31" ht="75" customHeight="1" x14ac:dyDescent="0.2">
      <c r="C69" s="83"/>
      <c r="D69" s="83"/>
      <c r="AE69" s="42"/>
    </row>
    <row r="70" spans="3:31" x14ac:dyDescent="0.2">
      <c r="C70" s="83"/>
      <c r="D70" s="83"/>
      <c r="AE70" s="42"/>
    </row>
    <row r="71" spans="3:31" ht="43.5" customHeight="1" x14ac:dyDescent="0.2">
      <c r="C71" s="83"/>
      <c r="D71" s="83"/>
      <c r="AE71" s="42"/>
    </row>
    <row r="72" spans="3:31" ht="49.5" customHeight="1" x14ac:dyDescent="0.2">
      <c r="C72" s="83"/>
      <c r="D72" s="83"/>
      <c r="AE72" s="42"/>
    </row>
    <row r="73" spans="3:31" ht="232.5" customHeight="1" x14ac:dyDescent="0.2">
      <c r="C73" s="83"/>
      <c r="D73" s="83"/>
      <c r="H73" s="83"/>
      <c r="I73" s="83"/>
      <c r="AE73" s="42"/>
    </row>
    <row r="74" spans="3:31" x14ac:dyDescent="0.2">
      <c r="C74" s="83"/>
      <c r="D74" s="83"/>
      <c r="AE74" s="42"/>
    </row>
    <row r="75" spans="3:31" ht="241.5" customHeight="1" x14ac:dyDescent="0.2">
      <c r="C75" s="83"/>
      <c r="D75" s="83"/>
      <c r="AE75" s="42"/>
    </row>
    <row r="76" spans="3:31" x14ac:dyDescent="0.2">
      <c r="AE76" s="42"/>
    </row>
    <row r="77" spans="3:31" x14ac:dyDescent="0.2">
      <c r="AE77" s="42"/>
    </row>
    <row r="78" spans="3:31" x14ac:dyDescent="0.2">
      <c r="AE78" s="42"/>
    </row>
    <row r="79" spans="3:31" x14ac:dyDescent="0.2">
      <c r="AE79" s="42"/>
    </row>
  </sheetData>
  <autoFilter ref="B8:AC15"/>
  <mergeCells count="56">
    <mergeCell ref="AO46:AO49"/>
    <mergeCell ref="AO50:AO53"/>
    <mergeCell ref="AO25:AO30"/>
    <mergeCell ref="AO31:AO34"/>
    <mergeCell ref="AO35:AO36"/>
    <mergeCell ref="AO37:AO40"/>
    <mergeCell ref="AG40:AG41"/>
    <mergeCell ref="AH40:AH41"/>
    <mergeCell ref="AI40:AI41"/>
    <mergeCell ref="AJ40:AJ41"/>
    <mergeCell ref="AO41:AO45"/>
    <mergeCell ref="H20:I20"/>
    <mergeCell ref="M20:N20"/>
    <mergeCell ref="O20:P20"/>
    <mergeCell ref="F21:G21"/>
    <mergeCell ref="H21:I21"/>
    <mergeCell ref="AG7:AJ7"/>
    <mergeCell ref="B9:B15"/>
    <mergeCell ref="AE9:AE15"/>
    <mergeCell ref="H22:I22"/>
    <mergeCell ref="AO17:AO24"/>
    <mergeCell ref="F18:G18"/>
    <mergeCell ref="H18:I18"/>
    <mergeCell ref="M18:N18"/>
    <mergeCell ref="O18:P18"/>
    <mergeCell ref="F19:G19"/>
    <mergeCell ref="H19:I19"/>
    <mergeCell ref="M19:N19"/>
    <mergeCell ref="O19:P19"/>
    <mergeCell ref="F20:G20"/>
    <mergeCell ref="H17:K17"/>
    <mergeCell ref="M17:P17"/>
    <mergeCell ref="B6:I6"/>
    <mergeCell ref="J6:N7"/>
    <mergeCell ref="O6:P6"/>
    <mergeCell ref="Q6:U7"/>
    <mergeCell ref="V6:AE6"/>
    <mergeCell ref="B7:B8"/>
    <mergeCell ref="C7:C8"/>
    <mergeCell ref="D7:D8"/>
    <mergeCell ref="O7:P7"/>
    <mergeCell ref="V7:Y7"/>
    <mergeCell ref="Z7:AD7"/>
    <mergeCell ref="AE7:AE8"/>
    <mergeCell ref="B5:AE5"/>
    <mergeCell ref="B2:AE2"/>
    <mergeCell ref="B3:F3"/>
    <mergeCell ref="G3:N3"/>
    <mergeCell ref="O3:T3"/>
    <mergeCell ref="U3:AA3"/>
    <mergeCell ref="AB3:AE3"/>
    <mergeCell ref="B4:F4"/>
    <mergeCell ref="G4:N4"/>
    <mergeCell ref="O4:T4"/>
    <mergeCell ref="U4:AA4"/>
    <mergeCell ref="AB4:AE4"/>
  </mergeCells>
  <conditionalFormatting sqref="N9:P10 N12:P12 P11 P13:P14 N11:N14 U9:U14">
    <cfRule type="cellIs" dxfId="152" priority="40" operator="equal">
      <formula>5</formula>
    </cfRule>
    <cfRule type="cellIs" priority="41" operator="equal">
      <formula>5</formula>
    </cfRule>
    <cfRule type="cellIs" dxfId="151" priority="42" operator="between">
      <formula>6</formula>
      <formula>30</formula>
    </cfRule>
    <cfRule type="cellIs" dxfId="150" priority="43" operator="between">
      <formula>31</formula>
      <formula>60</formula>
    </cfRule>
  </conditionalFormatting>
  <conditionalFormatting sqref="N9:P10 N12:P12 P11 P13:P14 N11:N14 U9:Y14">
    <cfRule type="containsErrors" dxfId="149" priority="39">
      <formula>ISERROR(N9)</formula>
    </cfRule>
  </conditionalFormatting>
  <conditionalFormatting sqref="J9:M14 Q9:T14">
    <cfRule type="containsText" dxfId="148" priority="38" operator="containsText" text="N/A">
      <formula>NOT(ISERROR(SEARCH("N/A",J9)))</formula>
    </cfRule>
  </conditionalFormatting>
  <conditionalFormatting sqref="M19 O19">
    <cfRule type="cellIs" dxfId="147" priority="25" operator="equal">
      <formula>5</formula>
    </cfRule>
    <cfRule type="cellIs" priority="26" operator="equal">
      <formula>5</formula>
    </cfRule>
    <cfRule type="cellIs" dxfId="146" priority="27" operator="between">
      <formula>6</formula>
      <formula>30</formula>
    </cfRule>
    <cfRule type="cellIs" dxfId="145" priority="28" operator="between">
      <formula>31</formula>
      <formula>60</formula>
    </cfRule>
  </conditionalFormatting>
  <conditionalFormatting sqref="M19 O19">
    <cfRule type="containsErrors" dxfId="144" priority="24">
      <formula>ISERROR(M19)</formula>
    </cfRule>
  </conditionalFormatting>
  <conditionalFormatting sqref="N15:P15">
    <cfRule type="cellIs" dxfId="143" priority="16" operator="equal">
      <formula>5</formula>
    </cfRule>
    <cfRule type="cellIs" priority="17" operator="equal">
      <formula>5</formula>
    </cfRule>
    <cfRule type="cellIs" dxfId="142" priority="18" operator="between">
      <formula>6</formula>
      <formula>30</formula>
    </cfRule>
    <cfRule type="cellIs" dxfId="141" priority="19" operator="between">
      <formula>31</formula>
      <formula>60</formula>
    </cfRule>
  </conditionalFormatting>
  <conditionalFormatting sqref="N15:P15">
    <cfRule type="containsErrors" dxfId="140" priority="15">
      <formula>ISERROR(N15)</formula>
    </cfRule>
  </conditionalFormatting>
  <conditionalFormatting sqref="J15">
    <cfRule type="containsText" dxfId="139" priority="14" operator="containsText" text="N/A">
      <formula>NOT(ISERROR(SEARCH("N/A",J15)))</formula>
    </cfRule>
  </conditionalFormatting>
  <conditionalFormatting sqref="L15">
    <cfRule type="containsText" dxfId="138" priority="5" operator="containsText" text="N/A">
      <formula>NOT(ISERROR(SEARCH("N/A",L15)))</formula>
    </cfRule>
    <cfRule type="containsText" dxfId="137" priority="13" operator="containsText" text="N/A">
      <formula>NOT(ISERROR(SEARCH("N/A",L15)))</formula>
    </cfRule>
  </conditionalFormatting>
  <conditionalFormatting sqref="V15:Y15">
    <cfRule type="containsErrors" dxfId="136" priority="12">
      <formula>ISERROR(V15)</formula>
    </cfRule>
  </conditionalFormatting>
  <conditionalFormatting sqref="Q15">
    <cfRule type="containsText" dxfId="135" priority="11" operator="containsText" text="N/A">
      <formula>NOT(ISERROR(SEARCH("N/A",Q15)))</formula>
    </cfRule>
  </conditionalFormatting>
  <conditionalFormatting sqref="S15">
    <cfRule type="containsText" dxfId="134" priority="10" operator="containsText" text="N/A">
      <formula>NOT(ISERROR(SEARCH("N/A",S15)))</formula>
    </cfRule>
  </conditionalFormatting>
  <conditionalFormatting sqref="U15">
    <cfRule type="containsErrors" dxfId="133" priority="1">
      <formula>ISERROR(U15)</formula>
    </cfRule>
    <cfRule type="cellIs" dxfId="132" priority="7" operator="between">
      <formula>31</formula>
      <formula>60</formula>
    </cfRule>
    <cfRule type="cellIs" dxfId="131" priority="8" operator="between">
      <formula>6</formula>
      <formula>30</formula>
    </cfRule>
    <cfRule type="cellIs" dxfId="130" priority="9" operator="equal">
      <formula>5</formula>
    </cfRule>
  </conditionalFormatting>
  <conditionalFormatting sqref="K15">
    <cfRule type="containsText" dxfId="129" priority="6" operator="containsText" text="N/A">
      <formula>NOT(ISERROR(SEARCH("N/A",K15)))</formula>
    </cfRule>
  </conditionalFormatting>
  <conditionalFormatting sqref="M15">
    <cfRule type="containsText" dxfId="128" priority="4" operator="containsText" text="N/A">
      <formula>NOT(ISERROR(SEARCH("N/A",M15)))</formula>
    </cfRule>
  </conditionalFormatting>
  <conditionalFormatting sqref="R15">
    <cfRule type="containsText" dxfId="127" priority="3" operator="containsText" text="N/A">
      <formula>NOT(ISERROR(SEARCH("N/A",R15)))</formula>
    </cfRule>
  </conditionalFormatting>
  <conditionalFormatting sqref="T15">
    <cfRule type="containsText" dxfId="126" priority="2" operator="containsText" text="N/A">
      <formula>NOT(ISERROR(SEARCH("N/A",T15)))</formula>
    </cfRule>
  </conditionalFormatting>
  <dataValidations count="3">
    <dataValidation type="list" allowBlank="1" showInputMessage="1" showErrorMessage="1" sqref="C9:C15">
      <formula1>$AM$8:$AM$9</formula1>
    </dataValidation>
    <dataValidation type="list" allowBlank="1" showInputMessage="1" showErrorMessage="1" sqref="L9:L15 S9:S15">
      <formula1>$AL$8:$AL$11</formula1>
    </dataValidation>
    <dataValidation type="list" allowBlank="1" showInputMessage="1" showErrorMessage="1" sqref="J9:J15 Q9:Q15">
      <formula1>$AK$8:$AK$11</formula1>
    </dataValidation>
  </dataValidations>
  <printOptions verticalCentered="1"/>
  <pageMargins left="0.19685039370078741" right="0.59055118110236227" top="0.39370078740157483" bottom="0.47244094488188981" header="0" footer="0"/>
  <pageSetup scale="16" fitToHeight="0" orientation="landscape" r:id="rId1"/>
  <headerFooter alignWithMargins="0">
    <oddFooter>&amp;C&amp;8Página &amp;P de &amp;N</oddFooter>
  </headerFooter>
  <colBreaks count="1" manualBreakCount="1">
    <brk id="31" max="1048575" man="1"/>
  </colBreaks>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pageSetUpPr fitToPage="1"/>
  </sheetPr>
  <dimension ref="B1:AO79"/>
  <sheetViews>
    <sheetView showGridLines="0" view="pageBreakPreview" topLeftCell="S8" zoomScale="50" zoomScaleNormal="25" zoomScaleSheetLayoutView="50" zoomScalePageLayoutView="75" workbookViewId="0">
      <selection activeCell="AD10" sqref="AD10"/>
    </sheetView>
  </sheetViews>
  <sheetFormatPr baseColWidth="10" defaultColWidth="33.85546875" defaultRowHeight="23.25" x14ac:dyDescent="0.2"/>
  <cols>
    <col min="1" max="1" width="2.140625" style="24" customWidth="1"/>
    <col min="2" max="2" width="17.42578125" style="24" customWidth="1"/>
    <col min="3" max="3" width="23.140625" style="24" customWidth="1"/>
    <col min="4" max="4" width="27.7109375" style="24" customWidth="1"/>
    <col min="5" max="5" width="62.28515625" style="24" bestFit="1" customWidth="1"/>
    <col min="6" max="6" width="29.85546875" style="24" customWidth="1"/>
    <col min="7" max="7" width="28.28515625" style="24" customWidth="1"/>
    <col min="8" max="8" width="32.5703125" style="24" customWidth="1"/>
    <col min="9" max="9" width="32.28515625" style="24" customWidth="1"/>
    <col min="10" max="13" width="15.7109375" style="24" customWidth="1"/>
    <col min="14" max="14" width="29" style="24" customWidth="1"/>
    <col min="15" max="16" width="61.28515625" style="24" customWidth="1"/>
    <col min="17" max="18" width="14.85546875" style="24" customWidth="1"/>
    <col min="19" max="19" width="18.28515625" style="24" customWidth="1"/>
    <col min="20" max="25" width="16.28515625" style="24" customWidth="1"/>
    <col min="26" max="26" width="39.5703125" style="24" customWidth="1"/>
    <col min="27" max="28" width="28" style="24" customWidth="1"/>
    <col min="29" max="29" width="29.42578125" style="24" customWidth="1"/>
    <col min="30" max="30" width="49.42578125" style="24" customWidth="1"/>
    <col min="31" max="31" width="23.140625" style="41" customWidth="1"/>
    <col min="32" max="32" width="17.7109375" style="24" customWidth="1"/>
    <col min="33" max="36" width="33.85546875" style="24" customWidth="1"/>
    <col min="37" max="16384" width="33.85546875" style="24"/>
  </cols>
  <sheetData>
    <row r="1" spans="2:41" ht="9" customHeight="1" x14ac:dyDescent="0.2"/>
    <row r="2" spans="2:41" s="28" customFormat="1" ht="125.25" customHeight="1" thickBot="1" x14ac:dyDescent="0.25">
      <c r="B2" s="385" t="s">
        <v>109</v>
      </c>
      <c r="C2" s="386"/>
      <c r="D2" s="386"/>
      <c r="E2" s="386"/>
      <c r="F2" s="386"/>
      <c r="G2" s="386"/>
      <c r="H2" s="386"/>
      <c r="I2" s="386"/>
      <c r="J2" s="386"/>
      <c r="K2" s="386"/>
      <c r="L2" s="386"/>
      <c r="M2" s="386"/>
      <c r="N2" s="386"/>
      <c r="O2" s="386"/>
      <c r="P2" s="386"/>
      <c r="Q2" s="386"/>
      <c r="R2" s="386"/>
      <c r="S2" s="386"/>
      <c r="T2" s="386"/>
      <c r="U2" s="386"/>
      <c r="V2" s="386"/>
      <c r="W2" s="386"/>
      <c r="X2" s="386"/>
      <c r="Y2" s="386"/>
      <c r="Z2" s="386"/>
      <c r="AA2" s="386"/>
      <c r="AB2" s="386"/>
      <c r="AC2" s="386"/>
      <c r="AD2" s="386"/>
      <c r="AE2" s="386"/>
      <c r="AF2" s="31"/>
    </row>
    <row r="3" spans="2:41" s="29" customFormat="1" ht="66" customHeight="1" thickBot="1" x14ac:dyDescent="0.25">
      <c r="B3" s="387" t="s">
        <v>37</v>
      </c>
      <c r="C3" s="388"/>
      <c r="D3" s="388"/>
      <c r="E3" s="388"/>
      <c r="F3" s="388"/>
      <c r="G3" s="387" t="s">
        <v>108</v>
      </c>
      <c r="H3" s="388"/>
      <c r="I3" s="388"/>
      <c r="J3" s="388"/>
      <c r="K3" s="388"/>
      <c r="L3" s="388"/>
      <c r="M3" s="388"/>
      <c r="N3" s="389"/>
      <c r="O3" s="387" t="s">
        <v>107</v>
      </c>
      <c r="P3" s="388"/>
      <c r="Q3" s="388"/>
      <c r="R3" s="388"/>
      <c r="S3" s="388"/>
      <c r="T3" s="389"/>
      <c r="U3" s="387" t="s">
        <v>38</v>
      </c>
      <c r="V3" s="388"/>
      <c r="W3" s="388"/>
      <c r="X3" s="388"/>
      <c r="Y3" s="388"/>
      <c r="Z3" s="388"/>
      <c r="AA3" s="389"/>
      <c r="AB3" s="387" t="s">
        <v>35</v>
      </c>
      <c r="AC3" s="388"/>
      <c r="AD3" s="388"/>
      <c r="AE3" s="389"/>
      <c r="AF3" s="32"/>
    </row>
    <row r="4" spans="2:41" s="29" customFormat="1" ht="72" customHeight="1" thickBot="1" x14ac:dyDescent="0.25">
      <c r="B4" s="390" t="s">
        <v>36</v>
      </c>
      <c r="C4" s="391"/>
      <c r="D4" s="391"/>
      <c r="E4" s="391"/>
      <c r="F4" s="391"/>
      <c r="G4" s="392">
        <v>42874</v>
      </c>
      <c r="H4" s="393"/>
      <c r="I4" s="393"/>
      <c r="J4" s="393"/>
      <c r="K4" s="393"/>
      <c r="L4" s="393"/>
      <c r="M4" s="393"/>
      <c r="N4" s="394"/>
      <c r="O4" s="395">
        <v>43700</v>
      </c>
      <c r="P4" s="396"/>
      <c r="Q4" s="396"/>
      <c r="R4" s="396"/>
      <c r="S4" s="396"/>
      <c r="T4" s="397"/>
      <c r="U4" s="390">
        <v>4</v>
      </c>
      <c r="V4" s="391"/>
      <c r="W4" s="391"/>
      <c r="X4" s="391"/>
      <c r="Y4" s="391"/>
      <c r="Z4" s="391"/>
      <c r="AA4" s="398"/>
      <c r="AB4" s="390" t="s">
        <v>50</v>
      </c>
      <c r="AC4" s="391"/>
      <c r="AD4" s="391"/>
      <c r="AE4" s="398"/>
      <c r="AF4" s="243"/>
    </row>
    <row r="5" spans="2:41" s="29" customFormat="1" ht="32.1" customHeight="1" thickBot="1" x14ac:dyDescent="0.25">
      <c r="B5" s="383" t="s">
        <v>697</v>
      </c>
      <c r="C5" s="384"/>
      <c r="D5" s="384"/>
      <c r="E5" s="384"/>
      <c r="F5" s="384"/>
      <c r="G5" s="384"/>
      <c r="H5" s="384"/>
      <c r="I5" s="384"/>
      <c r="J5" s="384"/>
      <c r="K5" s="384"/>
      <c r="L5" s="384"/>
      <c r="M5" s="384"/>
      <c r="N5" s="384"/>
      <c r="O5" s="384"/>
      <c r="P5" s="384"/>
      <c r="Q5" s="384"/>
      <c r="R5" s="384"/>
      <c r="S5" s="384"/>
      <c r="T5" s="384"/>
      <c r="U5" s="384"/>
      <c r="V5" s="384"/>
      <c r="W5" s="384"/>
      <c r="X5" s="384"/>
      <c r="Y5" s="384"/>
      <c r="Z5" s="384"/>
      <c r="AA5" s="384"/>
      <c r="AB5" s="384"/>
      <c r="AC5" s="384"/>
      <c r="AD5" s="384"/>
      <c r="AE5" s="384"/>
      <c r="AF5" s="243"/>
    </row>
    <row r="6" spans="2:41" s="29" customFormat="1" ht="54.95" customHeight="1" thickBot="1" x14ac:dyDescent="0.25">
      <c r="B6" s="409" t="s">
        <v>0</v>
      </c>
      <c r="C6" s="410"/>
      <c r="D6" s="410"/>
      <c r="E6" s="410"/>
      <c r="F6" s="410"/>
      <c r="G6" s="410"/>
      <c r="H6" s="410"/>
      <c r="I6" s="411"/>
      <c r="J6" s="412" t="s">
        <v>60</v>
      </c>
      <c r="K6" s="413"/>
      <c r="L6" s="413"/>
      <c r="M6" s="413"/>
      <c r="N6" s="414"/>
      <c r="O6" s="418" t="s">
        <v>92</v>
      </c>
      <c r="P6" s="419"/>
      <c r="Q6" s="420" t="s">
        <v>61</v>
      </c>
      <c r="R6" s="421"/>
      <c r="S6" s="421"/>
      <c r="T6" s="421"/>
      <c r="U6" s="422"/>
      <c r="V6" s="426" t="s">
        <v>56</v>
      </c>
      <c r="W6" s="427"/>
      <c r="X6" s="427"/>
      <c r="Y6" s="427"/>
      <c r="Z6" s="427"/>
      <c r="AA6" s="427"/>
      <c r="AB6" s="427"/>
      <c r="AC6" s="427"/>
      <c r="AD6" s="427"/>
      <c r="AE6" s="428"/>
    </row>
    <row r="7" spans="2:41" s="29" customFormat="1" ht="90" customHeight="1" thickBot="1" x14ac:dyDescent="0.25">
      <c r="B7" s="429" t="s">
        <v>8</v>
      </c>
      <c r="C7" s="430" t="s">
        <v>58</v>
      </c>
      <c r="D7" s="432" t="s">
        <v>89</v>
      </c>
      <c r="E7" s="76" t="s">
        <v>59</v>
      </c>
      <c r="F7" s="43" t="s">
        <v>9</v>
      </c>
      <c r="G7" s="43" t="s">
        <v>102</v>
      </c>
      <c r="H7" s="43" t="s">
        <v>10</v>
      </c>
      <c r="I7" s="95" t="s">
        <v>57</v>
      </c>
      <c r="J7" s="415"/>
      <c r="K7" s="416"/>
      <c r="L7" s="416"/>
      <c r="M7" s="416"/>
      <c r="N7" s="417"/>
      <c r="O7" s="433" t="s">
        <v>101</v>
      </c>
      <c r="P7" s="434"/>
      <c r="Q7" s="423"/>
      <c r="R7" s="424"/>
      <c r="S7" s="424"/>
      <c r="T7" s="424"/>
      <c r="U7" s="425"/>
      <c r="V7" s="435" t="s">
        <v>94</v>
      </c>
      <c r="W7" s="436"/>
      <c r="X7" s="436"/>
      <c r="Y7" s="437"/>
      <c r="Z7" s="475" t="s">
        <v>51</v>
      </c>
      <c r="AA7" s="476"/>
      <c r="AB7" s="476"/>
      <c r="AC7" s="476"/>
      <c r="AD7" s="477"/>
      <c r="AE7" s="445" t="s">
        <v>25</v>
      </c>
      <c r="AG7" s="399" t="s">
        <v>43</v>
      </c>
      <c r="AH7" s="399"/>
      <c r="AI7" s="399"/>
      <c r="AJ7" s="399"/>
      <c r="AK7" s="29" t="s">
        <v>65</v>
      </c>
      <c r="AL7" s="29" t="s">
        <v>66</v>
      </c>
    </row>
    <row r="8" spans="2:41" s="29" customFormat="1" ht="202.5" customHeight="1" thickBot="1" x14ac:dyDescent="0.25">
      <c r="B8" s="429"/>
      <c r="C8" s="431"/>
      <c r="D8" s="431"/>
      <c r="E8" s="77" t="s">
        <v>7</v>
      </c>
      <c r="F8" s="23" t="s">
        <v>62</v>
      </c>
      <c r="G8" s="23" t="s">
        <v>13</v>
      </c>
      <c r="H8" s="23" t="s">
        <v>63</v>
      </c>
      <c r="I8" s="23" t="s">
        <v>64</v>
      </c>
      <c r="J8" s="96" t="s">
        <v>11</v>
      </c>
      <c r="K8" s="102" t="s">
        <v>12</v>
      </c>
      <c r="L8" s="97" t="s">
        <v>1</v>
      </c>
      <c r="M8" s="102" t="s">
        <v>2</v>
      </c>
      <c r="N8" s="106" t="s">
        <v>93</v>
      </c>
      <c r="O8" s="104" t="s">
        <v>90</v>
      </c>
      <c r="P8" s="105" t="s">
        <v>91</v>
      </c>
      <c r="Q8" s="101" t="s">
        <v>11</v>
      </c>
      <c r="R8" s="102" t="s">
        <v>12</v>
      </c>
      <c r="S8" s="102" t="s">
        <v>1</v>
      </c>
      <c r="T8" s="102" t="s">
        <v>2</v>
      </c>
      <c r="U8" s="103" t="s">
        <v>100</v>
      </c>
      <c r="V8" s="98" t="s">
        <v>95</v>
      </c>
      <c r="W8" s="99" t="s">
        <v>96</v>
      </c>
      <c r="X8" s="99" t="s">
        <v>97</v>
      </c>
      <c r="Y8" s="100" t="s">
        <v>98</v>
      </c>
      <c r="Z8" s="53" t="s">
        <v>52</v>
      </c>
      <c r="AA8" s="54" t="s">
        <v>53</v>
      </c>
      <c r="AB8" s="55" t="s">
        <v>54</v>
      </c>
      <c r="AC8" s="54" t="s">
        <v>55</v>
      </c>
      <c r="AD8" s="108" t="s">
        <v>99</v>
      </c>
      <c r="AE8" s="446"/>
      <c r="AG8" s="73" t="s">
        <v>39</v>
      </c>
      <c r="AH8" s="74" t="s">
        <v>40</v>
      </c>
      <c r="AI8" s="74" t="s">
        <v>41</v>
      </c>
      <c r="AJ8" s="75" t="s">
        <v>42</v>
      </c>
      <c r="AK8" s="86" t="s">
        <v>83</v>
      </c>
      <c r="AL8" s="86" t="s">
        <v>83</v>
      </c>
      <c r="AM8" s="29" t="s">
        <v>69</v>
      </c>
      <c r="AO8" s="91"/>
    </row>
    <row r="9" spans="2:41" s="29" customFormat="1" ht="251.25" customHeight="1" x14ac:dyDescent="0.2">
      <c r="B9" s="400" t="s">
        <v>967</v>
      </c>
      <c r="C9" s="78" t="s">
        <v>69</v>
      </c>
      <c r="D9" s="94" t="s">
        <v>75</v>
      </c>
      <c r="E9" s="273" t="s">
        <v>327</v>
      </c>
      <c r="F9" s="274" t="s">
        <v>854</v>
      </c>
      <c r="G9" s="274" t="s">
        <v>855</v>
      </c>
      <c r="H9" s="274" t="s">
        <v>856</v>
      </c>
      <c r="I9" s="274" t="s">
        <v>857</v>
      </c>
      <c r="J9" s="87">
        <v>2</v>
      </c>
      <c r="K9" s="87" t="str">
        <f>IF(J9=3,"ALTO",IF(J9=2,"MEDIO",IF(J9="N/A","N/A","BAJO")))</f>
        <v>MEDIO</v>
      </c>
      <c r="L9" s="44">
        <v>20</v>
      </c>
      <c r="M9" s="87" t="str">
        <f>IF(L9=20,"ALTO",IF(L9=10,"MEDIO",IF(L9="N/A","N/A","BAJO")))</f>
        <v>ALTO</v>
      </c>
      <c r="N9" s="89">
        <f>J9*L9</f>
        <v>40</v>
      </c>
      <c r="O9" s="274" t="s">
        <v>858</v>
      </c>
      <c r="P9" s="120" t="s">
        <v>859</v>
      </c>
      <c r="Q9" s="87">
        <v>1</v>
      </c>
      <c r="R9" s="87" t="str">
        <f>IF(Q9=3,"ALTO",IF(Q9=2,"MEDIO",IF(Q9="N/A","N/A","BAJO")))</f>
        <v>BAJO</v>
      </c>
      <c r="S9" s="87">
        <v>20</v>
      </c>
      <c r="T9" s="44" t="str">
        <f>IF(S9=20,"ALTO",IF(S9=10,"MEDIO",IF(S9="N/A","N/A","BAJO")))</f>
        <v>ALTO</v>
      </c>
      <c r="U9" s="107">
        <f>Q9*S9</f>
        <v>20</v>
      </c>
      <c r="V9" s="58"/>
      <c r="W9" s="58" t="s">
        <v>116</v>
      </c>
      <c r="X9" s="58"/>
      <c r="Y9" s="58"/>
      <c r="Z9" s="116" t="s">
        <v>860</v>
      </c>
      <c r="AA9" s="116" t="s">
        <v>861</v>
      </c>
      <c r="AB9" s="275" t="s">
        <v>862</v>
      </c>
      <c r="AC9" s="277" t="s">
        <v>389</v>
      </c>
      <c r="AD9" s="116" t="s">
        <v>996</v>
      </c>
      <c r="AE9" s="403">
        <v>44055</v>
      </c>
      <c r="AG9" s="51">
        <v>1</v>
      </c>
      <c r="AH9" s="52"/>
      <c r="AI9" s="52"/>
      <c r="AJ9" s="50">
        <f>SUM(AG9:AI9)</f>
        <v>1</v>
      </c>
      <c r="AK9" s="29">
        <v>1</v>
      </c>
      <c r="AL9" s="29">
        <v>5</v>
      </c>
      <c r="AM9" s="29" t="s">
        <v>72</v>
      </c>
      <c r="AN9" s="29" t="s">
        <v>605</v>
      </c>
      <c r="AO9" s="92"/>
    </row>
    <row r="10" spans="2:41" s="29" customFormat="1" ht="287.25" customHeight="1" x14ac:dyDescent="0.2">
      <c r="B10" s="401"/>
      <c r="C10" s="79" t="s">
        <v>69</v>
      </c>
      <c r="D10" s="241" t="s">
        <v>719</v>
      </c>
      <c r="E10" s="45" t="s">
        <v>329</v>
      </c>
      <c r="F10" s="117" t="s">
        <v>328</v>
      </c>
      <c r="G10" s="117" t="s">
        <v>863</v>
      </c>
      <c r="H10" s="117" t="s">
        <v>864</v>
      </c>
      <c r="I10" s="117" t="s">
        <v>865</v>
      </c>
      <c r="J10" s="87">
        <v>2</v>
      </c>
      <c r="K10" s="56" t="str">
        <f t="shared" ref="K10:K15" si="0">IF(J10=3,"ALTO",IF(J10=2,"MEDIO",IF(J10="N/A","N/A","BAJO")))</f>
        <v>MEDIO</v>
      </c>
      <c r="L10" s="56">
        <v>20</v>
      </c>
      <c r="M10" s="56" t="str">
        <f t="shared" ref="M10:M15" si="1">IF(L10=20,"ALTO",IF(L10=10,"MEDIO",IF(L10="N/A","N/A","BAJO")))</f>
        <v>ALTO</v>
      </c>
      <c r="N10" s="88">
        <f t="shared" ref="N10:N15" si="2">J10*L10</f>
        <v>40</v>
      </c>
      <c r="O10" s="131" t="s">
        <v>866</v>
      </c>
      <c r="P10" s="131" t="s">
        <v>867</v>
      </c>
      <c r="Q10" s="87">
        <v>1</v>
      </c>
      <c r="R10" s="87" t="str">
        <f t="shared" ref="R10:R15" si="3">IF(Q10=3,"ALTO",IF(Q10=2,"MEDIO",IF(Q10="N/A","N/A","BAJO")))</f>
        <v>BAJO</v>
      </c>
      <c r="S10" s="56">
        <v>20</v>
      </c>
      <c r="T10" s="87" t="str">
        <f t="shared" ref="T10:T15" si="4">IF(S10=20,"ALTO",IF(S10=10,"MEDIO",IF(S10="N/A","N/A","BAJO")))</f>
        <v>ALTO</v>
      </c>
      <c r="U10" s="88">
        <f t="shared" ref="U10:U15" si="5">Q10*S10</f>
        <v>20</v>
      </c>
      <c r="V10" s="58"/>
      <c r="W10" s="58" t="s">
        <v>116</v>
      </c>
      <c r="X10" s="58"/>
      <c r="Y10" s="58"/>
      <c r="Z10" s="124" t="s">
        <v>504</v>
      </c>
      <c r="AA10" s="125" t="s">
        <v>505</v>
      </c>
      <c r="AB10" s="126" t="s">
        <v>862</v>
      </c>
      <c r="AC10" s="276" t="s">
        <v>119</v>
      </c>
      <c r="AD10" s="117" t="s">
        <v>997</v>
      </c>
      <c r="AE10" s="404"/>
      <c r="AG10" s="240"/>
      <c r="AH10" s="241">
        <v>1</v>
      </c>
      <c r="AI10" s="241"/>
      <c r="AJ10" s="242">
        <f t="shared" ref="AJ10:AJ27" si="6">SUM(AG10:AI10)</f>
        <v>1</v>
      </c>
      <c r="AK10" s="29">
        <v>2</v>
      </c>
      <c r="AL10" s="29">
        <v>10</v>
      </c>
      <c r="AN10" s="29" t="s">
        <v>75</v>
      </c>
      <c r="AO10" s="92"/>
    </row>
    <row r="11" spans="2:41" s="29" customFormat="1" ht="318.75" customHeight="1" x14ac:dyDescent="0.2">
      <c r="B11" s="401"/>
      <c r="C11" s="79" t="s">
        <v>69</v>
      </c>
      <c r="D11" s="241" t="s">
        <v>75</v>
      </c>
      <c r="E11" s="265" t="s">
        <v>330</v>
      </c>
      <c r="F11" s="181" t="s">
        <v>331</v>
      </c>
      <c r="G11" s="181" t="s">
        <v>868</v>
      </c>
      <c r="H11" s="181" t="s">
        <v>869</v>
      </c>
      <c r="I11" s="181" t="s">
        <v>332</v>
      </c>
      <c r="J11" s="87">
        <v>2</v>
      </c>
      <c r="K11" s="56" t="str">
        <f t="shared" si="0"/>
        <v>MEDIO</v>
      </c>
      <c r="L11" s="56">
        <v>20</v>
      </c>
      <c r="M11" s="56" t="str">
        <f t="shared" si="1"/>
        <v>ALTO</v>
      </c>
      <c r="N11" s="88">
        <f t="shared" si="2"/>
        <v>40</v>
      </c>
      <c r="O11" s="181" t="s">
        <v>870</v>
      </c>
      <c r="P11" s="131" t="s">
        <v>871</v>
      </c>
      <c r="Q11" s="87">
        <v>1</v>
      </c>
      <c r="R11" s="87" t="str">
        <f t="shared" si="3"/>
        <v>BAJO</v>
      </c>
      <c r="S11" s="56">
        <v>10</v>
      </c>
      <c r="T11" s="87" t="str">
        <f t="shared" si="4"/>
        <v>MEDIO</v>
      </c>
      <c r="U11" s="88">
        <f t="shared" si="5"/>
        <v>10</v>
      </c>
      <c r="V11" s="58"/>
      <c r="W11" s="58" t="s">
        <v>116</v>
      </c>
      <c r="X11" s="58"/>
      <c r="Y11" s="58"/>
      <c r="Z11" s="117" t="s">
        <v>872</v>
      </c>
      <c r="AA11" s="117" t="s">
        <v>333</v>
      </c>
      <c r="AB11" s="260" t="s">
        <v>873</v>
      </c>
      <c r="AC11" s="264" t="s">
        <v>119</v>
      </c>
      <c r="AD11" s="127" t="s">
        <v>891</v>
      </c>
      <c r="AE11" s="404"/>
      <c r="AG11" s="240">
        <v>1</v>
      </c>
      <c r="AH11" s="241"/>
      <c r="AI11" s="241"/>
      <c r="AJ11" s="242">
        <f t="shared" si="6"/>
        <v>1</v>
      </c>
      <c r="AK11" s="29">
        <v>3</v>
      </c>
      <c r="AL11" s="29">
        <v>20</v>
      </c>
      <c r="AN11" s="29" t="s">
        <v>86</v>
      </c>
      <c r="AO11" s="92"/>
    </row>
    <row r="12" spans="2:41" s="29" customFormat="1" ht="368.25" customHeight="1" x14ac:dyDescent="0.2">
      <c r="B12" s="401"/>
      <c r="C12" s="155" t="s">
        <v>69</v>
      </c>
      <c r="D12" s="156" t="s">
        <v>719</v>
      </c>
      <c r="E12" s="157" t="s">
        <v>334</v>
      </c>
      <c r="F12" s="158" t="s">
        <v>335</v>
      </c>
      <c r="G12" s="158" t="s">
        <v>336</v>
      </c>
      <c r="H12" s="158" t="s">
        <v>337</v>
      </c>
      <c r="I12" s="158" t="s">
        <v>874</v>
      </c>
      <c r="J12" s="56">
        <v>2</v>
      </c>
      <c r="K12" s="56" t="str">
        <f t="shared" si="0"/>
        <v>MEDIO</v>
      </c>
      <c r="L12" s="159">
        <v>20</v>
      </c>
      <c r="M12" s="56" t="str">
        <f t="shared" si="1"/>
        <v>ALTO</v>
      </c>
      <c r="N12" s="88">
        <f t="shared" si="2"/>
        <v>40</v>
      </c>
      <c r="O12" s="160" t="s">
        <v>875</v>
      </c>
      <c r="P12" s="160" t="s">
        <v>876</v>
      </c>
      <c r="Q12" s="56">
        <v>1</v>
      </c>
      <c r="R12" s="87" t="str">
        <f t="shared" si="3"/>
        <v>BAJO</v>
      </c>
      <c r="S12" s="159">
        <v>20</v>
      </c>
      <c r="T12" s="87" t="str">
        <f t="shared" si="4"/>
        <v>ALTO</v>
      </c>
      <c r="U12" s="88">
        <f t="shared" si="5"/>
        <v>20</v>
      </c>
      <c r="V12" s="164"/>
      <c r="W12" s="164" t="s">
        <v>116</v>
      </c>
      <c r="X12" s="164"/>
      <c r="Y12" s="164"/>
      <c r="Z12" s="117" t="s">
        <v>506</v>
      </c>
      <c r="AA12" s="158" t="s">
        <v>1011</v>
      </c>
      <c r="AB12" s="278" t="s">
        <v>877</v>
      </c>
      <c r="AC12" s="278" t="s">
        <v>878</v>
      </c>
      <c r="AD12" s="163" t="s">
        <v>1012</v>
      </c>
      <c r="AE12" s="404"/>
      <c r="AG12" s="240"/>
      <c r="AH12" s="241"/>
      <c r="AI12" s="241"/>
      <c r="AJ12" s="242"/>
      <c r="AN12" s="29" t="s">
        <v>87</v>
      </c>
      <c r="AO12" s="92"/>
    </row>
    <row r="13" spans="2:41" s="29" customFormat="1" ht="318.75" customHeight="1" x14ac:dyDescent="0.2">
      <c r="B13" s="401"/>
      <c r="C13" s="155" t="s">
        <v>69</v>
      </c>
      <c r="D13" s="156" t="s">
        <v>75</v>
      </c>
      <c r="E13" s="265" t="s">
        <v>879</v>
      </c>
      <c r="F13" s="181" t="s">
        <v>880</v>
      </c>
      <c r="G13" s="181" t="s">
        <v>338</v>
      </c>
      <c r="H13" s="181" t="s">
        <v>881</v>
      </c>
      <c r="I13" s="181" t="s">
        <v>339</v>
      </c>
      <c r="J13" s="56">
        <v>2</v>
      </c>
      <c r="K13" s="56" t="str">
        <f t="shared" si="0"/>
        <v>MEDIO</v>
      </c>
      <c r="L13" s="56">
        <v>20</v>
      </c>
      <c r="M13" s="56" t="str">
        <f t="shared" si="1"/>
        <v>ALTO</v>
      </c>
      <c r="N13" s="88">
        <f t="shared" si="2"/>
        <v>40</v>
      </c>
      <c r="O13" s="181" t="s">
        <v>882</v>
      </c>
      <c r="P13" s="131" t="s">
        <v>883</v>
      </c>
      <c r="Q13" s="56">
        <v>1</v>
      </c>
      <c r="R13" s="87" t="str">
        <f t="shared" si="3"/>
        <v>BAJO</v>
      </c>
      <c r="S13" s="159">
        <v>10</v>
      </c>
      <c r="T13" s="87" t="str">
        <f t="shared" si="4"/>
        <v>MEDIO</v>
      </c>
      <c r="U13" s="88">
        <f t="shared" si="5"/>
        <v>10</v>
      </c>
      <c r="V13" s="164"/>
      <c r="W13" s="164" t="s">
        <v>116</v>
      </c>
      <c r="X13" s="164"/>
      <c r="Y13" s="164"/>
      <c r="Z13" s="181" t="s">
        <v>340</v>
      </c>
      <c r="AA13" s="281" t="s">
        <v>341</v>
      </c>
      <c r="AB13" s="282" t="s">
        <v>884</v>
      </c>
      <c r="AC13" s="260" t="s">
        <v>342</v>
      </c>
      <c r="AD13" s="124" t="s">
        <v>998</v>
      </c>
      <c r="AE13" s="404"/>
      <c r="AG13" s="240"/>
      <c r="AH13" s="241"/>
      <c r="AI13" s="241"/>
      <c r="AJ13" s="242"/>
      <c r="AN13" s="29" t="s">
        <v>88</v>
      </c>
      <c r="AO13" s="92"/>
    </row>
    <row r="14" spans="2:41" s="29" customFormat="1" ht="318.75" customHeight="1" x14ac:dyDescent="0.2">
      <c r="B14" s="401"/>
      <c r="C14" s="380" t="s">
        <v>69</v>
      </c>
      <c r="D14" s="156" t="s">
        <v>721</v>
      </c>
      <c r="E14" s="45" t="s">
        <v>709</v>
      </c>
      <c r="F14" s="117" t="s">
        <v>589</v>
      </c>
      <c r="G14" s="117" t="s">
        <v>591</v>
      </c>
      <c r="H14" s="117" t="s">
        <v>590</v>
      </c>
      <c r="I14" s="117" t="s">
        <v>885</v>
      </c>
      <c r="J14" s="56">
        <v>3</v>
      </c>
      <c r="K14" s="56" t="str">
        <f t="shared" si="0"/>
        <v>ALTO</v>
      </c>
      <c r="L14" s="56">
        <v>20</v>
      </c>
      <c r="M14" s="56" t="str">
        <f t="shared" si="1"/>
        <v>ALTO</v>
      </c>
      <c r="N14" s="88">
        <f t="shared" si="2"/>
        <v>60</v>
      </c>
      <c r="O14" s="196" t="s">
        <v>886</v>
      </c>
      <c r="P14" s="196" t="s">
        <v>593</v>
      </c>
      <c r="Q14" s="56">
        <v>3</v>
      </c>
      <c r="R14" s="87" t="str">
        <f t="shared" si="3"/>
        <v>ALTO</v>
      </c>
      <c r="S14" s="56">
        <v>10</v>
      </c>
      <c r="T14" s="87" t="str">
        <f t="shared" si="4"/>
        <v>MEDIO</v>
      </c>
      <c r="U14" s="88">
        <f t="shared" si="5"/>
        <v>30</v>
      </c>
      <c r="V14" s="164" t="s">
        <v>116</v>
      </c>
      <c r="W14" s="164"/>
      <c r="X14" s="164"/>
      <c r="Y14" s="164"/>
      <c r="Z14" s="124" t="s">
        <v>1014</v>
      </c>
      <c r="AA14" s="125" t="s">
        <v>634</v>
      </c>
      <c r="AB14" s="125" t="s">
        <v>1015</v>
      </c>
      <c r="AC14" s="125" t="s">
        <v>389</v>
      </c>
      <c r="AD14" s="124" t="s">
        <v>1013</v>
      </c>
      <c r="AE14" s="404"/>
      <c r="AG14" s="246"/>
      <c r="AH14" s="247"/>
      <c r="AI14" s="247"/>
      <c r="AJ14" s="248"/>
      <c r="AO14" s="92"/>
    </row>
    <row r="15" spans="2:41" s="29" customFormat="1" ht="315.75" customHeight="1" thickBot="1" x14ac:dyDescent="0.25">
      <c r="B15" s="402"/>
      <c r="C15" s="80" t="s">
        <v>69</v>
      </c>
      <c r="D15" s="81" t="s">
        <v>719</v>
      </c>
      <c r="E15" s="213" t="s">
        <v>665</v>
      </c>
      <c r="F15" s="118" t="s">
        <v>1016</v>
      </c>
      <c r="G15" s="118" t="s">
        <v>694</v>
      </c>
      <c r="H15" s="118" t="s">
        <v>695</v>
      </c>
      <c r="I15" s="118" t="s">
        <v>887</v>
      </c>
      <c r="J15" s="57">
        <v>2</v>
      </c>
      <c r="K15" s="57" t="str">
        <f t="shared" si="0"/>
        <v>MEDIO</v>
      </c>
      <c r="L15" s="57">
        <v>20</v>
      </c>
      <c r="M15" s="57" t="str">
        <f t="shared" si="1"/>
        <v>ALTO</v>
      </c>
      <c r="N15" s="88">
        <f t="shared" si="2"/>
        <v>40</v>
      </c>
      <c r="O15" s="343" t="s">
        <v>1017</v>
      </c>
      <c r="P15" s="343" t="s">
        <v>888</v>
      </c>
      <c r="Q15" s="57">
        <v>1</v>
      </c>
      <c r="R15" s="57" t="str">
        <f t="shared" si="3"/>
        <v>BAJO</v>
      </c>
      <c r="S15" s="57">
        <v>20</v>
      </c>
      <c r="T15" s="57" t="str">
        <f t="shared" si="4"/>
        <v>ALTO</v>
      </c>
      <c r="U15" s="88">
        <f t="shared" si="5"/>
        <v>20</v>
      </c>
      <c r="V15" s="249"/>
      <c r="W15" s="249" t="s">
        <v>116</v>
      </c>
      <c r="X15" s="249"/>
      <c r="Y15" s="249"/>
      <c r="Z15" s="279" t="s">
        <v>889</v>
      </c>
      <c r="AA15" s="313" t="s">
        <v>696</v>
      </c>
      <c r="AB15" s="280" t="s">
        <v>890</v>
      </c>
      <c r="AC15" s="313" t="s">
        <v>119</v>
      </c>
      <c r="AD15" s="219" t="s">
        <v>1018</v>
      </c>
      <c r="AE15" s="405"/>
      <c r="AG15" s="240">
        <v>1</v>
      </c>
      <c r="AH15" s="241"/>
      <c r="AI15" s="241"/>
      <c r="AJ15" s="242">
        <f t="shared" si="6"/>
        <v>1</v>
      </c>
      <c r="AK15" s="29">
        <v>4</v>
      </c>
      <c r="AO15" s="92"/>
    </row>
    <row r="16" spans="2:41" s="29" customFormat="1" ht="31.5" customHeight="1" thickBot="1" x14ac:dyDescent="0.25">
      <c r="B16" s="24"/>
      <c r="C16" s="24"/>
      <c r="D16" s="24"/>
      <c r="E16" s="24"/>
      <c r="F16" s="24"/>
      <c r="G16" s="24"/>
      <c r="H16" s="24"/>
      <c r="I16" s="24"/>
      <c r="J16" s="24"/>
      <c r="K16" s="24"/>
      <c r="L16" s="24"/>
      <c r="M16" s="24"/>
      <c r="N16" s="368">
        <f>AVERAGE(N9:N15)</f>
        <v>42.857142857142854</v>
      </c>
      <c r="O16" s="24"/>
      <c r="P16" s="24"/>
      <c r="Q16" s="24"/>
      <c r="R16" s="24"/>
      <c r="S16" s="24"/>
      <c r="T16" s="24"/>
      <c r="U16" s="368">
        <f>AVERAGE(U9:U15)</f>
        <v>18.571428571428573</v>
      </c>
      <c r="V16" s="24"/>
      <c r="W16" s="24"/>
      <c r="X16" s="24"/>
      <c r="Y16" s="24"/>
      <c r="Z16" s="24"/>
      <c r="AA16" s="24"/>
      <c r="AB16" s="24"/>
      <c r="AC16" s="24"/>
      <c r="AD16" s="85"/>
      <c r="AE16" s="47"/>
      <c r="AG16" s="240"/>
      <c r="AH16" s="241">
        <v>1</v>
      </c>
      <c r="AI16" s="241"/>
      <c r="AJ16" s="242">
        <f t="shared" si="6"/>
        <v>1</v>
      </c>
      <c r="AO16" s="93"/>
    </row>
    <row r="17" spans="2:41" s="29" customFormat="1" ht="129" customHeight="1" thickBot="1" x14ac:dyDescent="0.25">
      <c r="B17" s="24"/>
      <c r="C17" s="24"/>
      <c r="D17" s="24"/>
      <c r="E17" s="24"/>
      <c r="F17" s="109"/>
      <c r="G17" s="109"/>
      <c r="H17" s="462" t="s">
        <v>209</v>
      </c>
      <c r="I17" s="463"/>
      <c r="J17" s="463"/>
      <c r="K17" s="464"/>
      <c r="L17" s="24"/>
      <c r="M17" s="406" t="s">
        <v>446</v>
      </c>
      <c r="N17" s="407"/>
      <c r="O17" s="407"/>
      <c r="P17" s="408"/>
      <c r="Q17" s="110"/>
      <c r="R17" s="24"/>
      <c r="S17" s="24"/>
      <c r="T17" s="24"/>
      <c r="U17" s="24"/>
      <c r="V17" s="24"/>
      <c r="W17" s="24"/>
      <c r="X17" s="24"/>
      <c r="Y17" s="24"/>
      <c r="Z17" s="24"/>
      <c r="AA17" s="24"/>
      <c r="AB17" s="24"/>
      <c r="AC17" s="24"/>
      <c r="AD17" s="24"/>
      <c r="AE17" s="42"/>
      <c r="AG17" s="240">
        <v>1</v>
      </c>
      <c r="AH17" s="241"/>
      <c r="AI17" s="241"/>
      <c r="AJ17" s="242">
        <f t="shared" si="6"/>
        <v>1</v>
      </c>
      <c r="AK17" s="29" t="s">
        <v>84</v>
      </c>
      <c r="AO17" s="448" t="s">
        <v>76</v>
      </c>
    </row>
    <row r="18" spans="2:41" s="29" customFormat="1" ht="46.5" customHeight="1" x14ac:dyDescent="0.2">
      <c r="B18" s="24"/>
      <c r="C18" s="24"/>
      <c r="D18" s="24"/>
      <c r="E18" s="24"/>
      <c r="F18" s="438"/>
      <c r="G18" s="438"/>
      <c r="H18" s="465" t="s">
        <v>139</v>
      </c>
      <c r="I18" s="466"/>
      <c r="J18" s="26">
        <f>COUNTIF(U9:U15,"=5")</f>
        <v>0</v>
      </c>
      <c r="K18" s="27">
        <f>J18*100%/J21</f>
        <v>0</v>
      </c>
      <c r="L18" s="24"/>
      <c r="M18" s="485" t="s">
        <v>104</v>
      </c>
      <c r="N18" s="486"/>
      <c r="O18" s="486" t="s">
        <v>47</v>
      </c>
      <c r="P18" s="487"/>
      <c r="Q18" s="111"/>
      <c r="R18" s="24"/>
      <c r="S18" s="24"/>
      <c r="T18" s="24"/>
      <c r="U18" s="24"/>
      <c r="V18" s="24"/>
      <c r="W18" s="24"/>
      <c r="X18" s="24"/>
      <c r="Y18" s="24"/>
      <c r="Z18" s="24"/>
      <c r="AA18" s="24"/>
      <c r="AB18" s="24"/>
      <c r="AC18" s="24"/>
      <c r="AD18" s="24"/>
      <c r="AE18" s="42"/>
      <c r="AG18" s="240">
        <v>1</v>
      </c>
      <c r="AH18" s="241"/>
      <c r="AI18" s="241"/>
      <c r="AJ18" s="242">
        <f t="shared" si="6"/>
        <v>1</v>
      </c>
      <c r="AK18" s="29" t="s">
        <v>85</v>
      </c>
      <c r="AO18" s="449"/>
    </row>
    <row r="19" spans="2:41" s="29" customFormat="1" ht="46.5" customHeight="1" x14ac:dyDescent="0.2">
      <c r="B19" s="24"/>
      <c r="C19" s="24"/>
      <c r="D19" s="24"/>
      <c r="E19" s="24"/>
      <c r="F19" s="438"/>
      <c r="G19" s="438"/>
      <c r="H19" s="465" t="s">
        <v>140</v>
      </c>
      <c r="I19" s="466"/>
      <c r="J19" s="26">
        <f>COUNTIFS(U9:U15,"&gt;=6",U9:U15,"&lt;=30")</f>
        <v>7</v>
      </c>
      <c r="K19" s="27">
        <f>J19*100%/J21</f>
        <v>1</v>
      </c>
      <c r="L19" s="24"/>
      <c r="M19" s="478" t="s">
        <v>105</v>
      </c>
      <c r="N19" s="479"/>
      <c r="O19" s="480" t="s">
        <v>48</v>
      </c>
      <c r="P19" s="481"/>
      <c r="Q19" s="111"/>
      <c r="R19" s="24"/>
      <c r="S19" s="24"/>
      <c r="T19" s="24"/>
      <c r="U19" s="24"/>
      <c r="V19" s="24"/>
      <c r="W19" s="24"/>
      <c r="X19" s="24"/>
      <c r="Y19" s="24"/>
      <c r="Z19" s="24"/>
      <c r="AA19" s="24"/>
      <c r="AB19" s="24"/>
      <c r="AC19" s="24"/>
      <c r="AD19" s="24"/>
      <c r="AE19" s="42"/>
      <c r="AG19" s="240">
        <v>1</v>
      </c>
      <c r="AH19" s="241"/>
      <c r="AI19" s="241"/>
      <c r="AJ19" s="242">
        <f t="shared" si="6"/>
        <v>1</v>
      </c>
      <c r="AO19" s="449"/>
    </row>
    <row r="20" spans="2:41" s="29" customFormat="1" ht="46.5" customHeight="1" thickBot="1" x14ac:dyDescent="0.25">
      <c r="B20" s="24"/>
      <c r="C20" s="24"/>
      <c r="D20" s="24"/>
      <c r="E20" s="24"/>
      <c r="F20" s="438"/>
      <c r="G20" s="438"/>
      <c r="H20" s="465" t="s">
        <v>141</v>
      </c>
      <c r="I20" s="466"/>
      <c r="J20" s="26">
        <f>COUNTIFS(U9:U15,"&gt;=40",U9:U15,"&lt;=60")</f>
        <v>0</v>
      </c>
      <c r="K20" s="27">
        <f>J20*100%/J21</f>
        <v>0</v>
      </c>
      <c r="L20" s="24"/>
      <c r="M20" s="482" t="s">
        <v>106</v>
      </c>
      <c r="N20" s="483"/>
      <c r="O20" s="483" t="s">
        <v>20</v>
      </c>
      <c r="P20" s="484"/>
      <c r="Q20" s="111"/>
      <c r="R20" s="24"/>
      <c r="S20" s="24"/>
      <c r="T20" s="24"/>
      <c r="U20" s="24"/>
      <c r="V20" s="24"/>
      <c r="W20" s="24"/>
      <c r="X20" s="24"/>
      <c r="Y20" s="24"/>
      <c r="Z20" s="24"/>
      <c r="AA20" s="24"/>
      <c r="AB20" s="24"/>
      <c r="AC20" s="24"/>
      <c r="AD20" s="24"/>
      <c r="AE20" s="42"/>
      <c r="AG20" s="240">
        <v>1</v>
      </c>
      <c r="AH20" s="241"/>
      <c r="AI20" s="241"/>
      <c r="AJ20" s="242">
        <f t="shared" si="6"/>
        <v>1</v>
      </c>
      <c r="AO20" s="449"/>
    </row>
    <row r="21" spans="2:41" s="29" customFormat="1" ht="46.5" customHeight="1" thickBot="1" x14ac:dyDescent="0.25">
      <c r="B21" s="24"/>
      <c r="C21" s="24"/>
      <c r="D21" s="24"/>
      <c r="E21" s="24"/>
      <c r="F21" s="447"/>
      <c r="G21" s="447"/>
      <c r="H21" s="472" t="s">
        <v>142</v>
      </c>
      <c r="I21" s="473"/>
      <c r="J21" s="244">
        <f>+J18+J20+J19</f>
        <v>7</v>
      </c>
      <c r="K21" s="137">
        <f>K18+K19+K20</f>
        <v>1</v>
      </c>
      <c r="L21" s="24"/>
      <c r="M21" s="24"/>
      <c r="N21" s="24"/>
      <c r="O21" s="24"/>
      <c r="P21" s="24"/>
      <c r="Q21" s="24"/>
      <c r="R21" s="24"/>
      <c r="S21" s="24"/>
      <c r="T21" s="24"/>
      <c r="U21" s="24"/>
      <c r="V21" s="24"/>
      <c r="W21" s="24"/>
      <c r="X21" s="24"/>
      <c r="Y21" s="24"/>
      <c r="Z21" s="24"/>
      <c r="AA21" s="24"/>
      <c r="AB21" s="24"/>
      <c r="AC21" s="24"/>
      <c r="AD21" s="24"/>
      <c r="AE21" s="42"/>
      <c r="AG21" s="240">
        <v>1</v>
      </c>
      <c r="AH21" s="241"/>
      <c r="AI21" s="241"/>
      <c r="AJ21" s="242">
        <f t="shared" si="6"/>
        <v>1</v>
      </c>
      <c r="AO21" s="449"/>
    </row>
    <row r="22" spans="2:41" s="29" customFormat="1" ht="75" customHeight="1" thickBot="1" x14ac:dyDescent="0.25">
      <c r="B22" s="24"/>
      <c r="C22" s="24"/>
      <c r="D22" s="24"/>
      <c r="E22" s="24"/>
      <c r="F22" s="24"/>
      <c r="G22" s="24"/>
      <c r="H22" s="470" t="s">
        <v>208</v>
      </c>
      <c r="I22" s="471"/>
      <c r="J22" s="226">
        <f>COUNTIF(Q9:Q15,"N/A")</f>
        <v>0</v>
      </c>
      <c r="K22" s="227">
        <f>IF(J22&gt;=1,"100%",0)</f>
        <v>0</v>
      </c>
      <c r="L22" s="24"/>
      <c r="M22" s="24"/>
      <c r="N22" s="24"/>
      <c r="O22" s="24"/>
      <c r="P22" s="24"/>
      <c r="Q22" s="24"/>
      <c r="R22" s="24"/>
      <c r="S22" s="24"/>
      <c r="T22" s="24"/>
      <c r="U22" s="24"/>
      <c r="V22" s="24"/>
      <c r="W22" s="24"/>
      <c r="X22" s="24"/>
      <c r="Y22" s="24"/>
      <c r="Z22" s="24"/>
      <c r="AA22" s="24"/>
      <c r="AB22" s="24"/>
      <c r="AC22" s="24"/>
      <c r="AD22" s="24"/>
      <c r="AE22" s="42"/>
      <c r="AG22" s="240"/>
      <c r="AH22" s="241">
        <v>1</v>
      </c>
      <c r="AI22" s="241"/>
      <c r="AJ22" s="242">
        <f t="shared" si="6"/>
        <v>1</v>
      </c>
      <c r="AO22" s="449"/>
    </row>
    <row r="23" spans="2:41" s="29" customFormat="1" ht="97.5" customHeight="1" x14ac:dyDescent="0.2">
      <c r="B23" s="24"/>
      <c r="C23" s="82"/>
      <c r="D23" s="82"/>
      <c r="E23" s="82"/>
      <c r="F23" s="82"/>
      <c r="G23" s="83"/>
      <c r="H23" s="83"/>
      <c r="I23" s="82"/>
      <c r="J23" s="24"/>
      <c r="K23" s="24"/>
      <c r="L23" s="24"/>
      <c r="M23" s="24"/>
      <c r="N23" s="24"/>
      <c r="O23" s="24"/>
      <c r="P23" s="24"/>
      <c r="Q23" s="24"/>
      <c r="R23" s="24"/>
      <c r="S23" s="24"/>
      <c r="T23" s="24"/>
      <c r="U23" s="24"/>
      <c r="V23" s="24"/>
      <c r="W23" s="24"/>
      <c r="X23" s="24"/>
      <c r="Y23" s="24"/>
      <c r="Z23" s="24"/>
      <c r="AA23" s="24"/>
      <c r="AB23" s="24"/>
      <c r="AC23" s="24"/>
      <c r="AD23" s="24"/>
      <c r="AE23" s="42"/>
      <c r="AG23" s="240"/>
      <c r="AH23" s="241">
        <v>1</v>
      </c>
      <c r="AI23" s="241"/>
      <c r="AJ23" s="242">
        <f t="shared" si="6"/>
        <v>1</v>
      </c>
      <c r="AO23" s="449"/>
    </row>
    <row r="24" spans="2:41" s="29" customFormat="1" ht="107.25" customHeight="1" thickBot="1" x14ac:dyDescent="0.25">
      <c r="B24" s="24"/>
      <c r="C24" s="82"/>
      <c r="D24" s="82"/>
      <c r="E24" s="82"/>
      <c r="F24" s="83"/>
      <c r="G24" s="83"/>
      <c r="H24" s="83"/>
      <c r="I24" s="83"/>
      <c r="J24" s="24"/>
      <c r="K24" s="24"/>
      <c r="L24" s="24"/>
      <c r="M24" s="24"/>
      <c r="N24" s="24"/>
      <c r="O24" s="24"/>
      <c r="P24" s="24"/>
      <c r="Q24" s="24"/>
      <c r="R24" s="24"/>
      <c r="S24" s="24"/>
      <c r="T24" s="24"/>
      <c r="U24" s="24"/>
      <c r="V24" s="24"/>
      <c r="W24" s="24"/>
      <c r="X24" s="24"/>
      <c r="Y24" s="24"/>
      <c r="Z24" s="24"/>
      <c r="AA24" s="24"/>
      <c r="AB24" s="24"/>
      <c r="AC24" s="24"/>
      <c r="AD24" s="24"/>
      <c r="AE24" s="42"/>
      <c r="AG24" s="240">
        <v>1</v>
      </c>
      <c r="AH24" s="241"/>
      <c r="AI24" s="241"/>
      <c r="AJ24" s="242">
        <f t="shared" si="6"/>
        <v>1</v>
      </c>
      <c r="AO24" s="450"/>
    </row>
    <row r="25" spans="2:41" s="28" customFormat="1" ht="80.25" customHeight="1" x14ac:dyDescent="0.2">
      <c r="B25" s="24"/>
      <c r="C25" s="82"/>
      <c r="D25" s="82"/>
      <c r="E25" s="84"/>
      <c r="F25" s="84"/>
      <c r="G25" s="84"/>
      <c r="H25" s="84"/>
      <c r="I25" s="84"/>
      <c r="J25" s="24"/>
      <c r="K25" s="24"/>
      <c r="L25" s="24"/>
      <c r="M25" s="24"/>
      <c r="N25" s="24"/>
      <c r="O25" s="24"/>
      <c r="P25" s="24"/>
      <c r="Q25" s="24"/>
      <c r="R25" s="24"/>
      <c r="S25" s="24"/>
      <c r="T25" s="24"/>
      <c r="U25" s="24"/>
      <c r="V25" s="24"/>
      <c r="W25" s="24"/>
      <c r="X25" s="24"/>
      <c r="Y25" s="24"/>
      <c r="Z25" s="24"/>
      <c r="AA25" s="24"/>
      <c r="AB25" s="24"/>
      <c r="AC25" s="24"/>
      <c r="AD25" s="24"/>
      <c r="AE25" s="42"/>
      <c r="AG25" s="39"/>
      <c r="AH25" s="49"/>
      <c r="AI25" s="49"/>
      <c r="AJ25" s="40"/>
      <c r="AO25" s="448" t="s">
        <v>77</v>
      </c>
    </row>
    <row r="26" spans="2:41" s="29" customFormat="1" ht="101.25" customHeight="1" x14ac:dyDescent="0.2">
      <c r="B26" s="24"/>
      <c r="C26" s="83"/>
      <c r="D26" s="83"/>
      <c r="E26" s="48"/>
      <c r="F26" s="48"/>
      <c r="G26" s="48"/>
      <c r="H26" s="48"/>
      <c r="I26" s="48"/>
      <c r="J26" s="24"/>
      <c r="K26" s="24"/>
      <c r="L26" s="24"/>
      <c r="M26" s="24"/>
      <c r="N26" s="24"/>
      <c r="O26" s="24"/>
      <c r="P26" s="24"/>
      <c r="Q26" s="24"/>
      <c r="R26" s="24"/>
      <c r="S26" s="24"/>
      <c r="T26" s="24"/>
      <c r="U26" s="24"/>
      <c r="V26" s="24"/>
      <c r="W26" s="24"/>
      <c r="X26" s="24"/>
      <c r="Y26" s="24"/>
      <c r="Z26" s="24"/>
      <c r="AA26" s="24"/>
      <c r="AB26" s="24"/>
      <c r="AC26" s="24"/>
      <c r="AD26" s="24"/>
      <c r="AE26" s="42"/>
      <c r="AG26" s="240">
        <v>1</v>
      </c>
      <c r="AH26" s="241"/>
      <c r="AI26" s="241"/>
      <c r="AJ26" s="242">
        <f t="shared" si="6"/>
        <v>1</v>
      </c>
      <c r="AO26" s="449"/>
    </row>
    <row r="27" spans="2:41" s="29" customFormat="1" ht="109.5" customHeight="1" x14ac:dyDescent="0.2">
      <c r="B27" s="24"/>
      <c r="C27" s="83"/>
      <c r="D27" s="83"/>
      <c r="I27" s="24"/>
      <c r="J27" s="24"/>
      <c r="K27" s="24"/>
      <c r="L27" s="24"/>
      <c r="M27" s="24"/>
      <c r="N27" s="24"/>
      <c r="O27" s="24"/>
      <c r="P27" s="24"/>
      <c r="Q27" s="24"/>
      <c r="R27" s="24"/>
      <c r="S27" s="24"/>
      <c r="T27" s="24"/>
      <c r="U27" s="24"/>
      <c r="V27" s="24"/>
      <c r="W27" s="24"/>
      <c r="X27" s="24"/>
      <c r="Y27" s="24"/>
      <c r="Z27" s="24"/>
      <c r="AA27" s="24"/>
      <c r="AB27" s="24"/>
      <c r="AC27" s="24"/>
      <c r="AD27" s="24"/>
      <c r="AE27" s="42"/>
      <c r="AG27" s="240"/>
      <c r="AH27" s="241">
        <v>1</v>
      </c>
      <c r="AI27" s="241"/>
      <c r="AJ27" s="242">
        <f t="shared" si="6"/>
        <v>1</v>
      </c>
      <c r="AO27" s="449"/>
    </row>
    <row r="28" spans="2:41" s="29" customFormat="1" ht="67.5" customHeight="1" x14ac:dyDescent="0.2">
      <c r="B28" s="24"/>
      <c r="C28" s="83"/>
      <c r="D28" s="83"/>
      <c r="H28" s="24"/>
      <c r="I28" s="24"/>
      <c r="J28" s="24"/>
      <c r="K28" s="24"/>
      <c r="L28" s="24"/>
      <c r="M28" s="24"/>
      <c r="N28" s="24"/>
      <c r="O28" s="24"/>
      <c r="P28" s="24"/>
      <c r="Q28" s="24"/>
      <c r="R28" s="24"/>
      <c r="S28" s="24"/>
      <c r="T28" s="24"/>
      <c r="U28" s="24"/>
      <c r="V28" s="24"/>
      <c r="W28" s="24"/>
      <c r="X28" s="24"/>
      <c r="Y28" s="24"/>
      <c r="Z28" s="24"/>
      <c r="AA28" s="24"/>
      <c r="AB28" s="24"/>
      <c r="AC28" s="24"/>
      <c r="AD28" s="24"/>
      <c r="AE28" s="42"/>
      <c r="AG28" s="240"/>
      <c r="AH28" s="241">
        <v>1</v>
      </c>
      <c r="AI28" s="241"/>
      <c r="AJ28" s="242">
        <v>1</v>
      </c>
      <c r="AO28" s="449"/>
    </row>
    <row r="29" spans="2:41" s="29" customFormat="1" ht="83.25" customHeight="1" x14ac:dyDescent="0.2">
      <c r="B29" s="24"/>
      <c r="C29" s="82"/>
      <c r="D29" s="82"/>
      <c r="G29" s="24"/>
      <c r="H29" s="24"/>
      <c r="I29" s="24"/>
      <c r="J29" s="24"/>
      <c r="K29" s="24"/>
      <c r="L29" s="24"/>
      <c r="M29" s="24"/>
      <c r="N29" s="24"/>
      <c r="O29" s="24"/>
      <c r="P29" s="24"/>
      <c r="Q29" s="24"/>
      <c r="R29" s="24"/>
      <c r="S29" s="24"/>
      <c r="T29" s="24"/>
      <c r="U29" s="24"/>
      <c r="V29" s="24"/>
      <c r="W29" s="24"/>
      <c r="X29" s="24"/>
      <c r="Y29" s="24"/>
      <c r="Z29" s="24"/>
      <c r="AA29" s="24"/>
      <c r="AB29" s="24"/>
      <c r="AC29" s="24"/>
      <c r="AD29" s="24"/>
      <c r="AE29" s="42"/>
      <c r="AG29" s="240"/>
      <c r="AH29" s="241">
        <v>1</v>
      </c>
      <c r="AI29" s="241"/>
      <c r="AJ29" s="242">
        <v>1</v>
      </c>
      <c r="AO29" s="449"/>
    </row>
    <row r="30" spans="2:41" s="29" customFormat="1" ht="75.75" customHeight="1" thickBot="1" x14ac:dyDescent="0.25">
      <c r="B30" s="24"/>
      <c r="C30" s="82"/>
      <c r="D30" s="82"/>
      <c r="G30" s="24"/>
      <c r="H30" s="24"/>
      <c r="I30" s="24"/>
      <c r="J30" s="24"/>
      <c r="K30" s="24"/>
      <c r="L30" s="24"/>
      <c r="M30" s="24"/>
      <c r="N30" s="24"/>
      <c r="O30" s="24"/>
      <c r="P30" s="24"/>
      <c r="Q30" s="24"/>
      <c r="R30" s="24"/>
      <c r="S30" s="24"/>
      <c r="T30" s="24"/>
      <c r="U30" s="24"/>
      <c r="V30" s="24"/>
      <c r="W30" s="24"/>
      <c r="X30" s="24"/>
      <c r="Y30" s="24"/>
      <c r="Z30" s="24"/>
      <c r="AA30" s="24"/>
      <c r="AB30" s="24"/>
      <c r="AC30" s="24"/>
      <c r="AD30" s="24"/>
      <c r="AE30" s="42"/>
      <c r="AG30" s="240"/>
      <c r="AH30" s="241"/>
      <c r="AI30" s="241"/>
      <c r="AJ30" s="242"/>
      <c r="AO30" s="450"/>
    </row>
    <row r="31" spans="2:41" s="29" customFormat="1" ht="73.5" customHeight="1" x14ac:dyDescent="0.2">
      <c r="B31" s="24"/>
      <c r="C31" s="82"/>
      <c r="D31" s="82"/>
      <c r="F31" s="24"/>
      <c r="G31" s="24"/>
      <c r="H31" s="24"/>
      <c r="I31" s="24"/>
      <c r="J31" s="24"/>
      <c r="K31" s="24"/>
      <c r="L31" s="24"/>
      <c r="M31" s="24"/>
      <c r="N31" s="24"/>
      <c r="O31" s="24"/>
      <c r="P31" s="24"/>
      <c r="Q31" s="24"/>
      <c r="R31" s="24"/>
      <c r="S31" s="24"/>
      <c r="T31" s="24"/>
      <c r="U31" s="24"/>
      <c r="V31" s="24"/>
      <c r="W31" s="24"/>
      <c r="X31" s="24"/>
      <c r="Y31" s="24"/>
      <c r="Z31" s="24"/>
      <c r="AA31" s="24"/>
      <c r="AB31" s="24"/>
      <c r="AC31" s="24"/>
      <c r="AD31" s="24"/>
      <c r="AE31" s="42"/>
      <c r="AG31" s="240"/>
      <c r="AH31" s="241">
        <v>1</v>
      </c>
      <c r="AI31" s="241"/>
      <c r="AJ31" s="242">
        <v>1</v>
      </c>
      <c r="AO31" s="448" t="s">
        <v>78</v>
      </c>
    </row>
    <row r="32" spans="2:41" s="29" customFormat="1" ht="58.5" customHeight="1" x14ac:dyDescent="0.2">
      <c r="B32" s="24"/>
      <c r="C32" s="83"/>
      <c r="D32" s="83"/>
      <c r="J32" s="24"/>
      <c r="K32" s="24"/>
      <c r="L32" s="24"/>
      <c r="M32" s="24"/>
      <c r="N32" s="24"/>
      <c r="O32" s="24"/>
      <c r="P32" s="24"/>
      <c r="Q32" s="24"/>
      <c r="R32" s="24"/>
      <c r="S32" s="24"/>
      <c r="T32" s="24"/>
      <c r="U32" s="24"/>
      <c r="V32" s="24"/>
      <c r="W32" s="24"/>
      <c r="X32" s="24"/>
      <c r="Y32" s="24"/>
      <c r="Z32" s="24"/>
      <c r="AA32" s="24"/>
      <c r="AB32" s="24"/>
      <c r="AC32" s="24"/>
      <c r="AD32" s="24"/>
      <c r="AE32" s="42"/>
      <c r="AG32" s="240">
        <v>1</v>
      </c>
      <c r="AH32" s="241"/>
      <c r="AI32" s="241"/>
      <c r="AJ32" s="242">
        <v>1</v>
      </c>
      <c r="AO32" s="449"/>
    </row>
    <row r="33" spans="2:41" s="29" customFormat="1" ht="73.5" customHeight="1" x14ac:dyDescent="0.2">
      <c r="B33" s="24"/>
      <c r="C33" s="83"/>
      <c r="D33" s="83"/>
      <c r="E33" s="24"/>
      <c r="F33" s="24"/>
      <c r="G33" s="24"/>
      <c r="H33" s="24"/>
      <c r="I33" s="24"/>
      <c r="J33" s="24"/>
      <c r="K33" s="24"/>
      <c r="L33" s="24"/>
      <c r="M33" s="24"/>
      <c r="N33" s="24"/>
      <c r="O33" s="24"/>
      <c r="P33" s="24"/>
      <c r="Q33" s="24"/>
      <c r="R33" s="24"/>
      <c r="S33" s="24"/>
      <c r="T33" s="24"/>
      <c r="U33" s="24"/>
      <c r="V33" s="24"/>
      <c r="W33" s="24"/>
      <c r="X33" s="24"/>
      <c r="Y33" s="24"/>
      <c r="Z33" s="24"/>
      <c r="AA33" s="24"/>
      <c r="AB33" s="24"/>
      <c r="AC33" s="24"/>
      <c r="AD33" s="24"/>
      <c r="AE33" s="42"/>
      <c r="AG33" s="240"/>
      <c r="AH33" s="241">
        <v>1</v>
      </c>
      <c r="AI33" s="241"/>
      <c r="AJ33" s="242">
        <v>1</v>
      </c>
      <c r="AO33" s="449"/>
    </row>
    <row r="34" spans="2:41" s="29" customFormat="1" ht="102" customHeight="1" thickBot="1" x14ac:dyDescent="0.25">
      <c r="B34" s="24"/>
      <c r="C34" s="83"/>
      <c r="D34" s="83"/>
      <c r="E34" s="24"/>
      <c r="F34" s="24"/>
      <c r="G34" s="24"/>
      <c r="H34" s="24"/>
      <c r="I34" s="24"/>
      <c r="J34" s="24"/>
      <c r="K34" s="24"/>
      <c r="L34" s="24"/>
      <c r="M34" s="24"/>
      <c r="N34" s="24"/>
      <c r="O34" s="24"/>
      <c r="P34" s="24"/>
      <c r="Q34" s="24"/>
      <c r="R34" s="24"/>
      <c r="S34" s="24"/>
      <c r="T34" s="24"/>
      <c r="U34" s="24"/>
      <c r="V34" s="24"/>
      <c r="W34" s="24"/>
      <c r="X34" s="24"/>
      <c r="Y34" s="24"/>
      <c r="Z34" s="24"/>
      <c r="AA34" s="24"/>
      <c r="AB34" s="24"/>
      <c r="AC34" s="24"/>
      <c r="AD34" s="24"/>
      <c r="AE34" s="42"/>
      <c r="AG34" s="240">
        <v>1</v>
      </c>
      <c r="AH34" s="241"/>
      <c r="AI34" s="241"/>
      <c r="AJ34" s="242">
        <v>1</v>
      </c>
      <c r="AO34" s="449"/>
    </row>
    <row r="35" spans="2:41" s="29" customFormat="1" ht="86.25" customHeight="1" x14ac:dyDescent="0.2">
      <c r="B35" s="24"/>
      <c r="C35" s="83"/>
      <c r="D35" s="83"/>
      <c r="E35" s="24"/>
      <c r="F35" s="24"/>
      <c r="G35" s="24"/>
      <c r="H35" s="24"/>
      <c r="I35" s="24"/>
      <c r="J35" s="24"/>
      <c r="K35" s="24"/>
      <c r="L35" s="24"/>
      <c r="M35" s="24"/>
      <c r="N35" s="24"/>
      <c r="O35" s="24"/>
      <c r="P35" s="24"/>
      <c r="Q35" s="24"/>
      <c r="R35" s="24"/>
      <c r="S35" s="24"/>
      <c r="T35" s="24"/>
      <c r="U35" s="24"/>
      <c r="V35" s="24"/>
      <c r="W35" s="24"/>
      <c r="X35" s="24"/>
      <c r="Y35" s="24"/>
      <c r="Z35" s="24"/>
      <c r="AA35" s="24"/>
      <c r="AB35" s="24"/>
      <c r="AC35" s="24"/>
      <c r="AD35" s="24"/>
      <c r="AE35" s="42"/>
      <c r="AG35" s="240"/>
      <c r="AH35" s="241">
        <v>1</v>
      </c>
      <c r="AI35" s="241"/>
      <c r="AJ35" s="242">
        <v>1</v>
      </c>
      <c r="AO35" s="451" t="s">
        <v>79</v>
      </c>
    </row>
    <row r="36" spans="2:41" s="29" customFormat="1" ht="70.5" customHeight="1" thickBot="1" x14ac:dyDescent="0.25">
      <c r="B36" s="24"/>
      <c r="C36" s="83"/>
      <c r="D36" s="83"/>
      <c r="E36" s="24"/>
      <c r="F36" s="24"/>
      <c r="G36" s="24"/>
      <c r="H36" s="24"/>
      <c r="I36" s="24"/>
      <c r="J36" s="24"/>
      <c r="K36" s="24"/>
      <c r="L36" s="24"/>
      <c r="M36" s="24"/>
      <c r="N36" s="24"/>
      <c r="O36" s="24"/>
      <c r="P36" s="24"/>
      <c r="Q36" s="24"/>
      <c r="R36" s="24"/>
      <c r="S36" s="24"/>
      <c r="T36" s="24"/>
      <c r="U36" s="24"/>
      <c r="V36" s="24"/>
      <c r="W36" s="24"/>
      <c r="X36" s="24"/>
      <c r="Y36" s="24"/>
      <c r="Z36" s="24"/>
      <c r="AA36" s="24"/>
      <c r="AB36" s="24"/>
      <c r="AC36" s="24"/>
      <c r="AD36" s="24"/>
      <c r="AE36" s="42"/>
      <c r="AG36" s="240">
        <v>1</v>
      </c>
      <c r="AH36" s="241"/>
      <c r="AI36" s="241"/>
      <c r="AJ36" s="242">
        <v>1</v>
      </c>
      <c r="AO36" s="452"/>
    </row>
    <row r="37" spans="2:41" s="29" customFormat="1" ht="62.25" customHeight="1" x14ac:dyDescent="0.2">
      <c r="B37" s="24"/>
      <c r="C37" s="83"/>
      <c r="D37" s="83"/>
      <c r="E37" s="24"/>
      <c r="F37" s="24"/>
      <c r="G37" s="24"/>
      <c r="H37" s="24"/>
      <c r="I37" s="24"/>
      <c r="J37" s="24"/>
      <c r="K37" s="24"/>
      <c r="L37" s="24"/>
      <c r="M37" s="24"/>
      <c r="N37" s="24"/>
      <c r="O37" s="24"/>
      <c r="P37" s="24"/>
      <c r="Q37" s="24"/>
      <c r="R37" s="24"/>
      <c r="S37" s="24"/>
      <c r="T37" s="24"/>
      <c r="U37" s="24"/>
      <c r="V37" s="24"/>
      <c r="W37" s="24"/>
      <c r="X37" s="24"/>
      <c r="Y37" s="24"/>
      <c r="Z37" s="24"/>
      <c r="AA37" s="24"/>
      <c r="AB37" s="24"/>
      <c r="AC37" s="24"/>
      <c r="AD37" s="24"/>
      <c r="AE37" s="42"/>
      <c r="AG37" s="240">
        <v>1</v>
      </c>
      <c r="AH37" s="241"/>
      <c r="AI37" s="241"/>
      <c r="AJ37" s="242">
        <v>1</v>
      </c>
      <c r="AO37" s="451" t="s">
        <v>80</v>
      </c>
    </row>
    <row r="38" spans="2:41" s="29" customFormat="1" ht="45.75" customHeight="1" x14ac:dyDescent="0.2">
      <c r="B38" s="24"/>
      <c r="C38" s="83"/>
      <c r="D38" s="83"/>
      <c r="E38" s="24"/>
      <c r="F38" s="24"/>
      <c r="G38" s="24"/>
      <c r="H38" s="24"/>
      <c r="I38" s="24"/>
      <c r="J38" s="24"/>
      <c r="K38" s="24"/>
      <c r="L38" s="24"/>
      <c r="M38" s="24"/>
      <c r="N38" s="24"/>
      <c r="O38" s="24"/>
      <c r="P38" s="24"/>
      <c r="Q38" s="24"/>
      <c r="R38" s="24"/>
      <c r="S38" s="24"/>
      <c r="T38" s="24"/>
      <c r="U38" s="24"/>
      <c r="V38" s="24"/>
      <c r="W38" s="24"/>
      <c r="X38" s="24"/>
      <c r="Y38" s="24"/>
      <c r="Z38" s="24"/>
      <c r="AA38" s="24"/>
      <c r="AB38" s="24"/>
      <c r="AC38" s="24"/>
      <c r="AD38" s="24"/>
      <c r="AE38" s="42"/>
      <c r="AG38" s="240"/>
      <c r="AH38" s="241"/>
      <c r="AI38" s="241">
        <v>1</v>
      </c>
      <c r="AJ38" s="242">
        <v>1</v>
      </c>
      <c r="AO38" s="453"/>
    </row>
    <row r="39" spans="2:41" s="29" customFormat="1" ht="43.5" customHeight="1" x14ac:dyDescent="0.2">
      <c r="B39" s="24"/>
      <c r="C39" s="83"/>
      <c r="D39" s="83"/>
      <c r="E39" s="24"/>
      <c r="F39" s="24"/>
      <c r="G39" s="24"/>
      <c r="H39" s="24"/>
      <c r="I39" s="24"/>
      <c r="J39" s="24"/>
      <c r="K39" s="24"/>
      <c r="L39" s="24"/>
      <c r="M39" s="24"/>
      <c r="N39" s="24"/>
      <c r="O39" s="24"/>
      <c r="P39" s="24"/>
      <c r="Q39" s="24"/>
      <c r="R39" s="24"/>
      <c r="S39" s="24"/>
      <c r="T39" s="24"/>
      <c r="U39" s="24"/>
      <c r="V39" s="24"/>
      <c r="W39" s="24"/>
      <c r="X39" s="24"/>
      <c r="Y39" s="24"/>
      <c r="Z39" s="24"/>
      <c r="AA39" s="24"/>
      <c r="AB39" s="24"/>
      <c r="AC39" s="24"/>
      <c r="AD39" s="24"/>
      <c r="AE39" s="42"/>
      <c r="AG39" s="240">
        <v>1</v>
      </c>
      <c r="AH39" s="241"/>
      <c r="AI39" s="241"/>
      <c r="AJ39" s="242">
        <v>1</v>
      </c>
      <c r="AO39" s="453"/>
    </row>
    <row r="40" spans="2:41" s="29" customFormat="1" ht="61.5" customHeight="1" thickBot="1" x14ac:dyDescent="0.25">
      <c r="B40" s="24"/>
      <c r="C40" s="83"/>
      <c r="D40" s="83"/>
      <c r="J40" s="24"/>
      <c r="K40" s="24"/>
      <c r="L40" s="24"/>
      <c r="M40" s="24"/>
      <c r="N40" s="24"/>
      <c r="O40" s="24"/>
      <c r="P40" s="24"/>
      <c r="Q40" s="24"/>
      <c r="R40" s="24"/>
      <c r="S40" s="24"/>
      <c r="T40" s="24"/>
      <c r="U40" s="24"/>
      <c r="V40" s="24"/>
      <c r="W40" s="24"/>
      <c r="X40" s="24"/>
      <c r="Y40" s="24"/>
      <c r="Z40" s="24"/>
      <c r="AA40" s="24"/>
      <c r="AB40" s="24"/>
      <c r="AC40" s="24"/>
      <c r="AD40" s="24"/>
      <c r="AE40" s="42"/>
      <c r="AG40" s="454"/>
      <c r="AH40" s="455"/>
      <c r="AI40" s="455">
        <v>1</v>
      </c>
      <c r="AJ40" s="456">
        <v>1</v>
      </c>
      <c r="AO40" s="452"/>
    </row>
    <row r="41" spans="2:41" s="29" customFormat="1" ht="70.5" customHeight="1" x14ac:dyDescent="0.2">
      <c r="B41" s="24"/>
      <c r="C41" s="83"/>
      <c r="D41" s="83"/>
      <c r="E41" s="24"/>
      <c r="F41" s="24"/>
      <c r="G41" s="24"/>
      <c r="H41" s="24"/>
      <c r="I41" s="24"/>
      <c r="J41" s="24"/>
      <c r="K41" s="24"/>
      <c r="L41" s="24"/>
      <c r="M41" s="24"/>
      <c r="N41" s="24"/>
      <c r="O41" s="24"/>
      <c r="P41" s="24"/>
      <c r="Q41" s="24"/>
      <c r="R41" s="24"/>
      <c r="S41" s="24"/>
      <c r="T41" s="24"/>
      <c r="U41" s="24"/>
      <c r="V41" s="24"/>
      <c r="W41" s="24"/>
      <c r="X41" s="24"/>
      <c r="Y41" s="24"/>
      <c r="Z41" s="24"/>
      <c r="AA41" s="24"/>
      <c r="AB41" s="24"/>
      <c r="AC41" s="24"/>
      <c r="AD41" s="24"/>
      <c r="AE41" s="42"/>
      <c r="AG41" s="454"/>
      <c r="AH41" s="455"/>
      <c r="AI41" s="455"/>
      <c r="AJ41" s="456"/>
      <c r="AO41" s="448" t="s">
        <v>81</v>
      </c>
    </row>
    <row r="42" spans="2:41" s="29" customFormat="1" ht="59.25" customHeight="1" x14ac:dyDescent="0.2">
      <c r="B42" s="24"/>
      <c r="C42" s="83"/>
      <c r="D42" s="83"/>
      <c r="E42" s="24"/>
      <c r="F42" s="24"/>
      <c r="G42" s="24"/>
      <c r="H42" s="24"/>
      <c r="I42" s="24"/>
      <c r="J42" s="24"/>
      <c r="K42" s="24"/>
      <c r="L42" s="24"/>
      <c r="M42" s="24"/>
      <c r="N42" s="24"/>
      <c r="O42" s="24"/>
      <c r="P42" s="24"/>
      <c r="Q42" s="24"/>
      <c r="R42" s="24"/>
      <c r="S42" s="24"/>
      <c r="T42" s="24"/>
      <c r="U42" s="24"/>
      <c r="V42" s="24"/>
      <c r="W42" s="24"/>
      <c r="X42" s="24"/>
      <c r="Y42" s="24"/>
      <c r="Z42" s="24"/>
      <c r="AA42" s="24"/>
      <c r="AB42" s="24"/>
      <c r="AC42" s="24"/>
      <c r="AD42" s="24"/>
      <c r="AE42" s="42"/>
      <c r="AG42" s="240">
        <v>1</v>
      </c>
      <c r="AH42" s="241"/>
      <c r="AI42" s="241"/>
      <c r="AJ42" s="242">
        <v>1</v>
      </c>
      <c r="AO42" s="449"/>
    </row>
    <row r="43" spans="2:41" s="29" customFormat="1" ht="122.25" customHeight="1" x14ac:dyDescent="0.2">
      <c r="B43" s="24"/>
      <c r="C43" s="83"/>
      <c r="D43" s="83"/>
      <c r="E43" s="24"/>
      <c r="F43" s="24"/>
      <c r="G43" s="24"/>
      <c r="H43" s="24"/>
      <c r="I43" s="24"/>
      <c r="J43" s="24"/>
      <c r="K43" s="24"/>
      <c r="L43" s="24"/>
      <c r="M43" s="24"/>
      <c r="N43" s="24"/>
      <c r="O43" s="24"/>
      <c r="P43" s="24"/>
      <c r="Q43" s="24"/>
      <c r="R43" s="24"/>
      <c r="S43" s="24"/>
      <c r="T43" s="24"/>
      <c r="U43" s="24"/>
      <c r="V43" s="24"/>
      <c r="W43" s="24"/>
      <c r="X43" s="24"/>
      <c r="Y43" s="24"/>
      <c r="Z43" s="24"/>
      <c r="AA43" s="24"/>
      <c r="AB43" s="24"/>
      <c r="AC43" s="24"/>
      <c r="AD43" s="24"/>
      <c r="AE43" s="42"/>
      <c r="AG43" s="240">
        <v>1</v>
      </c>
      <c r="AH43" s="241"/>
      <c r="AI43" s="241"/>
      <c r="AJ43" s="242">
        <v>1</v>
      </c>
      <c r="AO43" s="449"/>
    </row>
    <row r="44" spans="2:41" s="29" customFormat="1" ht="97.5" customHeight="1" x14ac:dyDescent="0.2">
      <c r="B44" s="24"/>
      <c r="C44" s="83"/>
      <c r="D44" s="83"/>
      <c r="E44" s="24"/>
      <c r="F44" s="24"/>
      <c r="G44" s="24"/>
      <c r="H44" s="24"/>
      <c r="I44" s="24"/>
      <c r="J44" s="24"/>
      <c r="K44" s="24"/>
      <c r="L44" s="24"/>
      <c r="M44" s="24"/>
      <c r="N44" s="24"/>
      <c r="O44" s="24"/>
      <c r="P44" s="24"/>
      <c r="Q44" s="24"/>
      <c r="R44" s="24"/>
      <c r="S44" s="24"/>
      <c r="T44" s="24"/>
      <c r="U44" s="24"/>
      <c r="V44" s="24"/>
      <c r="W44" s="24"/>
      <c r="X44" s="24"/>
      <c r="Y44" s="24"/>
      <c r="Z44" s="24"/>
      <c r="AA44" s="24"/>
      <c r="AB44" s="24"/>
      <c r="AC44" s="24"/>
      <c r="AD44" s="24"/>
      <c r="AE44" s="42"/>
      <c r="AG44" s="240">
        <v>1</v>
      </c>
      <c r="AH44" s="241"/>
      <c r="AI44" s="241"/>
      <c r="AJ44" s="242">
        <v>1</v>
      </c>
      <c r="AO44" s="449"/>
    </row>
    <row r="45" spans="2:41" s="29" customFormat="1" ht="49.5" customHeight="1" thickBot="1" x14ac:dyDescent="0.25">
      <c r="B45" s="24"/>
      <c r="C45" s="83"/>
      <c r="D45" s="83"/>
      <c r="E45" s="24"/>
      <c r="F45" s="24"/>
      <c r="G45" s="24"/>
      <c r="H45" s="24"/>
      <c r="I45" s="24"/>
      <c r="J45" s="24"/>
      <c r="K45" s="24"/>
      <c r="L45" s="24"/>
      <c r="M45" s="24"/>
      <c r="N45" s="24"/>
      <c r="O45" s="24"/>
      <c r="P45" s="24"/>
      <c r="Q45" s="24"/>
      <c r="R45" s="24"/>
      <c r="S45" s="24"/>
      <c r="T45" s="24"/>
      <c r="U45" s="24"/>
      <c r="V45" s="24"/>
      <c r="W45" s="24"/>
      <c r="X45" s="24"/>
      <c r="Y45" s="24"/>
      <c r="Z45" s="24"/>
      <c r="AA45" s="24"/>
      <c r="AB45" s="24"/>
      <c r="AC45" s="24"/>
      <c r="AD45" s="24"/>
      <c r="AE45" s="42"/>
      <c r="AG45" s="240">
        <v>1</v>
      </c>
      <c r="AH45" s="241"/>
      <c r="AI45" s="241"/>
      <c r="AJ45" s="242">
        <v>1</v>
      </c>
      <c r="AO45" s="450"/>
    </row>
    <row r="46" spans="2:41" s="29" customFormat="1" ht="61.5" customHeight="1" x14ac:dyDescent="0.2">
      <c r="B46" s="24"/>
      <c r="C46" s="83"/>
      <c r="D46" s="83"/>
      <c r="E46" s="24"/>
      <c r="F46" s="24"/>
      <c r="G46" s="24"/>
      <c r="H46" s="24"/>
      <c r="I46" s="24"/>
      <c r="J46" s="24"/>
      <c r="K46" s="24"/>
      <c r="L46" s="24"/>
      <c r="M46" s="24"/>
      <c r="N46" s="24"/>
      <c r="O46" s="24"/>
      <c r="P46" s="24"/>
      <c r="Q46" s="24"/>
      <c r="R46" s="24"/>
      <c r="S46" s="24"/>
      <c r="T46" s="24"/>
      <c r="U46" s="24"/>
      <c r="V46" s="24"/>
      <c r="W46" s="24"/>
      <c r="X46" s="24"/>
      <c r="Y46" s="24"/>
      <c r="Z46" s="24"/>
      <c r="AA46" s="24"/>
      <c r="AB46" s="24"/>
      <c r="AC46" s="24"/>
      <c r="AD46" s="24"/>
      <c r="AE46" s="42"/>
      <c r="AG46" s="240"/>
      <c r="AH46" s="241">
        <v>1</v>
      </c>
      <c r="AI46" s="241"/>
      <c r="AJ46" s="242">
        <v>1</v>
      </c>
      <c r="AO46" s="448" t="s">
        <v>82</v>
      </c>
    </row>
    <row r="47" spans="2:41" s="29" customFormat="1" ht="44.25" customHeight="1" x14ac:dyDescent="0.2">
      <c r="B47" s="24"/>
      <c r="C47" s="83"/>
      <c r="D47" s="83"/>
      <c r="E47" s="24"/>
      <c r="F47" s="24"/>
      <c r="G47" s="24"/>
      <c r="H47" s="24"/>
      <c r="I47" s="24"/>
      <c r="J47" s="24"/>
      <c r="K47" s="24"/>
      <c r="L47" s="24"/>
      <c r="M47" s="24"/>
      <c r="N47" s="24"/>
      <c r="O47" s="24"/>
      <c r="P47" s="24"/>
      <c r="Q47" s="24"/>
      <c r="R47" s="24"/>
      <c r="S47" s="24"/>
      <c r="T47" s="24"/>
      <c r="U47" s="24"/>
      <c r="V47" s="24"/>
      <c r="W47" s="24"/>
      <c r="X47" s="24"/>
      <c r="Y47" s="24"/>
      <c r="Z47" s="24"/>
      <c r="AA47" s="24"/>
      <c r="AB47" s="24"/>
      <c r="AC47" s="24"/>
      <c r="AD47" s="24"/>
      <c r="AE47" s="42"/>
      <c r="AG47" s="240">
        <v>1</v>
      </c>
      <c r="AH47" s="241"/>
      <c r="AI47" s="241"/>
      <c r="AJ47" s="242">
        <v>1</v>
      </c>
      <c r="AO47" s="449"/>
    </row>
    <row r="48" spans="2:41" s="29" customFormat="1" ht="97.5" customHeight="1" x14ac:dyDescent="0.2">
      <c r="B48" s="24"/>
      <c r="C48" s="83"/>
      <c r="D48" s="83"/>
      <c r="J48" s="24"/>
      <c r="K48" s="24"/>
      <c r="L48" s="24"/>
      <c r="M48" s="24"/>
      <c r="N48" s="24"/>
      <c r="O48" s="24"/>
      <c r="P48" s="24"/>
      <c r="Q48" s="24"/>
      <c r="R48" s="24"/>
      <c r="S48" s="24"/>
      <c r="T48" s="24"/>
      <c r="U48" s="24"/>
      <c r="V48" s="24"/>
      <c r="W48" s="24"/>
      <c r="X48" s="24"/>
      <c r="Y48" s="24"/>
      <c r="Z48" s="24"/>
      <c r="AA48" s="24"/>
      <c r="AB48" s="24"/>
      <c r="AC48" s="24"/>
      <c r="AD48" s="24"/>
      <c r="AE48" s="42"/>
      <c r="AG48" s="240">
        <v>1</v>
      </c>
      <c r="AH48" s="241"/>
      <c r="AI48" s="241"/>
      <c r="AJ48" s="242">
        <v>1</v>
      </c>
      <c r="AO48" s="449"/>
    </row>
    <row r="49" spans="2:41" s="29" customFormat="1" ht="54.75" customHeight="1" thickBot="1" x14ac:dyDescent="0.25">
      <c r="B49" s="24"/>
      <c r="C49" s="83"/>
      <c r="D49" s="83"/>
      <c r="E49" s="24"/>
      <c r="F49" s="24"/>
      <c r="G49" s="24"/>
      <c r="H49" s="24"/>
      <c r="I49" s="24"/>
      <c r="J49" s="24"/>
      <c r="K49" s="24"/>
      <c r="L49" s="24"/>
      <c r="M49" s="24"/>
      <c r="N49" s="24"/>
      <c r="O49" s="24"/>
      <c r="P49" s="24"/>
      <c r="Q49" s="24"/>
      <c r="R49" s="24"/>
      <c r="S49" s="24"/>
      <c r="T49" s="24"/>
      <c r="U49" s="24"/>
      <c r="V49" s="24"/>
      <c r="W49" s="24"/>
      <c r="X49" s="24"/>
      <c r="Y49" s="24"/>
      <c r="Z49" s="24"/>
      <c r="AA49" s="24"/>
      <c r="AB49" s="24"/>
      <c r="AC49" s="24"/>
      <c r="AD49" s="24"/>
      <c r="AE49" s="42"/>
      <c r="AG49" s="240">
        <v>1</v>
      </c>
      <c r="AH49" s="241"/>
      <c r="AI49" s="241"/>
      <c r="AJ49" s="242">
        <v>1</v>
      </c>
      <c r="AO49" s="450"/>
    </row>
    <row r="50" spans="2:41" s="29" customFormat="1" ht="83.25" customHeight="1" x14ac:dyDescent="0.2">
      <c r="B50" s="24"/>
      <c r="C50" s="83"/>
      <c r="D50" s="83"/>
      <c r="E50" s="24"/>
      <c r="F50" s="24"/>
      <c r="G50" s="24"/>
      <c r="H50" s="24"/>
      <c r="I50" s="24"/>
      <c r="J50" s="24"/>
      <c r="K50" s="24"/>
      <c r="L50" s="24"/>
      <c r="M50" s="24"/>
      <c r="N50" s="24"/>
      <c r="O50" s="24"/>
      <c r="P50" s="24"/>
      <c r="Q50" s="24"/>
      <c r="R50" s="24"/>
      <c r="S50" s="24"/>
      <c r="T50" s="24"/>
      <c r="U50" s="24"/>
      <c r="V50" s="24"/>
      <c r="W50" s="24"/>
      <c r="X50" s="24"/>
      <c r="Y50" s="24"/>
      <c r="Z50" s="24"/>
      <c r="AA50" s="24"/>
      <c r="AB50" s="24"/>
      <c r="AC50" s="24"/>
      <c r="AD50" s="24"/>
      <c r="AE50" s="42"/>
      <c r="AG50" s="240">
        <v>1</v>
      </c>
      <c r="AH50" s="241"/>
      <c r="AI50" s="241"/>
      <c r="AJ50" s="242">
        <v>1</v>
      </c>
      <c r="AO50" s="448" t="s">
        <v>73</v>
      </c>
    </row>
    <row r="51" spans="2:41" s="29" customFormat="1" ht="82.5" customHeight="1" x14ac:dyDescent="0.2">
      <c r="B51" s="24"/>
      <c r="C51" s="83"/>
      <c r="D51" s="83"/>
      <c r="E51" s="24"/>
      <c r="F51" s="24"/>
      <c r="G51" s="24"/>
      <c r="H51" s="24"/>
      <c r="I51" s="24"/>
      <c r="J51" s="24"/>
      <c r="K51" s="24"/>
      <c r="L51" s="24"/>
      <c r="M51" s="24"/>
      <c r="N51" s="24"/>
      <c r="O51" s="24"/>
      <c r="P51" s="24"/>
      <c r="Q51" s="24"/>
      <c r="R51" s="24"/>
      <c r="S51" s="24"/>
      <c r="T51" s="24"/>
      <c r="U51" s="24"/>
      <c r="V51" s="24"/>
      <c r="W51" s="24"/>
      <c r="X51" s="24"/>
      <c r="Y51" s="24"/>
      <c r="Z51" s="24"/>
      <c r="AA51" s="24"/>
      <c r="AB51" s="24"/>
      <c r="AC51" s="24"/>
      <c r="AD51" s="24"/>
      <c r="AE51" s="42"/>
      <c r="AG51" s="240"/>
      <c r="AH51" s="241"/>
      <c r="AI51" s="241">
        <v>1</v>
      </c>
      <c r="AJ51" s="242">
        <v>1</v>
      </c>
      <c r="AO51" s="449"/>
    </row>
    <row r="52" spans="2:41" s="29" customFormat="1" ht="67.5" customHeight="1" x14ac:dyDescent="0.2">
      <c r="B52" s="24"/>
      <c r="C52" s="83"/>
      <c r="D52" s="83"/>
      <c r="E52" s="24"/>
      <c r="F52" s="24"/>
      <c r="G52" s="24"/>
      <c r="H52" s="24"/>
      <c r="I52" s="24"/>
      <c r="J52" s="24"/>
      <c r="K52" s="24"/>
      <c r="L52" s="24"/>
      <c r="M52" s="24"/>
      <c r="N52" s="24"/>
      <c r="O52" s="24"/>
      <c r="P52" s="24"/>
      <c r="Q52" s="24"/>
      <c r="R52" s="24"/>
      <c r="S52" s="24"/>
      <c r="T52" s="24"/>
      <c r="U52" s="24"/>
      <c r="V52" s="24"/>
      <c r="W52" s="24"/>
      <c r="X52" s="24"/>
      <c r="Y52" s="24"/>
      <c r="Z52" s="24"/>
      <c r="AA52" s="24"/>
      <c r="AB52" s="24"/>
      <c r="AC52" s="24"/>
      <c r="AD52" s="24"/>
      <c r="AE52" s="42"/>
      <c r="AG52" s="240"/>
      <c r="AH52" s="241">
        <v>1</v>
      </c>
      <c r="AI52" s="241"/>
      <c r="AJ52" s="242">
        <v>1</v>
      </c>
      <c r="AO52" s="449"/>
    </row>
    <row r="53" spans="2:41" s="29" customFormat="1" ht="65.25" customHeight="1" thickBot="1" x14ac:dyDescent="0.25">
      <c r="B53" s="24"/>
      <c r="C53" s="83"/>
      <c r="D53" s="83"/>
      <c r="E53" s="24"/>
      <c r="F53" s="24"/>
      <c r="G53" s="24"/>
      <c r="H53" s="24"/>
      <c r="I53" s="24"/>
      <c r="J53" s="24"/>
      <c r="K53" s="24"/>
      <c r="L53" s="24"/>
      <c r="M53" s="24"/>
      <c r="N53" s="24"/>
      <c r="O53" s="24"/>
      <c r="P53" s="24"/>
      <c r="Q53" s="24"/>
      <c r="R53" s="24"/>
      <c r="S53" s="24"/>
      <c r="T53" s="24"/>
      <c r="U53" s="24"/>
      <c r="V53" s="24"/>
      <c r="W53" s="24"/>
      <c r="X53" s="24"/>
      <c r="Y53" s="24"/>
      <c r="Z53" s="24"/>
      <c r="AA53" s="24"/>
      <c r="AB53" s="24"/>
      <c r="AC53" s="24"/>
      <c r="AD53" s="24"/>
      <c r="AE53" s="42"/>
      <c r="AG53" s="240">
        <v>1</v>
      </c>
      <c r="AH53" s="241"/>
      <c r="AI53" s="241"/>
      <c r="AJ53" s="242">
        <v>1</v>
      </c>
      <c r="AO53" s="450"/>
    </row>
    <row r="54" spans="2:41" s="29" customFormat="1" ht="36.75" customHeight="1" x14ac:dyDescent="0.2">
      <c r="B54" s="24"/>
      <c r="C54" s="83"/>
      <c r="D54" s="83"/>
      <c r="E54" s="24"/>
      <c r="F54" s="24"/>
      <c r="G54" s="24"/>
      <c r="H54" s="24"/>
      <c r="I54" s="24"/>
      <c r="J54" s="24"/>
      <c r="K54" s="24"/>
      <c r="L54" s="24"/>
      <c r="M54" s="24"/>
      <c r="N54" s="24"/>
      <c r="O54" s="24"/>
      <c r="P54" s="24"/>
      <c r="Q54" s="24"/>
      <c r="R54" s="24"/>
      <c r="S54" s="24"/>
      <c r="T54" s="24"/>
      <c r="U54" s="24"/>
      <c r="V54" s="24"/>
      <c r="W54" s="24"/>
      <c r="X54" s="24"/>
      <c r="Y54" s="24"/>
      <c r="Z54" s="24"/>
      <c r="AA54" s="24"/>
      <c r="AB54" s="24"/>
      <c r="AC54" s="24"/>
      <c r="AD54" s="24"/>
      <c r="AE54" s="42"/>
      <c r="AG54" s="240"/>
      <c r="AH54" s="241"/>
      <c r="AI54" s="241"/>
      <c r="AJ54" s="242"/>
    </row>
    <row r="55" spans="2:41" s="29" customFormat="1" ht="151.5" customHeight="1" x14ac:dyDescent="0.2">
      <c r="B55" s="24"/>
      <c r="C55" s="83"/>
      <c r="D55" s="83"/>
      <c r="I55" s="24"/>
      <c r="J55" s="24"/>
      <c r="K55" s="24"/>
      <c r="L55" s="24"/>
      <c r="M55" s="24"/>
      <c r="N55" s="24"/>
      <c r="O55" s="24"/>
      <c r="P55" s="24"/>
      <c r="Q55" s="24"/>
      <c r="R55" s="24"/>
      <c r="S55" s="24"/>
      <c r="T55" s="24"/>
      <c r="U55" s="24"/>
      <c r="V55" s="24"/>
      <c r="W55" s="24"/>
      <c r="X55" s="24"/>
      <c r="Y55" s="24"/>
      <c r="Z55" s="24"/>
      <c r="AA55" s="24"/>
      <c r="AB55" s="24"/>
      <c r="AC55" s="24"/>
      <c r="AD55" s="24"/>
      <c r="AE55" s="42"/>
      <c r="AG55" s="240"/>
      <c r="AH55" s="241"/>
      <c r="AI55" s="241">
        <v>1</v>
      </c>
      <c r="AJ55" s="242">
        <v>1</v>
      </c>
    </row>
    <row r="56" spans="2:41" s="29" customFormat="1" ht="100.5" customHeight="1" x14ac:dyDescent="0.2">
      <c r="B56" s="24"/>
      <c r="C56" s="83"/>
      <c r="D56" s="83"/>
      <c r="E56" s="24"/>
      <c r="F56" s="24"/>
      <c r="G56" s="24"/>
      <c r="H56" s="24"/>
      <c r="I56" s="24"/>
      <c r="J56" s="24"/>
      <c r="K56" s="24"/>
      <c r="L56" s="24"/>
      <c r="M56" s="24"/>
      <c r="N56" s="24"/>
      <c r="O56" s="24"/>
      <c r="P56" s="24"/>
      <c r="Q56" s="24"/>
      <c r="R56" s="24"/>
      <c r="S56" s="24"/>
      <c r="T56" s="24"/>
      <c r="U56" s="24"/>
      <c r="V56" s="24"/>
      <c r="W56" s="24"/>
      <c r="X56" s="24"/>
      <c r="Y56" s="24"/>
      <c r="Z56" s="24"/>
      <c r="AA56" s="24"/>
      <c r="AB56" s="24"/>
      <c r="AC56" s="24"/>
      <c r="AD56" s="24"/>
      <c r="AE56" s="42"/>
      <c r="AG56" s="240"/>
      <c r="AH56" s="241"/>
      <c r="AI56" s="241">
        <v>1</v>
      </c>
      <c r="AJ56" s="242">
        <v>1</v>
      </c>
    </row>
    <row r="57" spans="2:41" s="29" customFormat="1" ht="113.25" customHeight="1" x14ac:dyDescent="0.2">
      <c r="B57" s="24"/>
      <c r="C57" s="83"/>
      <c r="D57" s="83"/>
      <c r="E57" s="24"/>
      <c r="F57" s="24"/>
      <c r="G57" s="24"/>
      <c r="H57" s="24"/>
      <c r="I57" s="24"/>
      <c r="J57" s="24"/>
      <c r="K57" s="24"/>
      <c r="L57" s="24"/>
      <c r="M57" s="24"/>
      <c r="N57" s="24"/>
      <c r="O57" s="24"/>
      <c r="P57" s="24"/>
      <c r="Q57" s="24"/>
      <c r="R57" s="24"/>
      <c r="S57" s="24"/>
      <c r="T57" s="24"/>
      <c r="U57" s="24"/>
      <c r="V57" s="24"/>
      <c r="W57" s="24"/>
      <c r="X57" s="24"/>
      <c r="Y57" s="24"/>
      <c r="Z57" s="24"/>
      <c r="AA57" s="24"/>
      <c r="AB57" s="24"/>
      <c r="AC57" s="24"/>
      <c r="AD57" s="24"/>
      <c r="AE57" s="42"/>
      <c r="AG57" s="240"/>
      <c r="AH57" s="241">
        <v>1</v>
      </c>
      <c r="AI57" s="241"/>
      <c r="AJ57" s="242">
        <v>1</v>
      </c>
    </row>
    <row r="58" spans="2:41" ht="54.75" customHeight="1" x14ac:dyDescent="0.2">
      <c r="C58" s="83"/>
      <c r="D58" s="83"/>
      <c r="AE58" s="42"/>
      <c r="AF58" s="29"/>
      <c r="AG58" s="34"/>
      <c r="AH58" s="30">
        <v>1</v>
      </c>
      <c r="AI58" s="30"/>
      <c r="AJ58" s="35">
        <v>1</v>
      </c>
    </row>
    <row r="59" spans="2:41" ht="45.75" customHeight="1" x14ac:dyDescent="0.2">
      <c r="C59" s="83"/>
      <c r="D59" s="83"/>
      <c r="AE59" s="42"/>
      <c r="AF59" s="29"/>
      <c r="AG59" s="34"/>
      <c r="AH59" s="30">
        <v>1</v>
      </c>
      <c r="AI59" s="30"/>
      <c r="AJ59" s="35">
        <v>1</v>
      </c>
    </row>
    <row r="60" spans="2:41" ht="54.75" customHeight="1" x14ac:dyDescent="0.2">
      <c r="C60" s="83"/>
      <c r="D60" s="83"/>
      <c r="AE60" s="42"/>
      <c r="AF60" s="29"/>
      <c r="AG60" s="34"/>
      <c r="AH60" s="30">
        <v>1</v>
      </c>
      <c r="AI60" s="30"/>
      <c r="AJ60" s="35">
        <v>1</v>
      </c>
    </row>
    <row r="61" spans="2:41" ht="201.75" customHeight="1" x14ac:dyDescent="0.2">
      <c r="C61" s="83"/>
      <c r="D61" s="83"/>
      <c r="AE61" s="42"/>
      <c r="AF61" s="29"/>
      <c r="AG61" s="34"/>
      <c r="AH61" s="30">
        <v>1</v>
      </c>
      <c r="AI61" s="30"/>
      <c r="AJ61" s="35">
        <v>1</v>
      </c>
    </row>
    <row r="62" spans="2:41" ht="125.25" customHeight="1" x14ac:dyDescent="0.2">
      <c r="C62" s="83"/>
      <c r="D62" s="83"/>
      <c r="AE62" s="42"/>
      <c r="AF62" s="29"/>
      <c r="AG62" s="34"/>
      <c r="AH62" s="30">
        <v>1</v>
      </c>
      <c r="AI62" s="30"/>
      <c r="AJ62" s="35">
        <v>1</v>
      </c>
    </row>
    <row r="63" spans="2:41" ht="112.5" customHeight="1" thickBot="1" x14ac:dyDescent="0.25">
      <c r="C63" s="83"/>
      <c r="D63" s="83"/>
      <c r="AE63" s="42"/>
      <c r="AG63" s="36">
        <f>SUM(AG9:AG58)</f>
        <v>24</v>
      </c>
      <c r="AH63" s="37">
        <f>SUM(AH9:AH62)</f>
        <v>18</v>
      </c>
      <c r="AI63" s="37">
        <f>SUM(AI9:AI62)</f>
        <v>5</v>
      </c>
      <c r="AJ63" s="38">
        <f>SUM(AJ9:AJ62)</f>
        <v>47</v>
      </c>
    </row>
    <row r="64" spans="2:41" ht="94.5" customHeight="1" x14ac:dyDescent="0.2">
      <c r="C64" s="83"/>
      <c r="D64" s="83"/>
      <c r="AE64" s="42"/>
    </row>
    <row r="65" spans="3:31" ht="100.5" customHeight="1" x14ac:dyDescent="0.2">
      <c r="C65" s="83"/>
      <c r="D65" s="83"/>
      <c r="AE65" s="42"/>
    </row>
    <row r="66" spans="3:31" ht="226.5" customHeight="1" x14ac:dyDescent="0.2">
      <c r="C66" s="83"/>
      <c r="D66" s="83"/>
      <c r="AE66" s="42"/>
    </row>
    <row r="67" spans="3:31" ht="67.5" customHeight="1" x14ac:dyDescent="0.2">
      <c r="C67" s="83"/>
      <c r="D67" s="83"/>
      <c r="AE67" s="42"/>
    </row>
    <row r="68" spans="3:31" ht="90.75" customHeight="1" x14ac:dyDescent="0.2">
      <c r="C68" s="83"/>
      <c r="D68" s="83"/>
      <c r="AE68" s="42"/>
    </row>
    <row r="69" spans="3:31" ht="75" customHeight="1" x14ac:dyDescent="0.2">
      <c r="C69" s="83"/>
      <c r="D69" s="83"/>
      <c r="AE69" s="42"/>
    </row>
    <row r="70" spans="3:31" x14ac:dyDescent="0.2">
      <c r="C70" s="83"/>
      <c r="D70" s="83"/>
      <c r="AE70" s="42"/>
    </row>
    <row r="71" spans="3:31" ht="43.5" customHeight="1" x14ac:dyDescent="0.2">
      <c r="C71" s="83"/>
      <c r="D71" s="83"/>
      <c r="AE71" s="42"/>
    </row>
    <row r="72" spans="3:31" ht="49.5" customHeight="1" x14ac:dyDescent="0.2">
      <c r="C72" s="83"/>
      <c r="D72" s="83"/>
      <c r="AE72" s="42"/>
    </row>
    <row r="73" spans="3:31" ht="232.5" customHeight="1" x14ac:dyDescent="0.2">
      <c r="C73" s="83"/>
      <c r="D73" s="83"/>
      <c r="H73" s="83"/>
      <c r="I73" s="83"/>
      <c r="AE73" s="42"/>
    </row>
    <row r="74" spans="3:31" x14ac:dyDescent="0.2">
      <c r="C74" s="83"/>
      <c r="D74" s="83"/>
      <c r="AE74" s="42"/>
    </row>
    <row r="75" spans="3:31" ht="241.5" customHeight="1" x14ac:dyDescent="0.2">
      <c r="C75" s="83"/>
      <c r="D75" s="83"/>
      <c r="AE75" s="42"/>
    </row>
    <row r="76" spans="3:31" x14ac:dyDescent="0.2">
      <c r="AE76" s="42"/>
    </row>
    <row r="77" spans="3:31" x14ac:dyDescent="0.2">
      <c r="AE77" s="42"/>
    </row>
    <row r="78" spans="3:31" x14ac:dyDescent="0.2">
      <c r="AE78" s="42"/>
    </row>
    <row r="79" spans="3:31" x14ac:dyDescent="0.2">
      <c r="AE79" s="42"/>
    </row>
  </sheetData>
  <autoFilter ref="B8:AC15"/>
  <mergeCells count="56">
    <mergeCell ref="AO46:AO49"/>
    <mergeCell ref="AO50:AO53"/>
    <mergeCell ref="AO25:AO30"/>
    <mergeCell ref="AO31:AO34"/>
    <mergeCell ref="AO35:AO36"/>
    <mergeCell ref="AO37:AO40"/>
    <mergeCell ref="AG40:AG41"/>
    <mergeCell ref="AH40:AH41"/>
    <mergeCell ref="AI40:AI41"/>
    <mergeCell ref="AJ40:AJ41"/>
    <mergeCell ref="AO41:AO45"/>
    <mergeCell ref="H20:I20"/>
    <mergeCell ref="M20:N20"/>
    <mergeCell ref="O20:P20"/>
    <mergeCell ref="F21:G21"/>
    <mergeCell ref="H21:I21"/>
    <mergeCell ref="AG7:AJ7"/>
    <mergeCell ref="B9:B15"/>
    <mergeCell ref="AE9:AE15"/>
    <mergeCell ref="H22:I22"/>
    <mergeCell ref="AO17:AO24"/>
    <mergeCell ref="F18:G18"/>
    <mergeCell ref="H18:I18"/>
    <mergeCell ref="M18:N18"/>
    <mergeCell ref="O18:P18"/>
    <mergeCell ref="F19:G19"/>
    <mergeCell ref="H19:I19"/>
    <mergeCell ref="M19:N19"/>
    <mergeCell ref="O19:P19"/>
    <mergeCell ref="F20:G20"/>
    <mergeCell ref="H17:K17"/>
    <mergeCell ref="M17:P17"/>
    <mergeCell ref="B6:I6"/>
    <mergeCell ref="J6:N7"/>
    <mergeCell ref="O6:P6"/>
    <mergeCell ref="Q6:U7"/>
    <mergeCell ref="V6:AE6"/>
    <mergeCell ref="B7:B8"/>
    <mergeCell ref="C7:C8"/>
    <mergeCell ref="D7:D8"/>
    <mergeCell ref="O7:P7"/>
    <mergeCell ref="V7:Y7"/>
    <mergeCell ref="Z7:AD7"/>
    <mergeCell ref="AE7:AE8"/>
    <mergeCell ref="B5:AE5"/>
    <mergeCell ref="B2:AE2"/>
    <mergeCell ref="B3:F3"/>
    <mergeCell ref="G3:N3"/>
    <mergeCell ref="O3:T3"/>
    <mergeCell ref="U3:AA3"/>
    <mergeCell ref="AB3:AE3"/>
    <mergeCell ref="B4:F4"/>
    <mergeCell ref="G4:N4"/>
    <mergeCell ref="O4:T4"/>
    <mergeCell ref="U4:AA4"/>
    <mergeCell ref="AB4:AE4"/>
  </mergeCells>
  <conditionalFormatting sqref="N10:P10 N9 P9 O12:P12 P11 O15:P15 P13 N11:N13">
    <cfRule type="cellIs" dxfId="77" priority="40" operator="equal">
      <formula>5</formula>
    </cfRule>
    <cfRule type="cellIs" priority="41" operator="equal">
      <formula>5</formula>
    </cfRule>
    <cfRule type="cellIs" dxfId="76" priority="42" operator="between">
      <formula>6</formula>
      <formula>30</formula>
    </cfRule>
    <cfRule type="cellIs" dxfId="75" priority="43" operator="between">
      <formula>31</formula>
      <formula>60</formula>
    </cfRule>
  </conditionalFormatting>
  <conditionalFormatting sqref="N10:P10 N9 P9 O12:P12 P11 O15:P15 P13 N11:N13">
    <cfRule type="containsErrors" dxfId="74" priority="39">
      <formula>ISERROR(N9)</formula>
    </cfRule>
  </conditionalFormatting>
  <conditionalFormatting sqref="J9:J13 J15">
    <cfRule type="containsText" dxfId="73" priority="38" operator="containsText" text="N/A">
      <formula>NOT(ISERROR(SEARCH("N/A",J9)))</formula>
    </cfRule>
  </conditionalFormatting>
  <conditionalFormatting sqref="L9:L13 L15">
    <cfRule type="containsText" dxfId="72" priority="37" operator="containsText" text="N/A">
      <formula>NOT(ISERROR(SEARCH("N/A",L9)))</formula>
    </cfRule>
  </conditionalFormatting>
  <conditionalFormatting sqref="V9:Y13 V15:Y15">
    <cfRule type="containsErrors" dxfId="71" priority="36">
      <formula>ISERROR(V9)</formula>
    </cfRule>
  </conditionalFormatting>
  <conditionalFormatting sqref="U9:U13">
    <cfRule type="cellIs" dxfId="70" priority="32" operator="equal">
      <formula>5</formula>
    </cfRule>
    <cfRule type="cellIs" priority="33" operator="equal">
      <formula>5</formula>
    </cfRule>
    <cfRule type="cellIs" dxfId="69" priority="34" operator="between">
      <formula>6</formula>
      <formula>30</formula>
    </cfRule>
    <cfRule type="cellIs" dxfId="68" priority="35" operator="between">
      <formula>31</formula>
      <formula>60</formula>
    </cfRule>
  </conditionalFormatting>
  <conditionalFormatting sqref="U9:U13">
    <cfRule type="containsErrors" dxfId="67" priority="31">
      <formula>ISERROR(U9)</formula>
    </cfRule>
  </conditionalFormatting>
  <conditionalFormatting sqref="Q9:Q13 Q15">
    <cfRule type="containsText" dxfId="66" priority="30" operator="containsText" text="N/A">
      <formula>NOT(ISERROR(SEARCH("N/A",Q9)))</formula>
    </cfRule>
  </conditionalFormatting>
  <conditionalFormatting sqref="S9:S13 S15">
    <cfRule type="containsText" dxfId="65" priority="29" operator="containsText" text="N/A">
      <formula>NOT(ISERROR(SEARCH("N/A",S9)))</formula>
    </cfRule>
  </conditionalFormatting>
  <conditionalFormatting sqref="M19 O19">
    <cfRule type="cellIs" dxfId="64" priority="25" operator="equal">
      <formula>5</formula>
    </cfRule>
    <cfRule type="cellIs" priority="26" operator="equal">
      <formula>5</formula>
    </cfRule>
    <cfRule type="cellIs" dxfId="63" priority="27" operator="between">
      <formula>6</formula>
      <formula>30</formula>
    </cfRule>
    <cfRule type="cellIs" dxfId="62" priority="28" operator="between">
      <formula>31</formula>
      <formula>60</formula>
    </cfRule>
  </conditionalFormatting>
  <conditionalFormatting sqref="M19 O19">
    <cfRule type="containsErrors" dxfId="61" priority="24">
      <formula>ISERROR(M19)</formula>
    </cfRule>
  </conditionalFormatting>
  <conditionalFormatting sqref="K9:K13">
    <cfRule type="containsText" dxfId="60" priority="23" operator="containsText" text="N/A">
      <formula>NOT(ISERROR(SEARCH("N/A",K9)))</formula>
    </cfRule>
  </conditionalFormatting>
  <conditionalFormatting sqref="M9:M13">
    <cfRule type="containsText" dxfId="59" priority="22" operator="containsText" text="N/A">
      <formula>NOT(ISERROR(SEARCH("N/A",M9)))</formula>
    </cfRule>
  </conditionalFormatting>
  <conditionalFormatting sqref="R9:R13">
    <cfRule type="containsText" dxfId="58" priority="21" operator="containsText" text="N/A">
      <formula>NOT(ISERROR(SEARCH("N/A",R9)))</formula>
    </cfRule>
  </conditionalFormatting>
  <conditionalFormatting sqref="T9:T13">
    <cfRule type="containsText" dxfId="57" priority="20" operator="containsText" text="N/A">
      <formula>NOT(ISERROR(SEARCH("N/A",T9)))</formula>
    </cfRule>
  </conditionalFormatting>
  <conditionalFormatting sqref="N14:P14 N15">
    <cfRule type="cellIs" dxfId="56" priority="16" operator="equal">
      <formula>5</formula>
    </cfRule>
    <cfRule type="cellIs" priority="17" operator="equal">
      <formula>5</formula>
    </cfRule>
    <cfRule type="cellIs" dxfId="55" priority="18" operator="between">
      <formula>6</formula>
      <formula>30</formula>
    </cfRule>
    <cfRule type="cellIs" dxfId="54" priority="19" operator="between">
      <formula>31</formula>
      <formula>60</formula>
    </cfRule>
  </conditionalFormatting>
  <conditionalFormatting sqref="N14:P14 N15">
    <cfRule type="containsErrors" dxfId="53" priority="15">
      <formula>ISERROR(N14)</formula>
    </cfRule>
  </conditionalFormatting>
  <conditionalFormatting sqref="J14">
    <cfRule type="containsText" dxfId="52" priority="14" operator="containsText" text="N/A">
      <formula>NOT(ISERROR(SEARCH("N/A",J14)))</formula>
    </cfRule>
  </conditionalFormatting>
  <conditionalFormatting sqref="L14">
    <cfRule type="containsText" dxfId="51" priority="5" operator="containsText" text="N/A">
      <formula>NOT(ISERROR(SEARCH("N/A",L14)))</formula>
    </cfRule>
    <cfRule type="containsText" dxfId="50" priority="13" operator="containsText" text="N/A">
      <formula>NOT(ISERROR(SEARCH("N/A",L14)))</formula>
    </cfRule>
  </conditionalFormatting>
  <conditionalFormatting sqref="V14:Y14">
    <cfRule type="containsErrors" dxfId="49" priority="12">
      <formula>ISERROR(V14)</formula>
    </cfRule>
  </conditionalFormatting>
  <conditionalFormatting sqref="Q14">
    <cfRule type="containsText" dxfId="48" priority="11" operator="containsText" text="N/A">
      <formula>NOT(ISERROR(SEARCH("N/A",Q14)))</formula>
    </cfRule>
  </conditionalFormatting>
  <conditionalFormatting sqref="S14">
    <cfRule type="containsText" dxfId="47" priority="10" operator="containsText" text="N/A">
      <formula>NOT(ISERROR(SEARCH("N/A",S14)))</formula>
    </cfRule>
  </conditionalFormatting>
  <conditionalFormatting sqref="U14:U15">
    <cfRule type="containsErrors" dxfId="46" priority="1">
      <formula>ISERROR(U14)</formula>
    </cfRule>
    <cfRule type="cellIs" dxfId="45" priority="7" operator="between">
      <formula>31</formula>
      <formula>60</formula>
    </cfRule>
    <cfRule type="cellIs" dxfId="44" priority="8" operator="between">
      <formula>6</formula>
      <formula>30</formula>
    </cfRule>
    <cfRule type="cellIs" dxfId="43" priority="9" operator="equal">
      <formula>5</formula>
    </cfRule>
  </conditionalFormatting>
  <conditionalFormatting sqref="K14:K15">
    <cfRule type="containsText" dxfId="42" priority="6" operator="containsText" text="N/A">
      <formula>NOT(ISERROR(SEARCH("N/A",K14)))</formula>
    </cfRule>
  </conditionalFormatting>
  <conditionalFormatting sqref="M14:M15">
    <cfRule type="containsText" dxfId="41" priority="4" operator="containsText" text="N/A">
      <formula>NOT(ISERROR(SEARCH("N/A",M14)))</formula>
    </cfRule>
  </conditionalFormatting>
  <conditionalFormatting sqref="R14:R15">
    <cfRule type="containsText" dxfId="40" priority="3" operator="containsText" text="N/A">
      <formula>NOT(ISERROR(SEARCH("N/A",R14)))</formula>
    </cfRule>
  </conditionalFormatting>
  <conditionalFormatting sqref="T14:T15">
    <cfRule type="containsText" dxfId="39" priority="2" operator="containsText" text="N/A">
      <formula>NOT(ISERROR(SEARCH("N/A",T14)))</formula>
    </cfRule>
  </conditionalFormatting>
  <dataValidations count="3">
    <dataValidation type="list" allowBlank="1" showInputMessage="1" showErrorMessage="1" sqref="Q9:Q15 J9:J15">
      <formula1>$AK$8:$AK$11</formula1>
    </dataValidation>
    <dataValidation type="list" allowBlank="1" showInputMessage="1" showErrorMessage="1" sqref="S9:S15 L9:L15">
      <formula1>$AL$8:$AL$11</formula1>
    </dataValidation>
    <dataValidation type="list" allowBlank="1" showInputMessage="1" showErrorMessage="1" sqref="C9:C15">
      <formula1>$AM$8:$AM$9</formula1>
    </dataValidation>
  </dataValidations>
  <printOptions verticalCentered="1"/>
  <pageMargins left="0.19685039370078741" right="0.59055118110236227" top="0.39370078740157483" bottom="0.47244094488188981" header="0" footer="0"/>
  <pageSetup scale="16" fitToHeight="0" orientation="landscape" r:id="rId1"/>
  <headerFooter alignWithMargins="0">
    <oddFooter>&amp;C&amp;8Página &amp;P de &amp;N</oddFooter>
  </headerFooter>
  <colBreaks count="1" manualBreakCount="1">
    <brk id="31" max="1048575" man="1"/>
  </colBreak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9">
    <pageSetUpPr fitToPage="1"/>
  </sheetPr>
  <dimension ref="B1:AO89"/>
  <sheetViews>
    <sheetView showGridLines="0" tabSelected="1" view="pageBreakPreview" topLeftCell="B7" zoomScaleNormal="25" zoomScaleSheetLayoutView="100" zoomScalePageLayoutView="75" workbookViewId="0">
      <selection activeCell="E25" sqref="E25"/>
    </sheetView>
  </sheetViews>
  <sheetFormatPr baseColWidth="10" defaultColWidth="33.85546875" defaultRowHeight="23.25" x14ac:dyDescent="0.2"/>
  <cols>
    <col min="1" max="1" width="2.140625" style="24" customWidth="1"/>
    <col min="2" max="2" width="17.42578125" style="24" customWidth="1"/>
    <col min="3" max="3" width="23.140625" style="24" customWidth="1"/>
    <col min="4" max="4" width="27.7109375" style="24" customWidth="1"/>
    <col min="5" max="5" width="62.28515625" style="24" bestFit="1" customWidth="1"/>
    <col min="6" max="6" width="33.7109375" style="24" hidden="1" customWidth="1"/>
    <col min="7" max="7" width="28.28515625" style="24" hidden="1" customWidth="1"/>
    <col min="8" max="8" width="37.5703125" style="24" hidden="1" customWidth="1"/>
    <col min="9" max="9" width="32.28515625" style="24" hidden="1" customWidth="1"/>
    <col min="10" max="13" width="15.7109375" style="24" hidden="1" customWidth="1"/>
    <col min="14" max="14" width="29" style="24" hidden="1" customWidth="1"/>
    <col min="15" max="15" width="61.28515625" style="24" hidden="1" customWidth="1"/>
    <col min="16" max="16" width="66.28515625" style="24" hidden="1" customWidth="1"/>
    <col min="17" max="18" width="14.85546875" style="24" hidden="1" customWidth="1"/>
    <col min="19" max="19" width="18.28515625" style="24" hidden="1" customWidth="1"/>
    <col min="20" max="25" width="16.28515625" style="24" hidden="1" customWidth="1"/>
    <col min="26" max="26" width="39.5703125" style="24" customWidth="1"/>
    <col min="27" max="28" width="28" style="24" customWidth="1"/>
    <col min="29" max="29" width="29.42578125" style="24" customWidth="1"/>
    <col min="30" max="30" width="49.42578125" style="24" customWidth="1"/>
    <col min="31" max="31" width="23.140625" style="41" customWidth="1"/>
    <col min="32" max="32" width="17.7109375" style="24" customWidth="1"/>
    <col min="33" max="36" width="33.85546875" style="24" customWidth="1"/>
    <col min="37" max="16384" width="33.85546875" style="24"/>
  </cols>
  <sheetData>
    <row r="1" spans="2:41" ht="9" customHeight="1" x14ac:dyDescent="0.2"/>
    <row r="2" spans="2:41" s="28" customFormat="1" ht="125.25" customHeight="1" thickBot="1" x14ac:dyDescent="0.25">
      <c r="B2" s="385" t="s">
        <v>109</v>
      </c>
      <c r="C2" s="386"/>
      <c r="D2" s="386"/>
      <c r="E2" s="386"/>
      <c r="F2" s="386"/>
      <c r="G2" s="386"/>
      <c r="H2" s="386"/>
      <c r="I2" s="386"/>
      <c r="J2" s="386"/>
      <c r="K2" s="386"/>
      <c r="L2" s="386"/>
      <c r="M2" s="386"/>
      <c r="N2" s="386"/>
      <c r="O2" s="386"/>
      <c r="P2" s="386"/>
      <c r="Q2" s="386"/>
      <c r="R2" s="386"/>
      <c r="S2" s="386"/>
      <c r="T2" s="386"/>
      <c r="U2" s="386"/>
      <c r="V2" s="386"/>
      <c r="W2" s="386"/>
      <c r="X2" s="386"/>
      <c r="Y2" s="386"/>
      <c r="Z2" s="386"/>
      <c r="AA2" s="386"/>
      <c r="AB2" s="386"/>
      <c r="AC2" s="386"/>
      <c r="AD2" s="386"/>
      <c r="AE2" s="386"/>
      <c r="AF2" s="31"/>
    </row>
    <row r="3" spans="2:41" s="29" customFormat="1" ht="66" customHeight="1" thickBot="1" x14ac:dyDescent="0.25">
      <c r="B3" s="387" t="s">
        <v>37</v>
      </c>
      <c r="C3" s="388"/>
      <c r="D3" s="388"/>
      <c r="E3" s="388"/>
      <c r="F3" s="388"/>
      <c r="G3" s="387" t="s">
        <v>108</v>
      </c>
      <c r="H3" s="388"/>
      <c r="I3" s="388"/>
      <c r="J3" s="388"/>
      <c r="K3" s="388"/>
      <c r="L3" s="388"/>
      <c r="M3" s="388"/>
      <c r="N3" s="389"/>
      <c r="O3" s="387" t="s">
        <v>107</v>
      </c>
      <c r="P3" s="388"/>
      <c r="Q3" s="388"/>
      <c r="R3" s="388"/>
      <c r="S3" s="388"/>
      <c r="T3" s="389"/>
      <c r="U3" s="387" t="s">
        <v>38</v>
      </c>
      <c r="V3" s="388"/>
      <c r="W3" s="388"/>
      <c r="X3" s="388"/>
      <c r="Y3" s="388"/>
      <c r="Z3" s="388"/>
      <c r="AA3" s="389"/>
      <c r="AB3" s="387" t="s">
        <v>35</v>
      </c>
      <c r="AC3" s="388"/>
      <c r="AD3" s="388"/>
      <c r="AE3" s="389"/>
      <c r="AF3" s="32"/>
    </row>
    <row r="4" spans="2:41" s="29" customFormat="1" ht="72" customHeight="1" thickBot="1" x14ac:dyDescent="0.25">
      <c r="B4" s="390" t="s">
        <v>36</v>
      </c>
      <c r="C4" s="391"/>
      <c r="D4" s="391"/>
      <c r="E4" s="391"/>
      <c r="F4" s="391"/>
      <c r="G4" s="392">
        <v>42874</v>
      </c>
      <c r="H4" s="393"/>
      <c r="I4" s="393"/>
      <c r="J4" s="393"/>
      <c r="K4" s="393"/>
      <c r="L4" s="393"/>
      <c r="M4" s="393"/>
      <c r="N4" s="394"/>
      <c r="O4" s="395">
        <v>43700</v>
      </c>
      <c r="P4" s="396"/>
      <c r="Q4" s="396"/>
      <c r="R4" s="396"/>
      <c r="S4" s="396"/>
      <c r="T4" s="397"/>
      <c r="U4" s="390">
        <v>4</v>
      </c>
      <c r="V4" s="391"/>
      <c r="W4" s="391"/>
      <c r="X4" s="391"/>
      <c r="Y4" s="391"/>
      <c r="Z4" s="391"/>
      <c r="AA4" s="398"/>
      <c r="AB4" s="390" t="s">
        <v>50</v>
      </c>
      <c r="AC4" s="391"/>
      <c r="AD4" s="391"/>
      <c r="AE4" s="398"/>
      <c r="AF4" s="243"/>
    </row>
    <row r="5" spans="2:41" s="29" customFormat="1" ht="32.1" customHeight="1" thickBot="1" x14ac:dyDescent="0.25">
      <c r="B5" s="383" t="s">
        <v>693</v>
      </c>
      <c r="C5" s="384"/>
      <c r="D5" s="384"/>
      <c r="E5" s="384"/>
      <c r="F5" s="384"/>
      <c r="G5" s="384"/>
      <c r="H5" s="384"/>
      <c r="I5" s="384"/>
      <c r="J5" s="384"/>
      <c r="K5" s="384"/>
      <c r="L5" s="384"/>
      <c r="M5" s="384"/>
      <c r="N5" s="384"/>
      <c r="O5" s="384"/>
      <c r="P5" s="384"/>
      <c r="Q5" s="384"/>
      <c r="R5" s="384"/>
      <c r="S5" s="384"/>
      <c r="T5" s="384"/>
      <c r="U5" s="384"/>
      <c r="V5" s="384"/>
      <c r="W5" s="384"/>
      <c r="X5" s="384"/>
      <c r="Y5" s="384"/>
      <c r="Z5" s="384"/>
      <c r="AA5" s="384"/>
      <c r="AB5" s="384"/>
      <c r="AC5" s="384"/>
      <c r="AD5" s="384"/>
      <c r="AE5" s="384"/>
      <c r="AF5" s="243"/>
    </row>
    <row r="6" spans="2:41" s="29" customFormat="1" ht="54.95" customHeight="1" thickBot="1" x14ac:dyDescent="0.25">
      <c r="B6" s="409" t="s">
        <v>0</v>
      </c>
      <c r="C6" s="410"/>
      <c r="D6" s="410"/>
      <c r="E6" s="410"/>
      <c r="F6" s="410"/>
      <c r="G6" s="410"/>
      <c r="H6" s="410"/>
      <c r="I6" s="411"/>
      <c r="J6" s="412" t="s">
        <v>60</v>
      </c>
      <c r="K6" s="413"/>
      <c r="L6" s="413"/>
      <c r="M6" s="413"/>
      <c r="N6" s="414"/>
      <c r="O6" s="418" t="s">
        <v>92</v>
      </c>
      <c r="P6" s="419"/>
      <c r="Q6" s="420" t="s">
        <v>61</v>
      </c>
      <c r="R6" s="421"/>
      <c r="S6" s="421"/>
      <c r="T6" s="421"/>
      <c r="U6" s="422"/>
      <c r="V6" s="426" t="s">
        <v>56</v>
      </c>
      <c r="W6" s="427"/>
      <c r="X6" s="427"/>
      <c r="Y6" s="427"/>
      <c r="Z6" s="427"/>
      <c r="AA6" s="427"/>
      <c r="AB6" s="427"/>
      <c r="AC6" s="427"/>
      <c r="AD6" s="427"/>
      <c r="AE6" s="428"/>
    </row>
    <row r="7" spans="2:41" s="29" customFormat="1" ht="90" customHeight="1" thickBot="1" x14ac:dyDescent="0.25">
      <c r="B7" s="429" t="s">
        <v>8</v>
      </c>
      <c r="C7" s="430" t="s">
        <v>58</v>
      </c>
      <c r="D7" s="432" t="s">
        <v>89</v>
      </c>
      <c r="E7" s="76" t="s">
        <v>59</v>
      </c>
      <c r="F7" s="43" t="s">
        <v>9</v>
      </c>
      <c r="G7" s="43" t="s">
        <v>102</v>
      </c>
      <c r="H7" s="43" t="s">
        <v>10</v>
      </c>
      <c r="I7" s="95" t="s">
        <v>57</v>
      </c>
      <c r="J7" s="415"/>
      <c r="K7" s="416"/>
      <c r="L7" s="416"/>
      <c r="M7" s="416"/>
      <c r="N7" s="417"/>
      <c r="O7" s="433" t="s">
        <v>101</v>
      </c>
      <c r="P7" s="434"/>
      <c r="Q7" s="423"/>
      <c r="R7" s="424"/>
      <c r="S7" s="424"/>
      <c r="T7" s="424"/>
      <c r="U7" s="425"/>
      <c r="V7" s="435" t="s">
        <v>94</v>
      </c>
      <c r="W7" s="436"/>
      <c r="X7" s="436"/>
      <c r="Y7" s="437"/>
      <c r="Z7" s="475" t="s">
        <v>51</v>
      </c>
      <c r="AA7" s="476"/>
      <c r="AB7" s="476"/>
      <c r="AC7" s="476"/>
      <c r="AD7" s="477"/>
      <c r="AE7" s="445" t="s">
        <v>25</v>
      </c>
      <c r="AG7" s="399" t="s">
        <v>43</v>
      </c>
      <c r="AH7" s="399"/>
      <c r="AI7" s="399"/>
      <c r="AJ7" s="399"/>
      <c r="AK7" s="29" t="s">
        <v>65</v>
      </c>
      <c r="AL7" s="29" t="s">
        <v>66</v>
      </c>
    </row>
    <row r="8" spans="2:41" s="29" customFormat="1" ht="202.5" customHeight="1" thickBot="1" x14ac:dyDescent="0.25">
      <c r="B8" s="429"/>
      <c r="C8" s="431"/>
      <c r="D8" s="431"/>
      <c r="E8" s="77" t="s">
        <v>7</v>
      </c>
      <c r="F8" s="23" t="s">
        <v>62</v>
      </c>
      <c r="G8" s="23" t="s">
        <v>13</v>
      </c>
      <c r="H8" s="23" t="s">
        <v>63</v>
      </c>
      <c r="I8" s="23" t="s">
        <v>64</v>
      </c>
      <c r="J8" s="96" t="s">
        <v>11</v>
      </c>
      <c r="K8" s="102" t="s">
        <v>12</v>
      </c>
      <c r="L8" s="97" t="s">
        <v>1</v>
      </c>
      <c r="M8" s="97" t="s">
        <v>2</v>
      </c>
      <c r="N8" s="106" t="s">
        <v>93</v>
      </c>
      <c r="O8" s="104" t="s">
        <v>90</v>
      </c>
      <c r="P8" s="105" t="s">
        <v>91</v>
      </c>
      <c r="Q8" s="101" t="s">
        <v>11</v>
      </c>
      <c r="R8" s="102" t="s">
        <v>12</v>
      </c>
      <c r="S8" s="102" t="s">
        <v>1</v>
      </c>
      <c r="T8" s="102" t="s">
        <v>2</v>
      </c>
      <c r="U8" s="103" t="s">
        <v>100</v>
      </c>
      <c r="V8" s="98" t="s">
        <v>95</v>
      </c>
      <c r="W8" s="99" t="s">
        <v>96</v>
      </c>
      <c r="X8" s="99" t="s">
        <v>97</v>
      </c>
      <c r="Y8" s="100" t="s">
        <v>98</v>
      </c>
      <c r="Z8" s="53" t="s">
        <v>52</v>
      </c>
      <c r="AA8" s="54" t="s">
        <v>53</v>
      </c>
      <c r="AB8" s="55" t="s">
        <v>54</v>
      </c>
      <c r="AC8" s="54" t="s">
        <v>55</v>
      </c>
      <c r="AD8" s="108" t="s">
        <v>99</v>
      </c>
      <c r="AE8" s="446"/>
      <c r="AG8" s="73" t="s">
        <v>39</v>
      </c>
      <c r="AH8" s="74" t="s">
        <v>40</v>
      </c>
      <c r="AI8" s="74" t="s">
        <v>41</v>
      </c>
      <c r="AJ8" s="75" t="s">
        <v>42</v>
      </c>
      <c r="AK8" s="86" t="s">
        <v>83</v>
      </c>
      <c r="AL8" s="86" t="s">
        <v>83</v>
      </c>
      <c r="AM8" s="29" t="s">
        <v>69</v>
      </c>
      <c r="AN8" s="29" t="s">
        <v>70</v>
      </c>
      <c r="AO8" s="91"/>
    </row>
    <row r="9" spans="2:41" s="29" customFormat="1" ht="218.25" customHeight="1" x14ac:dyDescent="0.2">
      <c r="B9" s="400" t="s">
        <v>355</v>
      </c>
      <c r="C9" s="78" t="s">
        <v>69</v>
      </c>
      <c r="D9" s="94" t="s">
        <v>720</v>
      </c>
      <c r="E9" s="46" t="s">
        <v>343</v>
      </c>
      <c r="F9" s="116" t="s">
        <v>344</v>
      </c>
      <c r="G9" s="116" t="s">
        <v>345</v>
      </c>
      <c r="H9" s="116" t="s">
        <v>892</v>
      </c>
      <c r="I9" s="116" t="s">
        <v>893</v>
      </c>
      <c r="J9" s="87">
        <v>2</v>
      </c>
      <c r="K9" s="87" t="str">
        <f>IF(J9=3,"ALTO",IF(J9=2,"MEDIO",IF(J9="N/A","N/A","BAJO")))</f>
        <v>MEDIO</v>
      </c>
      <c r="L9" s="44">
        <v>20</v>
      </c>
      <c r="M9" s="56" t="str">
        <f>IF(L9=20,"ALTO",IF(L9=10,"MEDIO",IF(L9="N/A","N/A","BAJO")))</f>
        <v>ALTO</v>
      </c>
      <c r="N9" s="89">
        <f>J9*L9</f>
        <v>40</v>
      </c>
      <c r="O9" s="120" t="s">
        <v>989</v>
      </c>
      <c r="P9" s="120" t="s">
        <v>894</v>
      </c>
      <c r="Q9" s="87">
        <v>1</v>
      </c>
      <c r="R9" s="87" t="str">
        <f>IF(Q9=3,"ALTO",IF(Q9=2,"MEDIO",IF(Q9="N/A","N/A","BAJO")))</f>
        <v>BAJO</v>
      </c>
      <c r="S9" s="87">
        <v>20</v>
      </c>
      <c r="T9" s="44" t="str">
        <f>IF(S9=20,"ALTO",IF(S9=10,"MEDIO",IF(S9="N/A","N/A","BAJO")))</f>
        <v>ALTO</v>
      </c>
      <c r="U9" s="107">
        <f>Q9*S9</f>
        <v>20</v>
      </c>
      <c r="V9" s="58"/>
      <c r="W9" s="58" t="s">
        <v>116</v>
      </c>
      <c r="X9" s="58"/>
      <c r="Y9" s="58"/>
      <c r="Z9" s="121" t="s">
        <v>895</v>
      </c>
      <c r="AA9" s="122" t="s">
        <v>565</v>
      </c>
      <c r="AB9" s="229" t="s">
        <v>896</v>
      </c>
      <c r="AC9" s="123" t="s">
        <v>552</v>
      </c>
      <c r="AD9" s="116" t="s">
        <v>1019</v>
      </c>
      <c r="AE9" s="403">
        <v>43958</v>
      </c>
      <c r="AG9" s="51">
        <v>1</v>
      </c>
      <c r="AH9" s="52"/>
      <c r="AI9" s="52"/>
      <c r="AJ9" s="50">
        <f>SUM(AG9:AI9)</f>
        <v>1</v>
      </c>
      <c r="AK9" s="29">
        <v>1</v>
      </c>
      <c r="AL9" s="29">
        <v>5</v>
      </c>
      <c r="AM9" s="29" t="s">
        <v>72</v>
      </c>
      <c r="AN9" s="29" t="s">
        <v>74</v>
      </c>
      <c r="AO9" s="92"/>
    </row>
    <row r="10" spans="2:41" s="29" customFormat="1" ht="228" customHeight="1" x14ac:dyDescent="0.2">
      <c r="B10" s="401"/>
      <c r="C10" s="79" t="s">
        <v>69</v>
      </c>
      <c r="D10" s="339" t="s">
        <v>75</v>
      </c>
      <c r="E10" s="265" t="s">
        <v>346</v>
      </c>
      <c r="F10" s="181" t="s">
        <v>897</v>
      </c>
      <c r="G10" s="181" t="s">
        <v>347</v>
      </c>
      <c r="H10" s="181" t="s">
        <v>898</v>
      </c>
      <c r="I10" s="181" t="s">
        <v>899</v>
      </c>
      <c r="J10" s="87">
        <v>3</v>
      </c>
      <c r="K10" s="56" t="str">
        <f t="shared" ref="K10:K25" si="0">IF(J10=3,"ALTO",IF(J10=2,"MEDIO",IF(J10="N/A","N/A","BAJO")))</f>
        <v>ALTO</v>
      </c>
      <c r="L10" s="56">
        <v>20</v>
      </c>
      <c r="M10" s="56" t="str">
        <f t="shared" ref="M10:M25" si="1">IF(L10=20,"ALTO",IF(L10=10,"MEDIO",IF(L10="N/A","N/A","BAJO")))</f>
        <v>ALTO</v>
      </c>
      <c r="N10" s="88">
        <f t="shared" ref="N10:N25" si="2">J10*L10</f>
        <v>60</v>
      </c>
      <c r="O10" s="181" t="s">
        <v>348</v>
      </c>
      <c r="P10" s="131" t="s">
        <v>900</v>
      </c>
      <c r="Q10" s="87">
        <v>1</v>
      </c>
      <c r="R10" s="87" t="str">
        <f t="shared" ref="R10:R25" si="3">IF(Q10=3,"ALTO",IF(Q10=2,"MEDIO",IF(Q10="N/A","N/A","BAJO")))</f>
        <v>BAJO</v>
      </c>
      <c r="S10" s="56">
        <v>10</v>
      </c>
      <c r="T10" s="87" t="str">
        <f t="shared" ref="T10:T25" si="4">IF(S10=20,"ALTO",IF(S10=10,"MEDIO",IF(S10="N/A","N/A","BAJO")))</f>
        <v>MEDIO</v>
      </c>
      <c r="U10" s="88">
        <f t="shared" ref="U10:U25" si="5">Q10*S10</f>
        <v>10</v>
      </c>
      <c r="V10" s="58"/>
      <c r="W10" s="58" t="s">
        <v>116</v>
      </c>
      <c r="X10" s="58"/>
      <c r="Y10" s="58"/>
      <c r="Z10" s="124" t="s">
        <v>553</v>
      </c>
      <c r="AA10" s="124" t="s">
        <v>401</v>
      </c>
      <c r="AB10" s="124" t="s">
        <v>349</v>
      </c>
      <c r="AC10" s="125" t="s">
        <v>119</v>
      </c>
      <c r="AD10" s="127" t="s">
        <v>1020</v>
      </c>
      <c r="AE10" s="404"/>
      <c r="AG10" s="240"/>
      <c r="AH10" s="241">
        <v>1</v>
      </c>
      <c r="AI10" s="241"/>
      <c r="AJ10" s="242">
        <f t="shared" ref="AJ10:AJ37" si="6">SUM(AG10:AI10)</f>
        <v>1</v>
      </c>
      <c r="AK10" s="29">
        <v>2</v>
      </c>
      <c r="AL10" s="29">
        <v>10</v>
      </c>
      <c r="AN10" s="29" t="s">
        <v>75</v>
      </c>
      <c r="AO10" s="92"/>
    </row>
    <row r="11" spans="2:41" s="29" customFormat="1" ht="123" customHeight="1" x14ac:dyDescent="0.2">
      <c r="B11" s="401"/>
      <c r="C11" s="79" t="s">
        <v>69</v>
      </c>
      <c r="D11" s="339" t="s">
        <v>995</v>
      </c>
      <c r="E11" s="265" t="s">
        <v>350</v>
      </c>
      <c r="F11" s="181" t="s">
        <v>901</v>
      </c>
      <c r="G11" s="181" t="s">
        <v>351</v>
      </c>
      <c r="H11" s="181" t="s">
        <v>902</v>
      </c>
      <c r="I11" s="181" t="s">
        <v>903</v>
      </c>
      <c r="J11" s="87">
        <v>2</v>
      </c>
      <c r="K11" s="56" t="str">
        <f t="shared" si="0"/>
        <v>MEDIO</v>
      </c>
      <c r="L11" s="56">
        <v>20</v>
      </c>
      <c r="M11" s="56" t="str">
        <f t="shared" si="1"/>
        <v>ALTO</v>
      </c>
      <c r="N11" s="88">
        <f t="shared" si="2"/>
        <v>40</v>
      </c>
      <c r="O11" s="181" t="s">
        <v>904</v>
      </c>
      <c r="P11" s="131" t="s">
        <v>905</v>
      </c>
      <c r="Q11" s="87">
        <v>1</v>
      </c>
      <c r="R11" s="87" t="str">
        <f t="shared" si="3"/>
        <v>BAJO</v>
      </c>
      <c r="S11" s="56">
        <v>20</v>
      </c>
      <c r="T11" s="87" t="str">
        <f t="shared" si="4"/>
        <v>ALTO</v>
      </c>
      <c r="U11" s="88">
        <f t="shared" si="5"/>
        <v>20</v>
      </c>
      <c r="V11" s="58"/>
      <c r="W11" s="58" t="s">
        <v>116</v>
      </c>
      <c r="X11" s="58"/>
      <c r="Y11" s="58"/>
      <c r="Z11" s="124" t="s">
        <v>906</v>
      </c>
      <c r="AA11" s="124" t="s">
        <v>1021</v>
      </c>
      <c r="AB11" s="124" t="s">
        <v>907</v>
      </c>
      <c r="AC11" s="125" t="s">
        <v>552</v>
      </c>
      <c r="AD11" s="127" t="s">
        <v>551</v>
      </c>
      <c r="AE11" s="404"/>
      <c r="AG11" s="240">
        <v>1</v>
      </c>
      <c r="AH11" s="241"/>
      <c r="AI11" s="241"/>
      <c r="AJ11" s="242">
        <f t="shared" si="6"/>
        <v>1</v>
      </c>
      <c r="AK11" s="29">
        <v>3</v>
      </c>
      <c r="AL11" s="29">
        <v>20</v>
      </c>
      <c r="AN11" s="29" t="s">
        <v>86</v>
      </c>
      <c r="AO11" s="92"/>
    </row>
    <row r="12" spans="2:41" s="29" customFormat="1" ht="180.75" customHeight="1" x14ac:dyDescent="0.2">
      <c r="B12" s="401"/>
      <c r="C12" s="79" t="s">
        <v>69</v>
      </c>
      <c r="D12" s="339" t="s">
        <v>75</v>
      </c>
      <c r="E12" s="45" t="s">
        <v>908</v>
      </c>
      <c r="F12" s="117" t="s">
        <v>977</v>
      </c>
      <c r="G12" s="117" t="s">
        <v>345</v>
      </c>
      <c r="H12" s="117" t="s">
        <v>909</v>
      </c>
      <c r="I12" s="117" t="s">
        <v>554</v>
      </c>
      <c r="J12" s="56">
        <v>2</v>
      </c>
      <c r="K12" s="56" t="str">
        <f t="shared" si="0"/>
        <v>MEDIO</v>
      </c>
      <c r="L12" s="56">
        <v>20</v>
      </c>
      <c r="M12" s="56" t="str">
        <f t="shared" si="1"/>
        <v>ALTO</v>
      </c>
      <c r="N12" s="88">
        <f t="shared" si="2"/>
        <v>40</v>
      </c>
      <c r="O12" s="196" t="s">
        <v>990</v>
      </c>
      <c r="P12" s="196" t="s">
        <v>910</v>
      </c>
      <c r="Q12" s="56">
        <v>1</v>
      </c>
      <c r="R12" s="87" t="str">
        <f t="shared" si="3"/>
        <v>BAJO</v>
      </c>
      <c r="S12" s="56">
        <v>20</v>
      </c>
      <c r="T12" s="87" t="str">
        <f t="shared" si="4"/>
        <v>ALTO</v>
      </c>
      <c r="U12" s="88">
        <f t="shared" si="5"/>
        <v>20</v>
      </c>
      <c r="V12" s="164"/>
      <c r="W12" s="164" t="s">
        <v>116</v>
      </c>
      <c r="X12" s="164"/>
      <c r="Y12" s="164"/>
      <c r="Z12" s="124" t="s">
        <v>911</v>
      </c>
      <c r="AA12" s="125" t="s">
        <v>555</v>
      </c>
      <c r="AB12" s="125" t="s">
        <v>912</v>
      </c>
      <c r="AC12" s="125" t="s">
        <v>119</v>
      </c>
      <c r="AD12" s="127" t="s">
        <v>1022</v>
      </c>
      <c r="AE12" s="404"/>
      <c r="AG12" s="246"/>
      <c r="AH12" s="247"/>
      <c r="AI12" s="247"/>
      <c r="AJ12" s="248"/>
      <c r="AN12" s="29" t="s">
        <v>87</v>
      </c>
      <c r="AO12" s="92"/>
    </row>
    <row r="13" spans="2:41" s="29" customFormat="1" ht="210.75" customHeight="1" x14ac:dyDescent="0.2">
      <c r="B13" s="401"/>
      <c r="C13" s="79" t="s">
        <v>69</v>
      </c>
      <c r="D13" s="339" t="s">
        <v>75</v>
      </c>
      <c r="E13" s="265" t="s">
        <v>352</v>
      </c>
      <c r="F13" s="181" t="s">
        <v>353</v>
      </c>
      <c r="G13" s="181" t="s">
        <v>354</v>
      </c>
      <c r="H13" s="181" t="s">
        <v>913</v>
      </c>
      <c r="I13" s="181" t="s">
        <v>914</v>
      </c>
      <c r="J13" s="56">
        <v>2</v>
      </c>
      <c r="K13" s="56" t="str">
        <f t="shared" si="0"/>
        <v>MEDIO</v>
      </c>
      <c r="L13" s="56">
        <v>20</v>
      </c>
      <c r="M13" s="56" t="str">
        <f t="shared" si="1"/>
        <v>ALTO</v>
      </c>
      <c r="N13" s="88">
        <f t="shared" si="2"/>
        <v>40</v>
      </c>
      <c r="O13" s="181" t="s">
        <v>915</v>
      </c>
      <c r="P13" s="196" t="s">
        <v>900</v>
      </c>
      <c r="Q13" s="56">
        <v>1</v>
      </c>
      <c r="R13" s="87" t="str">
        <f t="shared" si="3"/>
        <v>BAJO</v>
      </c>
      <c r="S13" s="56">
        <v>10</v>
      </c>
      <c r="T13" s="87" t="str">
        <f t="shared" si="4"/>
        <v>MEDIO</v>
      </c>
      <c r="U13" s="88">
        <f t="shared" si="5"/>
        <v>10</v>
      </c>
      <c r="V13" s="164"/>
      <c r="W13" s="164" t="s">
        <v>116</v>
      </c>
      <c r="X13" s="164"/>
      <c r="Y13" s="164"/>
      <c r="Z13" s="117" t="s">
        <v>556</v>
      </c>
      <c r="AA13" s="117" t="s">
        <v>138</v>
      </c>
      <c r="AB13" s="117" t="s">
        <v>916</v>
      </c>
      <c r="AC13" s="117" t="s">
        <v>119</v>
      </c>
      <c r="AD13" s="117" t="s">
        <v>1023</v>
      </c>
      <c r="AE13" s="404"/>
      <c r="AG13" s="246"/>
      <c r="AH13" s="247"/>
      <c r="AI13" s="247"/>
      <c r="AJ13" s="248"/>
      <c r="AN13" s="29" t="s">
        <v>88</v>
      </c>
      <c r="AO13" s="92"/>
    </row>
    <row r="14" spans="2:41" s="29" customFormat="1" ht="150.75" customHeight="1" x14ac:dyDescent="0.2">
      <c r="B14" s="401"/>
      <c r="C14" s="79" t="s">
        <v>69</v>
      </c>
      <c r="D14" s="339" t="s">
        <v>75</v>
      </c>
      <c r="E14" s="284" t="s">
        <v>356</v>
      </c>
      <c r="F14" s="285" t="s">
        <v>357</v>
      </c>
      <c r="G14" s="285" t="s">
        <v>358</v>
      </c>
      <c r="H14" s="285" t="s">
        <v>917</v>
      </c>
      <c r="I14" s="181" t="s">
        <v>918</v>
      </c>
      <c r="J14" s="56">
        <v>3</v>
      </c>
      <c r="K14" s="56" t="str">
        <f t="shared" si="0"/>
        <v>ALTO</v>
      </c>
      <c r="L14" s="56">
        <v>10</v>
      </c>
      <c r="M14" s="56" t="str">
        <f t="shared" si="1"/>
        <v>MEDIO</v>
      </c>
      <c r="N14" s="88">
        <f t="shared" si="2"/>
        <v>30</v>
      </c>
      <c r="O14" s="285" t="s">
        <v>919</v>
      </c>
      <c r="P14" s="196" t="s">
        <v>920</v>
      </c>
      <c r="Q14" s="56">
        <v>2</v>
      </c>
      <c r="R14" s="87" t="str">
        <f t="shared" si="3"/>
        <v>MEDIO</v>
      </c>
      <c r="S14" s="56">
        <v>5</v>
      </c>
      <c r="T14" s="87" t="str">
        <f t="shared" si="4"/>
        <v>BAJO</v>
      </c>
      <c r="U14" s="88">
        <f t="shared" si="5"/>
        <v>10</v>
      </c>
      <c r="V14" s="164"/>
      <c r="W14" s="164" t="s">
        <v>116</v>
      </c>
      <c r="X14" s="164"/>
      <c r="Y14" s="164"/>
      <c r="Z14" s="252" t="s">
        <v>921</v>
      </c>
      <c r="AA14" s="252" t="s">
        <v>557</v>
      </c>
      <c r="AB14" s="289" t="s">
        <v>558</v>
      </c>
      <c r="AC14" s="117" t="s">
        <v>922</v>
      </c>
      <c r="AD14" s="117" t="s">
        <v>1024</v>
      </c>
      <c r="AE14" s="404"/>
      <c r="AG14" s="246"/>
      <c r="AH14" s="247"/>
      <c r="AI14" s="247"/>
      <c r="AJ14" s="248"/>
      <c r="AO14" s="92"/>
    </row>
    <row r="15" spans="2:41" s="29" customFormat="1" ht="134.25" customHeight="1" x14ac:dyDescent="0.2">
      <c r="B15" s="401"/>
      <c r="C15" s="79" t="s">
        <v>69</v>
      </c>
      <c r="D15" s="339" t="s">
        <v>75</v>
      </c>
      <c r="E15" s="284" t="s">
        <v>923</v>
      </c>
      <c r="F15" s="181" t="s">
        <v>924</v>
      </c>
      <c r="G15" s="285" t="s">
        <v>359</v>
      </c>
      <c r="H15" s="285" t="s">
        <v>925</v>
      </c>
      <c r="I15" s="283" t="s">
        <v>978</v>
      </c>
      <c r="J15" s="56">
        <v>3</v>
      </c>
      <c r="K15" s="56" t="str">
        <f t="shared" si="0"/>
        <v>ALTO</v>
      </c>
      <c r="L15" s="56">
        <v>20</v>
      </c>
      <c r="M15" s="56" t="str">
        <f t="shared" si="1"/>
        <v>ALTO</v>
      </c>
      <c r="N15" s="88">
        <f t="shared" si="2"/>
        <v>60</v>
      </c>
      <c r="O15" s="285" t="s">
        <v>979</v>
      </c>
      <c r="P15" s="196" t="s">
        <v>926</v>
      </c>
      <c r="Q15" s="56">
        <v>1</v>
      </c>
      <c r="R15" s="87" t="str">
        <f t="shared" si="3"/>
        <v>BAJO</v>
      </c>
      <c r="S15" s="56">
        <v>20</v>
      </c>
      <c r="T15" s="87" t="str">
        <f t="shared" si="4"/>
        <v>ALTO</v>
      </c>
      <c r="U15" s="88">
        <f t="shared" si="5"/>
        <v>20</v>
      </c>
      <c r="V15" s="164" t="s">
        <v>116</v>
      </c>
      <c r="W15" s="164"/>
      <c r="X15" s="164"/>
      <c r="Y15" s="164"/>
      <c r="Z15" s="117" t="s">
        <v>559</v>
      </c>
      <c r="AA15" s="331" t="s">
        <v>583</v>
      </c>
      <c r="AB15" s="289" t="s">
        <v>927</v>
      </c>
      <c r="AC15" s="262" t="s">
        <v>83</v>
      </c>
      <c r="AD15" s="299" t="s">
        <v>566</v>
      </c>
      <c r="AE15" s="404"/>
      <c r="AG15" s="246"/>
      <c r="AH15" s="247"/>
      <c r="AI15" s="247"/>
      <c r="AJ15" s="248"/>
      <c r="AO15" s="92"/>
    </row>
    <row r="16" spans="2:41" s="29" customFormat="1" ht="128.25" customHeight="1" x14ac:dyDescent="0.2">
      <c r="B16" s="401"/>
      <c r="C16" s="79" t="s">
        <v>69</v>
      </c>
      <c r="D16" s="339" t="s">
        <v>719</v>
      </c>
      <c r="E16" s="45" t="s">
        <v>360</v>
      </c>
      <c r="F16" s="127" t="s">
        <v>928</v>
      </c>
      <c r="G16" s="117" t="s">
        <v>560</v>
      </c>
      <c r="H16" s="117" t="s">
        <v>929</v>
      </c>
      <c r="I16" s="117" t="s">
        <v>361</v>
      </c>
      <c r="J16" s="56">
        <v>2</v>
      </c>
      <c r="K16" s="56" t="str">
        <f t="shared" si="0"/>
        <v>MEDIO</v>
      </c>
      <c r="L16" s="56">
        <v>20</v>
      </c>
      <c r="M16" s="56" t="str">
        <f t="shared" si="1"/>
        <v>ALTO</v>
      </c>
      <c r="N16" s="88">
        <f t="shared" si="2"/>
        <v>40</v>
      </c>
      <c r="O16" s="117" t="s">
        <v>930</v>
      </c>
      <c r="P16" s="196" t="s">
        <v>402</v>
      </c>
      <c r="Q16" s="56">
        <v>1</v>
      </c>
      <c r="R16" s="87" t="str">
        <f t="shared" si="3"/>
        <v>BAJO</v>
      </c>
      <c r="S16" s="56">
        <v>10</v>
      </c>
      <c r="T16" s="87" t="str">
        <f t="shared" si="4"/>
        <v>MEDIO</v>
      </c>
      <c r="U16" s="88">
        <f t="shared" si="5"/>
        <v>10</v>
      </c>
      <c r="V16" s="164"/>
      <c r="W16" s="164" t="s">
        <v>116</v>
      </c>
      <c r="X16" s="164"/>
      <c r="Y16" s="164"/>
      <c r="Z16" s="300" t="s">
        <v>561</v>
      </c>
      <c r="AA16" s="125" t="s">
        <v>562</v>
      </c>
      <c r="AB16" s="125" t="s">
        <v>931</v>
      </c>
      <c r="AC16" s="126" t="s">
        <v>922</v>
      </c>
      <c r="AD16" s="127" t="s">
        <v>1025</v>
      </c>
      <c r="AE16" s="404"/>
      <c r="AG16" s="246"/>
      <c r="AH16" s="247"/>
      <c r="AI16" s="247"/>
      <c r="AJ16" s="248"/>
      <c r="AO16" s="92"/>
    </row>
    <row r="17" spans="2:41" s="29" customFormat="1" ht="128.25" customHeight="1" x14ac:dyDescent="0.2">
      <c r="B17" s="401"/>
      <c r="C17" s="79" t="s">
        <v>69</v>
      </c>
      <c r="D17" s="339" t="s">
        <v>720</v>
      </c>
      <c r="E17" s="45" t="s">
        <v>362</v>
      </c>
      <c r="F17" s="117" t="s">
        <v>363</v>
      </c>
      <c r="G17" s="117" t="s">
        <v>364</v>
      </c>
      <c r="H17" s="117" t="s">
        <v>365</v>
      </c>
      <c r="I17" s="117" t="s">
        <v>204</v>
      </c>
      <c r="J17" s="56">
        <v>2</v>
      </c>
      <c r="K17" s="56" t="str">
        <f t="shared" si="0"/>
        <v>MEDIO</v>
      </c>
      <c r="L17" s="56">
        <v>20</v>
      </c>
      <c r="M17" s="56" t="str">
        <f t="shared" si="1"/>
        <v>ALTO</v>
      </c>
      <c r="N17" s="88">
        <f t="shared" si="2"/>
        <v>40</v>
      </c>
      <c r="O17" s="117" t="s">
        <v>932</v>
      </c>
      <c r="P17" s="196" t="s">
        <v>403</v>
      </c>
      <c r="Q17" s="56">
        <v>1</v>
      </c>
      <c r="R17" s="87" t="str">
        <f t="shared" si="3"/>
        <v>BAJO</v>
      </c>
      <c r="S17" s="56">
        <v>20</v>
      </c>
      <c r="T17" s="87" t="str">
        <f t="shared" si="4"/>
        <v>ALTO</v>
      </c>
      <c r="U17" s="88">
        <f t="shared" si="5"/>
        <v>20</v>
      </c>
      <c r="V17" s="164"/>
      <c r="W17" s="164" t="s">
        <v>116</v>
      </c>
      <c r="X17" s="164"/>
      <c r="Y17" s="164"/>
      <c r="Z17" s="124" t="s">
        <v>964</v>
      </c>
      <c r="AA17" s="301" t="s">
        <v>634</v>
      </c>
      <c r="AB17" s="125" t="s">
        <v>367</v>
      </c>
      <c r="AC17" s="180" t="s">
        <v>368</v>
      </c>
      <c r="AD17" s="127" t="s">
        <v>1026</v>
      </c>
      <c r="AE17" s="404"/>
      <c r="AG17" s="246"/>
      <c r="AH17" s="247"/>
      <c r="AI17" s="247"/>
      <c r="AJ17" s="248"/>
      <c r="AO17" s="92"/>
    </row>
    <row r="18" spans="2:41" s="29" customFormat="1" ht="110.25" customHeight="1" x14ac:dyDescent="0.2">
      <c r="B18" s="401"/>
      <c r="C18" s="79" t="s">
        <v>69</v>
      </c>
      <c r="D18" s="382" t="s">
        <v>725</v>
      </c>
      <c r="E18" s="194" t="s">
        <v>933</v>
      </c>
      <c r="F18" s="200" t="s">
        <v>366</v>
      </c>
      <c r="G18" s="195" t="s">
        <v>563</v>
      </c>
      <c r="H18" s="195" t="s">
        <v>981</v>
      </c>
      <c r="I18" s="195" t="s">
        <v>982</v>
      </c>
      <c r="J18" s="56">
        <v>2</v>
      </c>
      <c r="K18" s="56" t="str">
        <f t="shared" si="0"/>
        <v>MEDIO</v>
      </c>
      <c r="L18" s="56">
        <v>20</v>
      </c>
      <c r="M18" s="56" t="str">
        <f t="shared" si="1"/>
        <v>ALTO</v>
      </c>
      <c r="N18" s="88">
        <f t="shared" si="2"/>
        <v>40</v>
      </c>
      <c r="O18" s="195" t="s">
        <v>980</v>
      </c>
      <c r="P18" s="196" t="s">
        <v>934</v>
      </c>
      <c r="Q18" s="56">
        <v>1</v>
      </c>
      <c r="R18" s="87" t="str">
        <f t="shared" si="3"/>
        <v>BAJO</v>
      </c>
      <c r="S18" s="56">
        <v>10</v>
      </c>
      <c r="T18" s="87" t="str">
        <f t="shared" si="4"/>
        <v>MEDIO</v>
      </c>
      <c r="U18" s="88">
        <f t="shared" si="5"/>
        <v>10</v>
      </c>
      <c r="V18" s="164"/>
      <c r="W18" s="164" t="s">
        <v>116</v>
      </c>
      <c r="X18" s="164"/>
      <c r="Y18" s="164"/>
      <c r="Z18" s="302" t="s">
        <v>564</v>
      </c>
      <c r="AA18" s="198" t="s">
        <v>584</v>
      </c>
      <c r="AB18" s="198" t="s">
        <v>935</v>
      </c>
      <c r="AC18" s="199" t="s">
        <v>119</v>
      </c>
      <c r="AD18" s="200" t="s">
        <v>551</v>
      </c>
      <c r="AE18" s="404"/>
      <c r="AG18" s="246"/>
      <c r="AH18" s="247"/>
      <c r="AI18" s="247"/>
      <c r="AJ18" s="248"/>
      <c r="AO18" s="92"/>
    </row>
    <row r="19" spans="2:41" s="29" customFormat="1" ht="101.25" customHeight="1" x14ac:dyDescent="0.2">
      <c r="B19" s="401"/>
      <c r="C19" s="79" t="s">
        <v>69</v>
      </c>
      <c r="D19" s="339" t="s">
        <v>719</v>
      </c>
      <c r="E19" s="265" t="s">
        <v>447</v>
      </c>
      <c r="F19" s="181" t="s">
        <v>369</v>
      </c>
      <c r="G19" s="181" t="s">
        <v>370</v>
      </c>
      <c r="H19" s="181" t="s">
        <v>371</v>
      </c>
      <c r="I19" s="117" t="s">
        <v>374</v>
      </c>
      <c r="J19" s="56">
        <v>3</v>
      </c>
      <c r="K19" s="56" t="str">
        <f t="shared" si="0"/>
        <v>ALTO</v>
      </c>
      <c r="L19" s="56">
        <v>20</v>
      </c>
      <c r="M19" s="56" t="str">
        <f t="shared" si="1"/>
        <v>ALTO</v>
      </c>
      <c r="N19" s="88">
        <f t="shared" si="2"/>
        <v>60</v>
      </c>
      <c r="O19" s="181" t="s">
        <v>375</v>
      </c>
      <c r="P19" s="196" t="s">
        <v>567</v>
      </c>
      <c r="Q19" s="56">
        <v>2</v>
      </c>
      <c r="R19" s="87" t="str">
        <f t="shared" si="3"/>
        <v>MEDIO</v>
      </c>
      <c r="S19" s="56">
        <v>20</v>
      </c>
      <c r="T19" s="87" t="str">
        <f t="shared" si="4"/>
        <v>ALTO</v>
      </c>
      <c r="U19" s="88">
        <f t="shared" si="5"/>
        <v>40</v>
      </c>
      <c r="V19" s="164"/>
      <c r="W19" s="164" t="s">
        <v>116</v>
      </c>
      <c r="X19" s="164"/>
      <c r="Y19" s="164"/>
      <c r="Z19" s="124" t="s">
        <v>936</v>
      </c>
      <c r="AA19" s="125" t="s">
        <v>568</v>
      </c>
      <c r="AB19" s="125" t="s">
        <v>937</v>
      </c>
      <c r="AC19" s="125" t="s">
        <v>377</v>
      </c>
      <c r="AD19" s="127" t="s">
        <v>569</v>
      </c>
      <c r="AE19" s="404"/>
      <c r="AG19" s="246"/>
      <c r="AH19" s="247"/>
      <c r="AI19" s="247"/>
      <c r="AJ19" s="248"/>
      <c r="AO19" s="92"/>
    </row>
    <row r="20" spans="2:41" s="29" customFormat="1" ht="126.75" customHeight="1" x14ac:dyDescent="0.2">
      <c r="B20" s="401"/>
      <c r="C20" s="79" t="s">
        <v>69</v>
      </c>
      <c r="D20" s="339" t="s">
        <v>75</v>
      </c>
      <c r="E20" s="265" t="s">
        <v>372</v>
      </c>
      <c r="F20" s="181" t="s">
        <v>938</v>
      </c>
      <c r="G20" s="181" t="s">
        <v>939</v>
      </c>
      <c r="H20" s="181" t="s">
        <v>373</v>
      </c>
      <c r="I20" s="117" t="s">
        <v>374</v>
      </c>
      <c r="J20" s="56">
        <v>2</v>
      </c>
      <c r="K20" s="56" t="str">
        <f t="shared" si="0"/>
        <v>MEDIO</v>
      </c>
      <c r="L20" s="56">
        <v>20</v>
      </c>
      <c r="M20" s="56" t="str">
        <f t="shared" si="1"/>
        <v>ALTO</v>
      </c>
      <c r="N20" s="88">
        <f t="shared" si="2"/>
        <v>40</v>
      </c>
      <c r="O20" s="181" t="s">
        <v>376</v>
      </c>
      <c r="P20" s="196" t="s">
        <v>940</v>
      </c>
      <c r="Q20" s="56">
        <v>1</v>
      </c>
      <c r="R20" s="87" t="str">
        <f t="shared" si="3"/>
        <v>BAJO</v>
      </c>
      <c r="S20" s="56">
        <v>20</v>
      </c>
      <c r="T20" s="87" t="str">
        <f t="shared" si="4"/>
        <v>ALTO</v>
      </c>
      <c r="U20" s="88">
        <f t="shared" si="5"/>
        <v>20</v>
      </c>
      <c r="V20" s="164"/>
      <c r="W20" s="164" t="s">
        <v>116</v>
      </c>
      <c r="X20" s="164"/>
      <c r="Y20" s="164"/>
      <c r="Z20" s="124" t="s">
        <v>941</v>
      </c>
      <c r="AA20" s="125" t="s">
        <v>570</v>
      </c>
      <c r="AB20" s="125" t="s">
        <v>912</v>
      </c>
      <c r="AC20" s="125" t="s">
        <v>377</v>
      </c>
      <c r="AD20" s="127" t="s">
        <v>1027</v>
      </c>
      <c r="AE20" s="404"/>
      <c r="AG20" s="246"/>
      <c r="AH20" s="247"/>
      <c r="AI20" s="247"/>
      <c r="AJ20" s="248"/>
      <c r="AO20" s="92"/>
    </row>
    <row r="21" spans="2:41" s="29" customFormat="1" ht="143.25" customHeight="1" x14ac:dyDescent="0.2">
      <c r="B21" s="401"/>
      <c r="C21" s="79" t="s">
        <v>69</v>
      </c>
      <c r="D21" s="339" t="s">
        <v>720</v>
      </c>
      <c r="E21" s="265" t="s">
        <v>378</v>
      </c>
      <c r="F21" s="181" t="s">
        <v>379</v>
      </c>
      <c r="G21" s="181" t="s">
        <v>380</v>
      </c>
      <c r="H21" s="181" t="s">
        <v>381</v>
      </c>
      <c r="I21" s="181" t="s">
        <v>942</v>
      </c>
      <c r="J21" s="56">
        <v>2</v>
      </c>
      <c r="K21" s="56" t="str">
        <f t="shared" si="0"/>
        <v>MEDIO</v>
      </c>
      <c r="L21" s="56">
        <v>10</v>
      </c>
      <c r="M21" s="56" t="str">
        <f t="shared" si="1"/>
        <v>MEDIO</v>
      </c>
      <c r="N21" s="88">
        <f t="shared" si="2"/>
        <v>20</v>
      </c>
      <c r="O21" s="181" t="s">
        <v>943</v>
      </c>
      <c r="P21" s="196" t="s">
        <v>404</v>
      </c>
      <c r="Q21" s="56">
        <v>1</v>
      </c>
      <c r="R21" s="87" t="str">
        <f t="shared" si="3"/>
        <v>BAJO</v>
      </c>
      <c r="S21" s="56">
        <v>10</v>
      </c>
      <c r="T21" s="87" t="str">
        <f t="shared" si="4"/>
        <v>MEDIO</v>
      </c>
      <c r="U21" s="88">
        <f t="shared" si="5"/>
        <v>10</v>
      </c>
      <c r="V21" s="164"/>
      <c r="W21" s="164" t="s">
        <v>116</v>
      </c>
      <c r="X21" s="164"/>
      <c r="Y21" s="164"/>
      <c r="Z21" s="117" t="s">
        <v>384</v>
      </c>
      <c r="AA21" s="117" t="s">
        <v>944</v>
      </c>
      <c r="AB21" s="260" t="s">
        <v>935</v>
      </c>
      <c r="AC21" s="264" t="s">
        <v>119</v>
      </c>
      <c r="AD21" s="260" t="s">
        <v>571</v>
      </c>
      <c r="AE21" s="404"/>
      <c r="AG21" s="246"/>
      <c r="AH21" s="247"/>
      <c r="AI21" s="247"/>
      <c r="AJ21" s="248"/>
      <c r="AO21" s="92"/>
    </row>
    <row r="22" spans="2:41" s="29" customFormat="1" ht="116.25" customHeight="1" x14ac:dyDescent="0.2">
      <c r="B22" s="401"/>
      <c r="C22" s="79" t="s">
        <v>69</v>
      </c>
      <c r="D22" s="339" t="s">
        <v>719</v>
      </c>
      <c r="E22" s="303" t="s">
        <v>382</v>
      </c>
      <c r="F22" s="181" t="s">
        <v>945</v>
      </c>
      <c r="G22" s="182" t="s">
        <v>383</v>
      </c>
      <c r="H22" s="181" t="s">
        <v>196</v>
      </c>
      <c r="I22" s="181" t="s">
        <v>197</v>
      </c>
      <c r="J22" s="56">
        <v>2</v>
      </c>
      <c r="K22" s="56" t="str">
        <f t="shared" si="0"/>
        <v>MEDIO</v>
      </c>
      <c r="L22" s="56">
        <v>20</v>
      </c>
      <c r="M22" s="56" t="str">
        <f t="shared" si="1"/>
        <v>ALTO</v>
      </c>
      <c r="N22" s="88">
        <f t="shared" si="2"/>
        <v>40</v>
      </c>
      <c r="O22" s="181" t="s">
        <v>946</v>
      </c>
      <c r="P22" s="196" t="s">
        <v>947</v>
      </c>
      <c r="Q22" s="56">
        <v>1</v>
      </c>
      <c r="R22" s="87" t="str">
        <f t="shared" si="3"/>
        <v>BAJO</v>
      </c>
      <c r="S22" s="56">
        <v>20</v>
      </c>
      <c r="T22" s="87" t="str">
        <f t="shared" si="4"/>
        <v>ALTO</v>
      </c>
      <c r="U22" s="88">
        <f t="shared" si="5"/>
        <v>20</v>
      </c>
      <c r="V22" s="164"/>
      <c r="W22" s="164" t="s">
        <v>116</v>
      </c>
      <c r="X22" s="164"/>
      <c r="Y22" s="164"/>
      <c r="Z22" s="183" t="s">
        <v>948</v>
      </c>
      <c r="AA22" s="184" t="s">
        <v>949</v>
      </c>
      <c r="AB22" s="260" t="s">
        <v>935</v>
      </c>
      <c r="AC22" s="237" t="s">
        <v>950</v>
      </c>
      <c r="AD22" s="183" t="s">
        <v>1028</v>
      </c>
      <c r="AE22" s="404"/>
      <c r="AG22" s="246"/>
      <c r="AH22" s="247"/>
      <c r="AI22" s="247"/>
      <c r="AJ22" s="248"/>
      <c r="AO22" s="92"/>
    </row>
    <row r="23" spans="2:41" s="29" customFormat="1" ht="180" customHeight="1" x14ac:dyDescent="0.2">
      <c r="B23" s="401"/>
      <c r="C23" s="379" t="s">
        <v>69</v>
      </c>
      <c r="D23" s="339" t="s">
        <v>720</v>
      </c>
      <c r="E23" s="303" t="s">
        <v>572</v>
      </c>
      <c r="F23" s="181" t="s">
        <v>573</v>
      </c>
      <c r="G23" s="182" t="s">
        <v>456</v>
      </c>
      <c r="H23" s="181" t="s">
        <v>574</v>
      </c>
      <c r="I23" s="181" t="s">
        <v>457</v>
      </c>
      <c r="J23" s="56">
        <v>3</v>
      </c>
      <c r="K23" s="56" t="str">
        <f t="shared" si="0"/>
        <v>ALTO</v>
      </c>
      <c r="L23" s="56">
        <v>10</v>
      </c>
      <c r="M23" s="56" t="str">
        <f t="shared" si="1"/>
        <v>MEDIO</v>
      </c>
      <c r="N23" s="88">
        <f t="shared" si="2"/>
        <v>30</v>
      </c>
      <c r="O23" s="181" t="s">
        <v>951</v>
      </c>
      <c r="P23" s="196" t="s">
        <v>952</v>
      </c>
      <c r="Q23" s="56">
        <v>2</v>
      </c>
      <c r="R23" s="87" t="str">
        <f t="shared" si="3"/>
        <v>MEDIO</v>
      </c>
      <c r="S23" s="56">
        <v>10</v>
      </c>
      <c r="T23" s="87" t="str">
        <f t="shared" si="4"/>
        <v>MEDIO</v>
      </c>
      <c r="U23" s="88">
        <f t="shared" si="5"/>
        <v>20</v>
      </c>
      <c r="V23" s="164"/>
      <c r="W23" s="164" t="s">
        <v>116</v>
      </c>
      <c r="X23" s="164"/>
      <c r="Y23" s="164"/>
      <c r="Z23" s="183" t="s">
        <v>953</v>
      </c>
      <c r="AA23" s="182" t="s">
        <v>575</v>
      </c>
      <c r="AB23" s="260" t="s">
        <v>954</v>
      </c>
      <c r="AC23" s="237" t="s">
        <v>464</v>
      </c>
      <c r="AD23" s="183" t="s">
        <v>1029</v>
      </c>
      <c r="AE23" s="404"/>
      <c r="AG23" s="327"/>
      <c r="AH23" s="328"/>
      <c r="AI23" s="328"/>
      <c r="AJ23" s="329"/>
      <c r="AO23" s="92"/>
    </row>
    <row r="24" spans="2:41" s="29" customFormat="1" ht="176.25" customHeight="1" x14ac:dyDescent="0.2">
      <c r="B24" s="401"/>
      <c r="C24" s="380" t="s">
        <v>69</v>
      </c>
      <c r="D24" s="156" t="s">
        <v>721</v>
      </c>
      <c r="E24" s="303" t="s">
        <v>588</v>
      </c>
      <c r="F24" s="117" t="s">
        <v>736</v>
      </c>
      <c r="G24" s="117" t="s">
        <v>955</v>
      </c>
      <c r="H24" s="117" t="s">
        <v>956</v>
      </c>
      <c r="I24" s="117" t="s">
        <v>957</v>
      </c>
      <c r="J24" s="56">
        <v>3</v>
      </c>
      <c r="K24" s="56" t="str">
        <f t="shared" si="0"/>
        <v>ALTO</v>
      </c>
      <c r="L24" s="159">
        <v>20</v>
      </c>
      <c r="M24" s="56" t="str">
        <f t="shared" si="1"/>
        <v>ALTO</v>
      </c>
      <c r="N24" s="88">
        <f t="shared" si="2"/>
        <v>60</v>
      </c>
      <c r="O24" s="196" t="s">
        <v>958</v>
      </c>
      <c r="P24" s="196" t="s">
        <v>959</v>
      </c>
      <c r="Q24" s="56">
        <v>3</v>
      </c>
      <c r="R24" s="87" t="str">
        <f t="shared" si="3"/>
        <v>ALTO</v>
      </c>
      <c r="S24" s="159">
        <v>10</v>
      </c>
      <c r="T24" s="87" t="str">
        <f t="shared" si="4"/>
        <v>MEDIO</v>
      </c>
      <c r="U24" s="88">
        <f t="shared" si="5"/>
        <v>30</v>
      </c>
      <c r="V24" s="164" t="s">
        <v>116</v>
      </c>
      <c r="W24" s="164"/>
      <c r="X24" s="164"/>
      <c r="Y24" s="164"/>
      <c r="Z24" s="124" t="s">
        <v>960</v>
      </c>
      <c r="AA24" s="125" t="s">
        <v>737</v>
      </c>
      <c r="AB24" s="125" t="s">
        <v>738</v>
      </c>
      <c r="AC24" s="125" t="s">
        <v>83</v>
      </c>
      <c r="AD24" s="124" t="s">
        <v>587</v>
      </c>
      <c r="AE24" s="404"/>
      <c r="AG24" s="246"/>
      <c r="AH24" s="247"/>
      <c r="AI24" s="247"/>
      <c r="AJ24" s="248"/>
      <c r="AO24" s="92"/>
    </row>
    <row r="25" spans="2:41" s="29" customFormat="1" ht="111" customHeight="1" thickBot="1" x14ac:dyDescent="0.25">
      <c r="B25" s="402"/>
      <c r="C25" s="80" t="s">
        <v>69</v>
      </c>
      <c r="D25" s="81" t="s">
        <v>719</v>
      </c>
      <c r="E25" s="304" t="s">
        <v>665</v>
      </c>
      <c r="F25" s="272" t="s">
        <v>706</v>
      </c>
      <c r="G25" s="305" t="s">
        <v>726</v>
      </c>
      <c r="H25" s="272" t="s">
        <v>966</v>
      </c>
      <c r="I25" s="272" t="s">
        <v>961</v>
      </c>
      <c r="J25" s="57">
        <v>2</v>
      </c>
      <c r="K25" s="57" t="str">
        <f t="shared" si="0"/>
        <v>MEDIO</v>
      </c>
      <c r="L25" s="57">
        <v>20</v>
      </c>
      <c r="M25" s="57" t="str">
        <f t="shared" si="1"/>
        <v>ALTO</v>
      </c>
      <c r="N25" s="88">
        <f t="shared" si="2"/>
        <v>40</v>
      </c>
      <c r="O25" s="361" t="s">
        <v>962</v>
      </c>
      <c r="P25" s="350" t="s">
        <v>707</v>
      </c>
      <c r="Q25" s="57">
        <v>1</v>
      </c>
      <c r="R25" s="57" t="str">
        <f t="shared" si="3"/>
        <v>BAJO</v>
      </c>
      <c r="S25" s="57">
        <v>20</v>
      </c>
      <c r="T25" s="57" t="str">
        <f t="shared" si="4"/>
        <v>ALTO</v>
      </c>
      <c r="U25" s="90">
        <f t="shared" si="5"/>
        <v>20</v>
      </c>
      <c r="V25" s="59"/>
      <c r="W25" s="59" t="s">
        <v>116</v>
      </c>
      <c r="X25" s="59"/>
      <c r="Y25" s="59"/>
      <c r="Z25" s="306" t="s">
        <v>1030</v>
      </c>
      <c r="AA25" s="362" t="s">
        <v>497</v>
      </c>
      <c r="AB25" s="307" t="s">
        <v>963</v>
      </c>
      <c r="AC25" s="308" t="s">
        <v>708</v>
      </c>
      <c r="AD25" s="306" t="s">
        <v>1031</v>
      </c>
      <c r="AE25" s="405"/>
      <c r="AG25" s="246"/>
      <c r="AH25" s="247"/>
      <c r="AI25" s="247"/>
      <c r="AJ25" s="248"/>
      <c r="AO25" s="92"/>
    </row>
    <row r="26" spans="2:41" s="29" customFormat="1" ht="31.5" customHeight="1" thickBot="1" x14ac:dyDescent="0.25">
      <c r="B26" s="24"/>
      <c r="C26" s="24"/>
      <c r="D26" s="24"/>
      <c r="E26" s="24"/>
      <c r="F26" s="24"/>
      <c r="G26" s="24"/>
      <c r="H26" s="24"/>
      <c r="I26" s="24"/>
      <c r="J26" s="24"/>
      <c r="K26" s="24"/>
      <c r="L26" s="24"/>
      <c r="M26" s="24"/>
      <c r="N26" s="368">
        <f>AVERAGE(N9:N25)</f>
        <v>42.352941176470587</v>
      </c>
      <c r="O26" s="24"/>
      <c r="P26" s="24"/>
      <c r="Q26" s="24"/>
      <c r="R26" s="24"/>
      <c r="S26" s="24"/>
      <c r="T26" s="24"/>
      <c r="U26" s="368">
        <f>AVERAGE(U9:U25)</f>
        <v>18.235294117647058</v>
      </c>
      <c r="V26" s="24"/>
      <c r="W26" s="24"/>
      <c r="X26" s="24"/>
      <c r="Y26" s="24"/>
      <c r="Z26" s="24"/>
      <c r="AA26" s="24"/>
      <c r="AB26" s="24"/>
      <c r="AC26" s="24"/>
      <c r="AD26" s="85"/>
      <c r="AE26" s="47"/>
      <c r="AG26" s="240"/>
      <c r="AH26" s="241">
        <v>1</v>
      </c>
      <c r="AI26" s="241"/>
      <c r="AJ26" s="242">
        <f t="shared" si="6"/>
        <v>1</v>
      </c>
      <c r="AO26" s="93"/>
    </row>
    <row r="27" spans="2:41" s="29" customFormat="1" ht="61.5" customHeight="1" thickBot="1" x14ac:dyDescent="0.25">
      <c r="B27" s="24"/>
      <c r="C27" s="24"/>
      <c r="D27" s="24"/>
      <c r="E27" s="24"/>
      <c r="F27" s="109"/>
      <c r="G27" s="109"/>
      <c r="H27" s="462" t="s">
        <v>209</v>
      </c>
      <c r="I27" s="463"/>
      <c r="J27" s="463"/>
      <c r="K27" s="464"/>
      <c r="L27" s="24"/>
      <c r="M27" s="406" t="s">
        <v>446</v>
      </c>
      <c r="N27" s="407"/>
      <c r="O27" s="407"/>
      <c r="P27" s="408"/>
      <c r="Q27" s="110"/>
      <c r="R27" s="24"/>
      <c r="S27" s="24"/>
      <c r="T27" s="24"/>
      <c r="U27" s="24"/>
      <c r="V27" s="24"/>
      <c r="W27" s="24"/>
      <c r="X27" s="24"/>
      <c r="Y27" s="24"/>
      <c r="Z27" s="24"/>
      <c r="AA27" s="24"/>
      <c r="AB27" s="24"/>
      <c r="AC27" s="24"/>
      <c r="AD27" s="24"/>
      <c r="AE27" s="42"/>
      <c r="AG27" s="240">
        <v>1</v>
      </c>
      <c r="AH27" s="241"/>
      <c r="AI27" s="241"/>
      <c r="AJ27" s="242">
        <f t="shared" si="6"/>
        <v>1</v>
      </c>
      <c r="AK27" s="29" t="s">
        <v>84</v>
      </c>
      <c r="AO27" s="448" t="s">
        <v>76</v>
      </c>
    </row>
    <row r="28" spans="2:41" s="29" customFormat="1" ht="33" customHeight="1" x14ac:dyDescent="0.2">
      <c r="B28" s="24"/>
      <c r="C28" s="24"/>
      <c r="D28" s="24"/>
      <c r="E28" s="24"/>
      <c r="F28" s="438"/>
      <c r="G28" s="438"/>
      <c r="H28" s="465" t="s">
        <v>139</v>
      </c>
      <c r="I28" s="466"/>
      <c r="J28" s="26">
        <f>COUNTIF(U9:U25,"=5")</f>
        <v>0</v>
      </c>
      <c r="K28" s="27">
        <f>J28*100%/J31</f>
        <v>0</v>
      </c>
      <c r="L28" s="24"/>
      <c r="M28" s="485" t="s">
        <v>104</v>
      </c>
      <c r="N28" s="486"/>
      <c r="O28" s="486" t="s">
        <v>47</v>
      </c>
      <c r="P28" s="487"/>
      <c r="Q28" s="111"/>
      <c r="R28" s="24"/>
      <c r="S28" s="24"/>
      <c r="T28" s="24"/>
      <c r="U28" s="24"/>
      <c r="V28" s="24"/>
      <c r="W28" s="24"/>
      <c r="X28" s="24"/>
      <c r="Y28" s="24"/>
      <c r="Z28" s="24"/>
      <c r="AA28" s="24"/>
      <c r="AB28" s="24"/>
      <c r="AC28" s="24"/>
      <c r="AD28" s="24"/>
      <c r="AE28" s="42"/>
      <c r="AG28" s="240">
        <v>1</v>
      </c>
      <c r="AH28" s="241"/>
      <c r="AI28" s="241"/>
      <c r="AJ28" s="242">
        <f t="shared" si="6"/>
        <v>1</v>
      </c>
      <c r="AK28" s="29" t="s">
        <v>85</v>
      </c>
      <c r="AO28" s="449"/>
    </row>
    <row r="29" spans="2:41" s="29" customFormat="1" ht="36.75" customHeight="1" x14ac:dyDescent="0.2">
      <c r="B29" s="24"/>
      <c r="C29" s="24"/>
      <c r="D29" s="24"/>
      <c r="E29" s="24"/>
      <c r="F29" s="438"/>
      <c r="G29" s="438"/>
      <c r="H29" s="465" t="s">
        <v>140</v>
      </c>
      <c r="I29" s="466"/>
      <c r="J29" s="26">
        <f>COUNTIFS(U9:U25,"&gt;=6",U9:U25,"&lt;=30")</f>
        <v>16</v>
      </c>
      <c r="K29" s="27">
        <f>J29*100%/J31</f>
        <v>0.94117647058823528</v>
      </c>
      <c r="L29" s="24"/>
      <c r="M29" s="478" t="s">
        <v>105</v>
      </c>
      <c r="N29" s="479"/>
      <c r="O29" s="480" t="s">
        <v>48</v>
      </c>
      <c r="P29" s="481"/>
      <c r="Q29" s="111"/>
      <c r="R29" s="24"/>
      <c r="S29" s="24"/>
      <c r="T29" s="24"/>
      <c r="U29" s="24"/>
      <c r="V29" s="24"/>
      <c r="W29" s="24"/>
      <c r="X29" s="24"/>
      <c r="Y29" s="24"/>
      <c r="Z29" s="24"/>
      <c r="AA29" s="24"/>
      <c r="AB29" s="24"/>
      <c r="AC29" s="24"/>
      <c r="AD29" s="24"/>
      <c r="AE29" s="42"/>
      <c r="AG29" s="240">
        <v>1</v>
      </c>
      <c r="AH29" s="241"/>
      <c r="AI29" s="241"/>
      <c r="AJ29" s="242">
        <f t="shared" si="6"/>
        <v>1</v>
      </c>
      <c r="AO29" s="449"/>
    </row>
    <row r="30" spans="2:41" s="29" customFormat="1" ht="29.25" customHeight="1" thickBot="1" x14ac:dyDescent="0.25">
      <c r="B30" s="24"/>
      <c r="C30" s="24"/>
      <c r="D30" s="24"/>
      <c r="E30" s="24"/>
      <c r="F30" s="438"/>
      <c r="G30" s="438"/>
      <c r="H30" s="465" t="s">
        <v>141</v>
      </c>
      <c r="I30" s="466"/>
      <c r="J30" s="26">
        <f>COUNTIFS(U9:U25,"&gt;=40",U9:U25,"&lt;=60")</f>
        <v>1</v>
      </c>
      <c r="K30" s="27">
        <f>J30*100%/J31</f>
        <v>5.8823529411764705E-2</v>
      </c>
      <c r="L30" s="24"/>
      <c r="M30" s="482" t="s">
        <v>106</v>
      </c>
      <c r="N30" s="483"/>
      <c r="O30" s="483" t="s">
        <v>20</v>
      </c>
      <c r="P30" s="484"/>
      <c r="Q30" s="111"/>
      <c r="R30" s="24"/>
      <c r="S30" s="24"/>
      <c r="T30" s="24"/>
      <c r="U30" s="24"/>
      <c r="V30" s="24"/>
      <c r="W30" s="24"/>
      <c r="X30" s="24"/>
      <c r="Y30" s="24"/>
      <c r="Z30" s="24"/>
      <c r="AA30" s="24"/>
      <c r="AB30" s="24"/>
      <c r="AC30" s="24"/>
      <c r="AD30" s="24"/>
      <c r="AE30" s="42"/>
      <c r="AG30" s="240">
        <v>1</v>
      </c>
      <c r="AH30" s="241"/>
      <c r="AI30" s="241"/>
      <c r="AJ30" s="242">
        <f t="shared" si="6"/>
        <v>1</v>
      </c>
      <c r="AO30" s="449"/>
    </row>
    <row r="31" spans="2:41" s="29" customFormat="1" ht="35.25" customHeight="1" thickBot="1" x14ac:dyDescent="0.25">
      <c r="B31" s="24"/>
      <c r="C31" s="24"/>
      <c r="D31" s="24"/>
      <c r="E31" s="24"/>
      <c r="F31" s="447"/>
      <c r="G31" s="447"/>
      <c r="H31" s="472" t="s">
        <v>142</v>
      </c>
      <c r="I31" s="473"/>
      <c r="J31" s="244">
        <f>+J28+J30+J29</f>
        <v>17</v>
      </c>
      <c r="K31" s="137">
        <f>K28+K29+K30</f>
        <v>1</v>
      </c>
      <c r="L31" s="24"/>
      <c r="M31" s="24"/>
      <c r="N31" s="24"/>
      <c r="O31" s="24"/>
      <c r="P31" s="24"/>
      <c r="Q31" s="24"/>
      <c r="R31" s="24"/>
      <c r="S31" s="24"/>
      <c r="T31" s="24"/>
      <c r="U31" s="24"/>
      <c r="V31" s="24"/>
      <c r="W31" s="24"/>
      <c r="X31" s="24"/>
      <c r="Y31" s="24"/>
      <c r="Z31" s="24"/>
      <c r="AA31" s="24"/>
      <c r="AB31" s="24"/>
      <c r="AC31" s="24"/>
      <c r="AD31" s="24"/>
      <c r="AE31" s="42"/>
      <c r="AG31" s="240">
        <v>1</v>
      </c>
      <c r="AH31" s="241"/>
      <c r="AI31" s="241"/>
      <c r="AJ31" s="242">
        <f t="shared" si="6"/>
        <v>1</v>
      </c>
      <c r="AO31" s="449"/>
    </row>
    <row r="32" spans="2:41" s="29" customFormat="1" ht="35.25" customHeight="1" thickBot="1" x14ac:dyDescent="0.25">
      <c r="B32" s="24"/>
      <c r="C32" s="24"/>
      <c r="D32" s="24"/>
      <c r="E32" s="24"/>
      <c r="F32" s="24"/>
      <c r="G32" s="24"/>
      <c r="H32" s="470" t="s">
        <v>208</v>
      </c>
      <c r="I32" s="471"/>
      <c r="J32" s="226">
        <f>COUNTIF(Q9:Q25,"N/A")</f>
        <v>0</v>
      </c>
      <c r="K32" s="227">
        <f>IF(J32&gt;=1,"100%",0)</f>
        <v>0</v>
      </c>
      <c r="L32" s="24"/>
      <c r="M32" s="24"/>
      <c r="N32" s="24"/>
      <c r="O32" s="24"/>
      <c r="P32" s="24"/>
      <c r="Q32" s="24"/>
      <c r="R32" s="24"/>
      <c r="S32" s="24"/>
      <c r="T32" s="24"/>
      <c r="U32" s="24"/>
      <c r="V32" s="24"/>
      <c r="W32" s="24"/>
      <c r="X32" s="24"/>
      <c r="Y32" s="24"/>
      <c r="Z32" s="24"/>
      <c r="AA32" s="24"/>
      <c r="AB32" s="24"/>
      <c r="AC32" s="24"/>
      <c r="AD32" s="24"/>
      <c r="AE32" s="42"/>
      <c r="AG32" s="240"/>
      <c r="AH32" s="241">
        <v>1</v>
      </c>
      <c r="AI32" s="241"/>
      <c r="AJ32" s="242">
        <f t="shared" si="6"/>
        <v>1</v>
      </c>
      <c r="AO32" s="449"/>
    </row>
    <row r="33" spans="2:41" s="29" customFormat="1" ht="97.5" customHeight="1" x14ac:dyDescent="0.2">
      <c r="B33" s="24"/>
      <c r="C33" s="82"/>
      <c r="D33" s="82"/>
      <c r="E33" s="82"/>
      <c r="F33" s="82"/>
      <c r="G33" s="83"/>
      <c r="H33" s="83"/>
      <c r="I33" s="82"/>
      <c r="J33" s="24"/>
      <c r="K33" s="24"/>
      <c r="L33" s="24"/>
      <c r="M33" s="24"/>
      <c r="N33" s="24"/>
      <c r="O33" s="24"/>
      <c r="P33" s="24"/>
      <c r="Q33" s="24"/>
      <c r="R33" s="24"/>
      <c r="S33" s="24"/>
      <c r="T33" s="24"/>
      <c r="U33" s="24"/>
      <c r="V33" s="24"/>
      <c r="W33" s="24"/>
      <c r="X33" s="24"/>
      <c r="Y33" s="24"/>
      <c r="Z33" s="24"/>
      <c r="AA33" s="24"/>
      <c r="AB33" s="24"/>
      <c r="AC33" s="24"/>
      <c r="AD33" s="24"/>
      <c r="AE33" s="42"/>
      <c r="AG33" s="240"/>
      <c r="AH33" s="241">
        <v>1</v>
      </c>
      <c r="AI33" s="241"/>
      <c r="AJ33" s="242">
        <f t="shared" si="6"/>
        <v>1</v>
      </c>
      <c r="AO33" s="449"/>
    </row>
    <row r="34" spans="2:41" s="29" customFormat="1" ht="107.25" customHeight="1" thickBot="1" x14ac:dyDescent="0.25">
      <c r="B34" s="24"/>
      <c r="C34" s="82"/>
      <c r="D34" s="82"/>
      <c r="E34" s="82"/>
      <c r="F34" s="83"/>
      <c r="G34" s="83"/>
      <c r="H34" s="83"/>
      <c r="I34" s="83"/>
      <c r="J34" s="24"/>
      <c r="K34" s="24"/>
      <c r="L34" s="24"/>
      <c r="M34" s="24"/>
      <c r="N34" s="24"/>
      <c r="O34" s="24"/>
      <c r="P34" s="24"/>
      <c r="Q34" s="24"/>
      <c r="R34" s="24"/>
      <c r="S34" s="24"/>
      <c r="T34" s="24"/>
      <c r="U34" s="24"/>
      <c r="V34" s="24"/>
      <c r="W34" s="24"/>
      <c r="X34" s="24"/>
      <c r="Y34" s="24"/>
      <c r="Z34" s="24"/>
      <c r="AA34" s="24"/>
      <c r="AB34" s="24"/>
      <c r="AC34" s="24"/>
      <c r="AD34" s="24"/>
      <c r="AE34" s="42"/>
      <c r="AG34" s="240">
        <v>1</v>
      </c>
      <c r="AH34" s="241"/>
      <c r="AI34" s="241"/>
      <c r="AJ34" s="242">
        <f t="shared" si="6"/>
        <v>1</v>
      </c>
      <c r="AO34" s="450"/>
    </row>
    <row r="35" spans="2:41" s="28" customFormat="1" ht="80.25" customHeight="1" x14ac:dyDescent="0.2">
      <c r="B35" s="24"/>
      <c r="C35" s="82"/>
      <c r="D35" s="82"/>
      <c r="E35" s="84"/>
      <c r="F35" s="84"/>
      <c r="G35" s="84"/>
      <c r="H35" s="84"/>
      <c r="I35" s="84"/>
      <c r="J35" s="24"/>
      <c r="K35" s="24"/>
      <c r="L35" s="24"/>
      <c r="M35" s="24"/>
      <c r="N35" s="24"/>
      <c r="O35" s="24"/>
      <c r="P35" s="24"/>
      <c r="Q35" s="24"/>
      <c r="R35" s="24"/>
      <c r="S35" s="24"/>
      <c r="T35" s="24"/>
      <c r="U35" s="24"/>
      <c r="V35" s="24"/>
      <c r="W35" s="24"/>
      <c r="X35" s="24"/>
      <c r="Y35" s="24"/>
      <c r="Z35" s="24"/>
      <c r="AA35" s="24"/>
      <c r="AB35" s="24"/>
      <c r="AC35" s="24"/>
      <c r="AD35" s="24"/>
      <c r="AE35" s="42"/>
      <c r="AG35" s="39"/>
      <c r="AH35" s="49"/>
      <c r="AI35" s="49"/>
      <c r="AJ35" s="40"/>
      <c r="AO35" s="448" t="s">
        <v>77</v>
      </c>
    </row>
    <row r="36" spans="2:41" s="29" customFormat="1" ht="101.25" customHeight="1" x14ac:dyDescent="0.2">
      <c r="B36" s="24"/>
      <c r="C36" s="83"/>
      <c r="D36" s="83"/>
      <c r="E36" s="48"/>
      <c r="F36" s="48"/>
      <c r="G36" s="48"/>
      <c r="H36" s="48"/>
      <c r="I36" s="48"/>
      <c r="J36" s="24"/>
      <c r="K36" s="24"/>
      <c r="L36" s="24"/>
      <c r="M36" s="24"/>
      <c r="N36" s="24"/>
      <c r="O36" s="24"/>
      <c r="P36" s="24"/>
      <c r="Q36" s="24"/>
      <c r="R36" s="24"/>
      <c r="S36" s="24"/>
      <c r="T36" s="24"/>
      <c r="U36" s="24"/>
      <c r="V36" s="24"/>
      <c r="W36" s="24"/>
      <c r="X36" s="24"/>
      <c r="Y36" s="24"/>
      <c r="Z36" s="24"/>
      <c r="AA36" s="24"/>
      <c r="AB36" s="24"/>
      <c r="AC36" s="24"/>
      <c r="AD36" s="24"/>
      <c r="AE36" s="42"/>
      <c r="AG36" s="240">
        <v>1</v>
      </c>
      <c r="AH36" s="241"/>
      <c r="AI36" s="241"/>
      <c r="AJ36" s="242">
        <f t="shared" si="6"/>
        <v>1</v>
      </c>
      <c r="AO36" s="449"/>
    </row>
    <row r="37" spans="2:41" s="29" customFormat="1" ht="109.5" customHeight="1" x14ac:dyDescent="0.2">
      <c r="B37" s="24"/>
      <c r="C37" s="83"/>
      <c r="D37" s="83"/>
      <c r="I37" s="24"/>
      <c r="J37" s="24"/>
      <c r="K37" s="24"/>
      <c r="L37" s="24"/>
      <c r="M37" s="24"/>
      <c r="N37" s="24"/>
      <c r="O37" s="24"/>
      <c r="P37" s="24"/>
      <c r="Q37" s="24"/>
      <c r="R37" s="24"/>
      <c r="S37" s="24"/>
      <c r="T37" s="24"/>
      <c r="U37" s="24"/>
      <c r="V37" s="24"/>
      <c r="W37" s="24"/>
      <c r="X37" s="24"/>
      <c r="Y37" s="24"/>
      <c r="Z37" s="24"/>
      <c r="AA37" s="24"/>
      <c r="AB37" s="24"/>
      <c r="AC37" s="24"/>
      <c r="AD37" s="24"/>
      <c r="AE37" s="42"/>
      <c r="AG37" s="240"/>
      <c r="AH37" s="241">
        <v>1</v>
      </c>
      <c r="AI37" s="241"/>
      <c r="AJ37" s="242">
        <f t="shared" si="6"/>
        <v>1</v>
      </c>
      <c r="AO37" s="449"/>
    </row>
    <row r="38" spans="2:41" s="29" customFormat="1" ht="67.5" customHeight="1" x14ac:dyDescent="0.2">
      <c r="B38" s="24"/>
      <c r="C38" s="83"/>
      <c r="D38" s="83"/>
      <c r="H38" s="24"/>
      <c r="I38" s="24"/>
      <c r="J38" s="24"/>
      <c r="K38" s="24"/>
      <c r="L38" s="24"/>
      <c r="M38" s="24"/>
      <c r="N38" s="24"/>
      <c r="O38" s="24"/>
      <c r="P38" s="24"/>
      <c r="Q38" s="24"/>
      <c r="R38" s="24"/>
      <c r="S38" s="24"/>
      <c r="T38" s="24"/>
      <c r="U38" s="24"/>
      <c r="V38" s="24"/>
      <c r="W38" s="24"/>
      <c r="X38" s="24"/>
      <c r="Y38" s="24"/>
      <c r="Z38" s="24"/>
      <c r="AA38" s="24"/>
      <c r="AB38" s="24"/>
      <c r="AC38" s="24"/>
      <c r="AD38" s="24"/>
      <c r="AE38" s="42"/>
      <c r="AG38" s="240"/>
      <c r="AH38" s="241">
        <v>1</v>
      </c>
      <c r="AI38" s="241"/>
      <c r="AJ38" s="242">
        <v>1</v>
      </c>
      <c r="AO38" s="449"/>
    </row>
    <row r="39" spans="2:41" s="29" customFormat="1" ht="83.25" customHeight="1" x14ac:dyDescent="0.2">
      <c r="B39" s="24"/>
      <c r="C39" s="82"/>
      <c r="D39" s="82"/>
      <c r="G39" s="24"/>
      <c r="H39" s="24"/>
      <c r="I39" s="24"/>
      <c r="J39" s="24"/>
      <c r="K39" s="24"/>
      <c r="L39" s="24"/>
      <c r="M39" s="24"/>
      <c r="N39" s="24"/>
      <c r="O39" s="24"/>
      <c r="P39" s="24"/>
      <c r="Q39" s="24"/>
      <c r="R39" s="24"/>
      <c r="S39" s="24"/>
      <c r="T39" s="24"/>
      <c r="U39" s="24"/>
      <c r="V39" s="24"/>
      <c r="W39" s="24"/>
      <c r="X39" s="24"/>
      <c r="Y39" s="24"/>
      <c r="Z39" s="24"/>
      <c r="AA39" s="24"/>
      <c r="AB39" s="24"/>
      <c r="AC39" s="24"/>
      <c r="AD39" s="24"/>
      <c r="AE39" s="42"/>
      <c r="AG39" s="240"/>
      <c r="AH39" s="241">
        <v>1</v>
      </c>
      <c r="AI39" s="241"/>
      <c r="AJ39" s="242">
        <v>1</v>
      </c>
      <c r="AO39" s="449"/>
    </row>
    <row r="40" spans="2:41" s="29" customFormat="1" ht="75.75" customHeight="1" thickBot="1" x14ac:dyDescent="0.25">
      <c r="B40" s="24"/>
      <c r="C40" s="82"/>
      <c r="D40" s="82"/>
      <c r="G40" s="24"/>
      <c r="H40" s="24"/>
      <c r="I40" s="24"/>
      <c r="J40" s="24"/>
      <c r="K40" s="24"/>
      <c r="L40" s="24"/>
      <c r="M40" s="24"/>
      <c r="N40" s="24"/>
      <c r="O40" s="24"/>
      <c r="P40" s="24"/>
      <c r="Q40" s="24"/>
      <c r="R40" s="24"/>
      <c r="S40" s="24"/>
      <c r="T40" s="24"/>
      <c r="U40" s="24"/>
      <c r="V40" s="24"/>
      <c r="W40" s="24"/>
      <c r="X40" s="24"/>
      <c r="Y40" s="24"/>
      <c r="Z40" s="24"/>
      <c r="AA40" s="24"/>
      <c r="AB40" s="24"/>
      <c r="AC40" s="24"/>
      <c r="AD40" s="24"/>
      <c r="AE40" s="42"/>
      <c r="AG40" s="240"/>
      <c r="AH40" s="241"/>
      <c r="AI40" s="241"/>
      <c r="AJ40" s="242"/>
      <c r="AO40" s="450"/>
    </row>
    <row r="41" spans="2:41" s="29" customFormat="1" ht="73.5" customHeight="1" x14ac:dyDescent="0.2">
      <c r="B41" s="24"/>
      <c r="C41" s="82"/>
      <c r="D41" s="82"/>
      <c r="F41" s="24"/>
      <c r="G41" s="24"/>
      <c r="H41" s="24"/>
      <c r="I41" s="24"/>
      <c r="J41" s="24"/>
      <c r="K41" s="24"/>
      <c r="L41" s="24"/>
      <c r="M41" s="24"/>
      <c r="N41" s="24"/>
      <c r="O41" s="24"/>
      <c r="P41" s="24"/>
      <c r="Q41" s="24"/>
      <c r="R41" s="24"/>
      <c r="S41" s="24"/>
      <c r="T41" s="24"/>
      <c r="U41" s="24"/>
      <c r="V41" s="24"/>
      <c r="W41" s="24"/>
      <c r="X41" s="24"/>
      <c r="Y41" s="24"/>
      <c r="Z41" s="24"/>
      <c r="AA41" s="24"/>
      <c r="AB41" s="24"/>
      <c r="AC41" s="24"/>
      <c r="AD41" s="24"/>
      <c r="AE41" s="42"/>
      <c r="AG41" s="240"/>
      <c r="AH41" s="241">
        <v>1</v>
      </c>
      <c r="AI41" s="241"/>
      <c r="AJ41" s="242">
        <v>1</v>
      </c>
      <c r="AO41" s="448" t="s">
        <v>78</v>
      </c>
    </row>
    <row r="42" spans="2:41" s="29" customFormat="1" ht="58.5" customHeight="1" x14ac:dyDescent="0.2">
      <c r="B42" s="24"/>
      <c r="C42" s="83"/>
      <c r="D42" s="83"/>
      <c r="J42" s="24"/>
      <c r="K42" s="24"/>
      <c r="L42" s="24"/>
      <c r="M42" s="24"/>
      <c r="N42" s="24"/>
      <c r="O42" s="24"/>
      <c r="P42" s="24"/>
      <c r="Q42" s="24"/>
      <c r="R42" s="24"/>
      <c r="S42" s="24"/>
      <c r="T42" s="24"/>
      <c r="U42" s="24"/>
      <c r="V42" s="24"/>
      <c r="W42" s="24"/>
      <c r="X42" s="24"/>
      <c r="Y42" s="24"/>
      <c r="Z42" s="24"/>
      <c r="AA42" s="24"/>
      <c r="AB42" s="24"/>
      <c r="AC42" s="24"/>
      <c r="AD42" s="24"/>
      <c r="AE42" s="42"/>
      <c r="AG42" s="240">
        <v>1</v>
      </c>
      <c r="AH42" s="241"/>
      <c r="AI42" s="241"/>
      <c r="AJ42" s="242">
        <v>1</v>
      </c>
      <c r="AO42" s="449"/>
    </row>
    <row r="43" spans="2:41" s="29" customFormat="1" ht="73.5" customHeight="1" x14ac:dyDescent="0.2">
      <c r="B43" s="24"/>
      <c r="C43" s="83"/>
      <c r="D43" s="83"/>
      <c r="E43" s="24"/>
      <c r="F43" s="24"/>
      <c r="G43" s="24"/>
      <c r="H43" s="24"/>
      <c r="I43" s="24"/>
      <c r="J43" s="24"/>
      <c r="K43" s="24"/>
      <c r="L43" s="24"/>
      <c r="M43" s="24"/>
      <c r="N43" s="24"/>
      <c r="O43" s="24"/>
      <c r="P43" s="24"/>
      <c r="Q43" s="24"/>
      <c r="R43" s="24"/>
      <c r="S43" s="24"/>
      <c r="T43" s="24"/>
      <c r="U43" s="24"/>
      <c r="V43" s="24"/>
      <c r="W43" s="24"/>
      <c r="X43" s="24"/>
      <c r="Y43" s="24"/>
      <c r="Z43" s="24"/>
      <c r="AA43" s="24"/>
      <c r="AB43" s="24"/>
      <c r="AC43" s="24"/>
      <c r="AD43" s="24"/>
      <c r="AE43" s="42"/>
      <c r="AG43" s="240"/>
      <c r="AH43" s="241">
        <v>1</v>
      </c>
      <c r="AI43" s="241"/>
      <c r="AJ43" s="242">
        <v>1</v>
      </c>
      <c r="AO43" s="449"/>
    </row>
    <row r="44" spans="2:41" s="29" customFormat="1" ht="102" customHeight="1" thickBot="1" x14ac:dyDescent="0.25">
      <c r="B44" s="24"/>
      <c r="C44" s="83"/>
      <c r="D44" s="83"/>
      <c r="E44" s="24"/>
      <c r="F44" s="24"/>
      <c r="G44" s="24"/>
      <c r="H44" s="24"/>
      <c r="I44" s="24"/>
      <c r="J44" s="24"/>
      <c r="K44" s="24"/>
      <c r="L44" s="24"/>
      <c r="M44" s="24"/>
      <c r="N44" s="24"/>
      <c r="O44" s="24"/>
      <c r="P44" s="24"/>
      <c r="Q44" s="24"/>
      <c r="R44" s="24"/>
      <c r="S44" s="24"/>
      <c r="T44" s="24"/>
      <c r="U44" s="24"/>
      <c r="V44" s="24"/>
      <c r="W44" s="24"/>
      <c r="X44" s="24"/>
      <c r="Y44" s="24"/>
      <c r="Z44" s="24"/>
      <c r="AA44" s="24"/>
      <c r="AB44" s="24"/>
      <c r="AC44" s="24"/>
      <c r="AD44" s="24"/>
      <c r="AE44" s="42"/>
      <c r="AG44" s="240">
        <v>1</v>
      </c>
      <c r="AH44" s="241"/>
      <c r="AI44" s="241"/>
      <c r="AJ44" s="242">
        <v>1</v>
      </c>
      <c r="AO44" s="449"/>
    </row>
    <row r="45" spans="2:41" s="29" customFormat="1" ht="86.25" customHeight="1" x14ac:dyDescent="0.2">
      <c r="B45" s="24"/>
      <c r="C45" s="83"/>
      <c r="D45" s="83"/>
      <c r="E45" s="24"/>
      <c r="F45" s="24"/>
      <c r="G45" s="24"/>
      <c r="H45" s="24"/>
      <c r="I45" s="24"/>
      <c r="J45" s="24"/>
      <c r="K45" s="24"/>
      <c r="L45" s="24"/>
      <c r="M45" s="24"/>
      <c r="N45" s="24"/>
      <c r="O45" s="24"/>
      <c r="P45" s="24"/>
      <c r="Q45" s="24"/>
      <c r="R45" s="24"/>
      <c r="S45" s="24"/>
      <c r="T45" s="24"/>
      <c r="U45" s="24"/>
      <c r="V45" s="24"/>
      <c r="W45" s="24"/>
      <c r="X45" s="24"/>
      <c r="Y45" s="24"/>
      <c r="Z45" s="24"/>
      <c r="AA45" s="24"/>
      <c r="AB45" s="24"/>
      <c r="AC45" s="24"/>
      <c r="AD45" s="24"/>
      <c r="AE45" s="42"/>
      <c r="AG45" s="240"/>
      <c r="AH45" s="241">
        <v>1</v>
      </c>
      <c r="AI45" s="241"/>
      <c r="AJ45" s="242">
        <v>1</v>
      </c>
      <c r="AO45" s="451" t="s">
        <v>79</v>
      </c>
    </row>
    <row r="46" spans="2:41" s="29" customFormat="1" ht="70.5" customHeight="1" thickBot="1" x14ac:dyDescent="0.25">
      <c r="B46" s="24"/>
      <c r="C46" s="83"/>
      <c r="D46" s="83"/>
      <c r="E46" s="24"/>
      <c r="F46" s="24"/>
      <c r="G46" s="24"/>
      <c r="H46" s="24"/>
      <c r="I46" s="24"/>
      <c r="J46" s="24"/>
      <c r="K46" s="24"/>
      <c r="L46" s="24"/>
      <c r="M46" s="24"/>
      <c r="N46" s="24"/>
      <c r="O46" s="24"/>
      <c r="P46" s="24"/>
      <c r="Q46" s="24"/>
      <c r="R46" s="24"/>
      <c r="S46" s="24"/>
      <c r="T46" s="24"/>
      <c r="U46" s="24"/>
      <c r="V46" s="24"/>
      <c r="W46" s="24"/>
      <c r="X46" s="24"/>
      <c r="Y46" s="24"/>
      <c r="Z46" s="24"/>
      <c r="AA46" s="24"/>
      <c r="AB46" s="24"/>
      <c r="AC46" s="24"/>
      <c r="AD46" s="24"/>
      <c r="AE46" s="42"/>
      <c r="AG46" s="240">
        <v>1</v>
      </c>
      <c r="AH46" s="241"/>
      <c r="AI46" s="241"/>
      <c r="AJ46" s="242">
        <v>1</v>
      </c>
      <c r="AO46" s="452"/>
    </row>
    <row r="47" spans="2:41" s="29" customFormat="1" ht="62.25" customHeight="1" x14ac:dyDescent="0.2">
      <c r="B47" s="24"/>
      <c r="C47" s="83"/>
      <c r="D47" s="83"/>
      <c r="E47" s="24"/>
      <c r="F47" s="24"/>
      <c r="G47" s="24"/>
      <c r="H47" s="24"/>
      <c r="I47" s="24"/>
      <c r="J47" s="24"/>
      <c r="K47" s="24"/>
      <c r="L47" s="24"/>
      <c r="M47" s="24"/>
      <c r="N47" s="24"/>
      <c r="O47" s="24"/>
      <c r="P47" s="24"/>
      <c r="Q47" s="24"/>
      <c r="R47" s="24"/>
      <c r="S47" s="24"/>
      <c r="T47" s="24"/>
      <c r="U47" s="24"/>
      <c r="V47" s="24"/>
      <c r="W47" s="24"/>
      <c r="X47" s="24"/>
      <c r="Y47" s="24"/>
      <c r="Z47" s="24"/>
      <c r="AA47" s="24"/>
      <c r="AB47" s="24"/>
      <c r="AC47" s="24"/>
      <c r="AD47" s="24"/>
      <c r="AE47" s="42"/>
      <c r="AG47" s="240">
        <v>1</v>
      </c>
      <c r="AH47" s="241"/>
      <c r="AI47" s="241"/>
      <c r="AJ47" s="242">
        <v>1</v>
      </c>
      <c r="AO47" s="451" t="s">
        <v>80</v>
      </c>
    </row>
    <row r="48" spans="2:41" s="29" customFormat="1" ht="45.75" customHeight="1" x14ac:dyDescent="0.2">
      <c r="B48" s="24"/>
      <c r="C48" s="83"/>
      <c r="D48" s="83"/>
      <c r="E48" s="24"/>
      <c r="F48" s="24"/>
      <c r="G48" s="24"/>
      <c r="H48" s="24"/>
      <c r="I48" s="24"/>
      <c r="J48" s="24"/>
      <c r="K48" s="24"/>
      <c r="L48" s="24"/>
      <c r="M48" s="24"/>
      <c r="N48" s="24"/>
      <c r="O48" s="24"/>
      <c r="P48" s="24"/>
      <c r="Q48" s="24"/>
      <c r="R48" s="24"/>
      <c r="S48" s="24"/>
      <c r="T48" s="24"/>
      <c r="U48" s="24"/>
      <c r="V48" s="24"/>
      <c r="W48" s="24"/>
      <c r="X48" s="24"/>
      <c r="Y48" s="24"/>
      <c r="Z48" s="24"/>
      <c r="AA48" s="24"/>
      <c r="AB48" s="24"/>
      <c r="AC48" s="24"/>
      <c r="AD48" s="24"/>
      <c r="AE48" s="42"/>
      <c r="AG48" s="240"/>
      <c r="AH48" s="241"/>
      <c r="AI48" s="241">
        <v>1</v>
      </c>
      <c r="AJ48" s="242">
        <v>1</v>
      </c>
      <c r="AO48" s="453"/>
    </row>
    <row r="49" spans="2:41" s="29" customFormat="1" ht="43.5" customHeight="1" x14ac:dyDescent="0.2">
      <c r="B49" s="24"/>
      <c r="C49" s="83"/>
      <c r="D49" s="83"/>
      <c r="E49" s="24"/>
      <c r="F49" s="24"/>
      <c r="G49" s="24"/>
      <c r="H49" s="24"/>
      <c r="I49" s="24"/>
      <c r="J49" s="24"/>
      <c r="K49" s="24"/>
      <c r="L49" s="24"/>
      <c r="M49" s="24"/>
      <c r="N49" s="24"/>
      <c r="O49" s="24"/>
      <c r="P49" s="24"/>
      <c r="Q49" s="24"/>
      <c r="R49" s="24"/>
      <c r="S49" s="24"/>
      <c r="T49" s="24"/>
      <c r="U49" s="24"/>
      <c r="V49" s="24"/>
      <c r="W49" s="24"/>
      <c r="X49" s="24"/>
      <c r="Y49" s="24"/>
      <c r="Z49" s="24"/>
      <c r="AA49" s="24"/>
      <c r="AB49" s="24"/>
      <c r="AC49" s="24"/>
      <c r="AD49" s="24"/>
      <c r="AE49" s="42"/>
      <c r="AG49" s="240">
        <v>1</v>
      </c>
      <c r="AH49" s="241"/>
      <c r="AI49" s="241"/>
      <c r="AJ49" s="242">
        <v>1</v>
      </c>
      <c r="AO49" s="453"/>
    </row>
    <row r="50" spans="2:41" s="29" customFormat="1" ht="61.5" customHeight="1" thickBot="1" x14ac:dyDescent="0.25">
      <c r="B50" s="24"/>
      <c r="C50" s="83"/>
      <c r="D50" s="83"/>
      <c r="J50" s="24"/>
      <c r="K50" s="24"/>
      <c r="L50" s="24"/>
      <c r="M50" s="24"/>
      <c r="N50" s="24"/>
      <c r="O50" s="24"/>
      <c r="P50" s="24"/>
      <c r="Q50" s="24"/>
      <c r="R50" s="24"/>
      <c r="S50" s="24"/>
      <c r="T50" s="24"/>
      <c r="U50" s="24"/>
      <c r="V50" s="24"/>
      <c r="W50" s="24"/>
      <c r="X50" s="24"/>
      <c r="Y50" s="24"/>
      <c r="Z50" s="24"/>
      <c r="AA50" s="24"/>
      <c r="AB50" s="24"/>
      <c r="AC50" s="24"/>
      <c r="AD50" s="24"/>
      <c r="AE50" s="42"/>
      <c r="AG50" s="454"/>
      <c r="AH50" s="455"/>
      <c r="AI50" s="455">
        <v>1</v>
      </c>
      <c r="AJ50" s="456">
        <v>1</v>
      </c>
      <c r="AO50" s="452"/>
    </row>
    <row r="51" spans="2:41" s="29" customFormat="1" ht="70.5" customHeight="1" x14ac:dyDescent="0.2">
      <c r="B51" s="24"/>
      <c r="C51" s="83"/>
      <c r="D51" s="83"/>
      <c r="E51" s="24"/>
      <c r="F51" s="24"/>
      <c r="G51" s="24"/>
      <c r="H51" s="24"/>
      <c r="I51" s="24"/>
      <c r="J51" s="24"/>
      <c r="K51" s="24"/>
      <c r="L51" s="24"/>
      <c r="M51" s="24"/>
      <c r="N51" s="24"/>
      <c r="O51" s="24"/>
      <c r="P51" s="24"/>
      <c r="Q51" s="24"/>
      <c r="R51" s="24"/>
      <c r="S51" s="24"/>
      <c r="T51" s="24"/>
      <c r="U51" s="24"/>
      <c r="V51" s="24"/>
      <c r="W51" s="24"/>
      <c r="X51" s="24"/>
      <c r="Y51" s="24"/>
      <c r="Z51" s="24"/>
      <c r="AA51" s="24"/>
      <c r="AB51" s="24"/>
      <c r="AC51" s="24"/>
      <c r="AD51" s="24"/>
      <c r="AE51" s="42"/>
      <c r="AG51" s="454"/>
      <c r="AH51" s="455"/>
      <c r="AI51" s="455"/>
      <c r="AJ51" s="456"/>
      <c r="AO51" s="448" t="s">
        <v>81</v>
      </c>
    </row>
    <row r="52" spans="2:41" s="29" customFormat="1" ht="59.25" customHeight="1" x14ac:dyDescent="0.2">
      <c r="B52" s="24"/>
      <c r="C52" s="83"/>
      <c r="D52" s="83"/>
      <c r="E52" s="24"/>
      <c r="F52" s="24"/>
      <c r="G52" s="24"/>
      <c r="H52" s="24"/>
      <c r="I52" s="24"/>
      <c r="J52" s="24"/>
      <c r="K52" s="24"/>
      <c r="L52" s="24"/>
      <c r="M52" s="24"/>
      <c r="N52" s="24"/>
      <c r="O52" s="24"/>
      <c r="P52" s="24"/>
      <c r="Q52" s="24"/>
      <c r="R52" s="24"/>
      <c r="S52" s="24"/>
      <c r="T52" s="24"/>
      <c r="U52" s="24"/>
      <c r="V52" s="24"/>
      <c r="W52" s="24"/>
      <c r="X52" s="24"/>
      <c r="Y52" s="24"/>
      <c r="Z52" s="24"/>
      <c r="AA52" s="24"/>
      <c r="AB52" s="24"/>
      <c r="AC52" s="24"/>
      <c r="AD52" s="24"/>
      <c r="AE52" s="42"/>
      <c r="AG52" s="240">
        <v>1</v>
      </c>
      <c r="AH52" s="241"/>
      <c r="AI52" s="241"/>
      <c r="AJ52" s="242">
        <v>1</v>
      </c>
      <c r="AO52" s="449"/>
    </row>
    <row r="53" spans="2:41" s="29" customFormat="1" ht="122.25" customHeight="1" x14ac:dyDescent="0.2">
      <c r="B53" s="24"/>
      <c r="C53" s="83"/>
      <c r="D53" s="83"/>
      <c r="E53" s="24"/>
      <c r="F53" s="24"/>
      <c r="G53" s="24"/>
      <c r="H53" s="24"/>
      <c r="I53" s="24"/>
      <c r="J53" s="24"/>
      <c r="K53" s="24"/>
      <c r="L53" s="24"/>
      <c r="M53" s="24"/>
      <c r="N53" s="24"/>
      <c r="O53" s="24"/>
      <c r="P53" s="24"/>
      <c r="Q53" s="24"/>
      <c r="R53" s="24"/>
      <c r="S53" s="24"/>
      <c r="T53" s="24"/>
      <c r="U53" s="24"/>
      <c r="V53" s="24"/>
      <c r="W53" s="24"/>
      <c r="X53" s="24"/>
      <c r="Y53" s="24"/>
      <c r="Z53" s="24"/>
      <c r="AA53" s="24"/>
      <c r="AB53" s="24"/>
      <c r="AC53" s="24"/>
      <c r="AD53" s="24"/>
      <c r="AE53" s="42"/>
      <c r="AG53" s="240">
        <v>1</v>
      </c>
      <c r="AH53" s="241"/>
      <c r="AI53" s="241"/>
      <c r="AJ53" s="242">
        <v>1</v>
      </c>
      <c r="AO53" s="449"/>
    </row>
    <row r="54" spans="2:41" s="29" customFormat="1" ht="97.5" customHeight="1" x14ac:dyDescent="0.2">
      <c r="B54" s="24"/>
      <c r="C54" s="83"/>
      <c r="D54" s="83"/>
      <c r="E54" s="24"/>
      <c r="F54" s="24"/>
      <c r="G54" s="24"/>
      <c r="H54" s="24"/>
      <c r="I54" s="24"/>
      <c r="J54" s="24"/>
      <c r="K54" s="24"/>
      <c r="L54" s="24"/>
      <c r="M54" s="24"/>
      <c r="N54" s="24"/>
      <c r="O54" s="24"/>
      <c r="P54" s="24"/>
      <c r="Q54" s="24"/>
      <c r="R54" s="24"/>
      <c r="S54" s="24"/>
      <c r="T54" s="24"/>
      <c r="U54" s="24"/>
      <c r="V54" s="24"/>
      <c r="W54" s="24"/>
      <c r="X54" s="24"/>
      <c r="Y54" s="24"/>
      <c r="Z54" s="24"/>
      <c r="AA54" s="24"/>
      <c r="AB54" s="24"/>
      <c r="AC54" s="24"/>
      <c r="AD54" s="24"/>
      <c r="AE54" s="42"/>
      <c r="AG54" s="240">
        <v>1</v>
      </c>
      <c r="AH54" s="241"/>
      <c r="AI54" s="241"/>
      <c r="AJ54" s="242">
        <v>1</v>
      </c>
      <c r="AO54" s="449"/>
    </row>
    <row r="55" spans="2:41" s="29" customFormat="1" ht="49.5" customHeight="1" thickBot="1" x14ac:dyDescent="0.25">
      <c r="B55" s="24"/>
      <c r="C55" s="83"/>
      <c r="D55" s="83"/>
      <c r="E55" s="24"/>
      <c r="F55" s="24"/>
      <c r="G55" s="24"/>
      <c r="H55" s="24"/>
      <c r="I55" s="24"/>
      <c r="J55" s="24"/>
      <c r="K55" s="24"/>
      <c r="L55" s="24"/>
      <c r="M55" s="24"/>
      <c r="N55" s="24"/>
      <c r="O55" s="24"/>
      <c r="P55" s="24"/>
      <c r="Q55" s="24"/>
      <c r="R55" s="24"/>
      <c r="S55" s="24"/>
      <c r="T55" s="24"/>
      <c r="U55" s="24"/>
      <c r="V55" s="24"/>
      <c r="W55" s="24"/>
      <c r="X55" s="24"/>
      <c r="Y55" s="24"/>
      <c r="Z55" s="24"/>
      <c r="AA55" s="24"/>
      <c r="AB55" s="24"/>
      <c r="AC55" s="24"/>
      <c r="AD55" s="24"/>
      <c r="AE55" s="42"/>
      <c r="AG55" s="240">
        <v>1</v>
      </c>
      <c r="AH55" s="241"/>
      <c r="AI55" s="241"/>
      <c r="AJ55" s="242">
        <v>1</v>
      </c>
      <c r="AO55" s="450"/>
    </row>
    <row r="56" spans="2:41" s="29" customFormat="1" ht="61.5" customHeight="1" x14ac:dyDescent="0.2">
      <c r="B56" s="24"/>
      <c r="C56" s="83"/>
      <c r="D56" s="83"/>
      <c r="E56" s="24"/>
      <c r="F56" s="24"/>
      <c r="G56" s="24"/>
      <c r="H56" s="24"/>
      <c r="I56" s="24"/>
      <c r="J56" s="24"/>
      <c r="K56" s="24"/>
      <c r="L56" s="24"/>
      <c r="M56" s="24"/>
      <c r="N56" s="24"/>
      <c r="O56" s="24"/>
      <c r="P56" s="24"/>
      <c r="Q56" s="24"/>
      <c r="R56" s="24"/>
      <c r="S56" s="24"/>
      <c r="T56" s="24"/>
      <c r="U56" s="24"/>
      <c r="V56" s="24"/>
      <c r="W56" s="24"/>
      <c r="X56" s="24"/>
      <c r="Y56" s="24"/>
      <c r="Z56" s="24"/>
      <c r="AA56" s="24"/>
      <c r="AB56" s="24"/>
      <c r="AC56" s="24"/>
      <c r="AD56" s="24"/>
      <c r="AE56" s="42"/>
      <c r="AG56" s="240"/>
      <c r="AH56" s="241">
        <v>1</v>
      </c>
      <c r="AI56" s="241"/>
      <c r="AJ56" s="242">
        <v>1</v>
      </c>
      <c r="AO56" s="448" t="s">
        <v>82</v>
      </c>
    </row>
    <row r="57" spans="2:41" s="29" customFormat="1" ht="44.25" customHeight="1" x14ac:dyDescent="0.2">
      <c r="B57" s="24"/>
      <c r="C57" s="83"/>
      <c r="D57" s="83"/>
      <c r="E57" s="24"/>
      <c r="F57" s="24"/>
      <c r="G57" s="24"/>
      <c r="H57" s="24"/>
      <c r="I57" s="24"/>
      <c r="J57" s="24"/>
      <c r="K57" s="24"/>
      <c r="L57" s="24"/>
      <c r="M57" s="24"/>
      <c r="N57" s="24"/>
      <c r="O57" s="24"/>
      <c r="P57" s="24"/>
      <c r="Q57" s="24"/>
      <c r="R57" s="24"/>
      <c r="S57" s="24"/>
      <c r="T57" s="24"/>
      <c r="U57" s="24"/>
      <c r="V57" s="24"/>
      <c r="W57" s="24"/>
      <c r="X57" s="24"/>
      <c r="Y57" s="24"/>
      <c r="Z57" s="24"/>
      <c r="AA57" s="24"/>
      <c r="AB57" s="24"/>
      <c r="AC57" s="24"/>
      <c r="AD57" s="24"/>
      <c r="AE57" s="42"/>
      <c r="AG57" s="240">
        <v>1</v>
      </c>
      <c r="AH57" s="241"/>
      <c r="AI57" s="241"/>
      <c r="AJ57" s="242">
        <v>1</v>
      </c>
      <c r="AO57" s="449"/>
    </row>
    <row r="58" spans="2:41" s="29" customFormat="1" ht="97.5" customHeight="1" x14ac:dyDescent="0.2">
      <c r="B58" s="24"/>
      <c r="C58" s="83"/>
      <c r="D58" s="83"/>
      <c r="J58" s="24"/>
      <c r="K58" s="24"/>
      <c r="L58" s="24"/>
      <c r="M58" s="24"/>
      <c r="N58" s="24"/>
      <c r="O58" s="24"/>
      <c r="P58" s="24"/>
      <c r="Q58" s="24"/>
      <c r="R58" s="24"/>
      <c r="S58" s="24"/>
      <c r="T58" s="24"/>
      <c r="U58" s="24"/>
      <c r="V58" s="24"/>
      <c r="W58" s="24"/>
      <c r="X58" s="24"/>
      <c r="Y58" s="24"/>
      <c r="Z58" s="24"/>
      <c r="AA58" s="24"/>
      <c r="AB58" s="24"/>
      <c r="AC58" s="24"/>
      <c r="AD58" s="24"/>
      <c r="AE58" s="42"/>
      <c r="AG58" s="240">
        <v>1</v>
      </c>
      <c r="AH58" s="241"/>
      <c r="AI58" s="241"/>
      <c r="AJ58" s="242">
        <v>1</v>
      </c>
      <c r="AO58" s="449"/>
    </row>
    <row r="59" spans="2:41" s="29" customFormat="1" ht="54.75" customHeight="1" thickBot="1" x14ac:dyDescent="0.25">
      <c r="B59" s="24"/>
      <c r="C59" s="83"/>
      <c r="D59" s="83"/>
      <c r="E59" s="24"/>
      <c r="F59" s="24"/>
      <c r="G59" s="24"/>
      <c r="H59" s="24"/>
      <c r="I59" s="24"/>
      <c r="J59" s="24"/>
      <c r="K59" s="24"/>
      <c r="L59" s="24"/>
      <c r="M59" s="24"/>
      <c r="N59" s="24"/>
      <c r="O59" s="24"/>
      <c r="P59" s="24"/>
      <c r="Q59" s="24"/>
      <c r="R59" s="24"/>
      <c r="S59" s="24"/>
      <c r="T59" s="24"/>
      <c r="U59" s="24"/>
      <c r="V59" s="24"/>
      <c r="W59" s="24"/>
      <c r="X59" s="24"/>
      <c r="Y59" s="24"/>
      <c r="Z59" s="24"/>
      <c r="AA59" s="24"/>
      <c r="AB59" s="24"/>
      <c r="AC59" s="24"/>
      <c r="AD59" s="24"/>
      <c r="AE59" s="42"/>
      <c r="AG59" s="240">
        <v>1</v>
      </c>
      <c r="AH59" s="241"/>
      <c r="AI59" s="241"/>
      <c r="AJ59" s="242">
        <v>1</v>
      </c>
      <c r="AO59" s="450"/>
    </row>
    <row r="60" spans="2:41" s="29" customFormat="1" ht="83.25" customHeight="1" x14ac:dyDescent="0.2">
      <c r="B60" s="24"/>
      <c r="C60" s="83"/>
      <c r="D60" s="83"/>
      <c r="E60" s="24"/>
      <c r="F60" s="24"/>
      <c r="G60" s="24"/>
      <c r="H60" s="24"/>
      <c r="I60" s="24"/>
      <c r="J60" s="24"/>
      <c r="K60" s="24"/>
      <c r="L60" s="24"/>
      <c r="M60" s="24"/>
      <c r="N60" s="24"/>
      <c r="O60" s="24"/>
      <c r="P60" s="24"/>
      <c r="Q60" s="24"/>
      <c r="R60" s="24"/>
      <c r="S60" s="24"/>
      <c r="T60" s="24"/>
      <c r="U60" s="24"/>
      <c r="V60" s="24"/>
      <c r="W60" s="24"/>
      <c r="X60" s="24"/>
      <c r="Y60" s="24"/>
      <c r="Z60" s="24"/>
      <c r="AA60" s="24"/>
      <c r="AB60" s="24"/>
      <c r="AC60" s="24"/>
      <c r="AD60" s="24"/>
      <c r="AE60" s="42"/>
      <c r="AG60" s="240">
        <v>1</v>
      </c>
      <c r="AH60" s="241"/>
      <c r="AI60" s="241"/>
      <c r="AJ60" s="242">
        <v>1</v>
      </c>
      <c r="AO60" s="448" t="s">
        <v>73</v>
      </c>
    </row>
    <row r="61" spans="2:41" s="29" customFormat="1" ht="82.5" customHeight="1" x14ac:dyDescent="0.2">
      <c r="B61" s="24"/>
      <c r="C61" s="83"/>
      <c r="D61" s="83"/>
      <c r="E61" s="24"/>
      <c r="F61" s="24"/>
      <c r="G61" s="24"/>
      <c r="H61" s="24"/>
      <c r="I61" s="24"/>
      <c r="J61" s="24"/>
      <c r="K61" s="24"/>
      <c r="L61" s="24"/>
      <c r="M61" s="24"/>
      <c r="N61" s="24"/>
      <c r="O61" s="24"/>
      <c r="P61" s="24"/>
      <c r="Q61" s="24"/>
      <c r="R61" s="24"/>
      <c r="S61" s="24"/>
      <c r="T61" s="24"/>
      <c r="U61" s="24"/>
      <c r="V61" s="24"/>
      <c r="W61" s="24"/>
      <c r="X61" s="24"/>
      <c r="Y61" s="24"/>
      <c r="Z61" s="24"/>
      <c r="AA61" s="24"/>
      <c r="AB61" s="24"/>
      <c r="AC61" s="24"/>
      <c r="AD61" s="24"/>
      <c r="AE61" s="42"/>
      <c r="AG61" s="240"/>
      <c r="AH61" s="241"/>
      <c r="AI61" s="241">
        <v>1</v>
      </c>
      <c r="AJ61" s="242">
        <v>1</v>
      </c>
      <c r="AO61" s="449"/>
    </row>
    <row r="62" spans="2:41" s="29" customFormat="1" ht="67.5" customHeight="1" x14ac:dyDescent="0.2">
      <c r="B62" s="24"/>
      <c r="C62" s="83"/>
      <c r="D62" s="83"/>
      <c r="E62" s="24"/>
      <c r="F62" s="24"/>
      <c r="G62" s="24"/>
      <c r="H62" s="24"/>
      <c r="I62" s="24"/>
      <c r="J62" s="24"/>
      <c r="K62" s="24"/>
      <c r="L62" s="24"/>
      <c r="M62" s="24"/>
      <c r="N62" s="24"/>
      <c r="O62" s="24"/>
      <c r="P62" s="24"/>
      <c r="Q62" s="24"/>
      <c r="R62" s="24"/>
      <c r="S62" s="24"/>
      <c r="T62" s="24"/>
      <c r="U62" s="24"/>
      <c r="V62" s="24"/>
      <c r="W62" s="24"/>
      <c r="X62" s="24"/>
      <c r="Y62" s="24"/>
      <c r="Z62" s="24"/>
      <c r="AA62" s="24"/>
      <c r="AB62" s="24"/>
      <c r="AC62" s="24"/>
      <c r="AD62" s="24"/>
      <c r="AE62" s="42"/>
      <c r="AG62" s="240"/>
      <c r="AH62" s="241">
        <v>1</v>
      </c>
      <c r="AI62" s="241"/>
      <c r="AJ62" s="242">
        <v>1</v>
      </c>
      <c r="AO62" s="449"/>
    </row>
    <row r="63" spans="2:41" s="29" customFormat="1" ht="65.25" customHeight="1" thickBot="1" x14ac:dyDescent="0.25">
      <c r="B63" s="24"/>
      <c r="C63" s="83"/>
      <c r="D63" s="83"/>
      <c r="E63" s="24"/>
      <c r="F63" s="24"/>
      <c r="G63" s="24"/>
      <c r="H63" s="24"/>
      <c r="I63" s="24"/>
      <c r="J63" s="24"/>
      <c r="K63" s="24"/>
      <c r="L63" s="24"/>
      <c r="M63" s="24"/>
      <c r="N63" s="24"/>
      <c r="O63" s="24"/>
      <c r="P63" s="24"/>
      <c r="Q63" s="24"/>
      <c r="R63" s="24"/>
      <c r="S63" s="24"/>
      <c r="T63" s="24"/>
      <c r="U63" s="24"/>
      <c r="V63" s="24"/>
      <c r="W63" s="24"/>
      <c r="X63" s="24"/>
      <c r="Y63" s="24"/>
      <c r="Z63" s="24"/>
      <c r="AA63" s="24"/>
      <c r="AB63" s="24"/>
      <c r="AC63" s="24"/>
      <c r="AD63" s="24"/>
      <c r="AE63" s="42"/>
      <c r="AG63" s="240">
        <v>1</v>
      </c>
      <c r="AH63" s="241"/>
      <c r="AI63" s="241"/>
      <c r="AJ63" s="242">
        <v>1</v>
      </c>
      <c r="AO63" s="450"/>
    </row>
    <row r="64" spans="2:41" s="29" customFormat="1" ht="36.75" customHeight="1" x14ac:dyDescent="0.2">
      <c r="B64" s="24"/>
      <c r="C64" s="83"/>
      <c r="D64" s="83"/>
      <c r="E64" s="24"/>
      <c r="F64" s="24"/>
      <c r="G64" s="24"/>
      <c r="H64" s="24"/>
      <c r="I64" s="24"/>
      <c r="J64" s="24"/>
      <c r="K64" s="24"/>
      <c r="L64" s="24"/>
      <c r="M64" s="24"/>
      <c r="N64" s="24"/>
      <c r="O64" s="24"/>
      <c r="P64" s="24"/>
      <c r="Q64" s="24"/>
      <c r="R64" s="24"/>
      <c r="S64" s="24"/>
      <c r="T64" s="24"/>
      <c r="U64" s="24"/>
      <c r="V64" s="24"/>
      <c r="W64" s="24"/>
      <c r="X64" s="24"/>
      <c r="Y64" s="24"/>
      <c r="Z64" s="24"/>
      <c r="AA64" s="24"/>
      <c r="AB64" s="24"/>
      <c r="AC64" s="24"/>
      <c r="AD64" s="24"/>
      <c r="AE64" s="42"/>
      <c r="AG64" s="240"/>
      <c r="AH64" s="241"/>
      <c r="AI64" s="241"/>
      <c r="AJ64" s="242"/>
    </row>
    <row r="65" spans="2:36" s="29" customFormat="1" ht="151.5" customHeight="1" x14ac:dyDescent="0.2">
      <c r="B65" s="24"/>
      <c r="C65" s="83"/>
      <c r="D65" s="83"/>
      <c r="I65" s="24"/>
      <c r="J65" s="24"/>
      <c r="K65" s="24"/>
      <c r="L65" s="24"/>
      <c r="M65" s="24"/>
      <c r="N65" s="24"/>
      <c r="O65" s="24"/>
      <c r="P65" s="24"/>
      <c r="Q65" s="24"/>
      <c r="R65" s="24"/>
      <c r="S65" s="24"/>
      <c r="T65" s="24"/>
      <c r="U65" s="24"/>
      <c r="V65" s="24"/>
      <c r="W65" s="24"/>
      <c r="X65" s="24"/>
      <c r="Y65" s="24"/>
      <c r="Z65" s="24"/>
      <c r="AA65" s="24"/>
      <c r="AB65" s="24"/>
      <c r="AC65" s="24"/>
      <c r="AD65" s="24"/>
      <c r="AE65" s="42"/>
      <c r="AG65" s="240"/>
      <c r="AH65" s="241"/>
      <c r="AI65" s="241">
        <v>1</v>
      </c>
      <c r="AJ65" s="242">
        <v>1</v>
      </c>
    </row>
    <row r="66" spans="2:36" s="29" customFormat="1" ht="100.5" customHeight="1" x14ac:dyDescent="0.2">
      <c r="B66" s="24"/>
      <c r="C66" s="83"/>
      <c r="D66" s="83"/>
      <c r="E66" s="24"/>
      <c r="F66" s="24"/>
      <c r="G66" s="24"/>
      <c r="H66" s="24"/>
      <c r="I66" s="24"/>
      <c r="J66" s="24"/>
      <c r="K66" s="24"/>
      <c r="L66" s="24"/>
      <c r="M66" s="24"/>
      <c r="N66" s="24"/>
      <c r="O66" s="24"/>
      <c r="P66" s="24"/>
      <c r="Q66" s="24"/>
      <c r="R66" s="24"/>
      <c r="S66" s="24"/>
      <c r="T66" s="24"/>
      <c r="U66" s="24"/>
      <c r="V66" s="24"/>
      <c r="W66" s="24"/>
      <c r="X66" s="24"/>
      <c r="Y66" s="24"/>
      <c r="Z66" s="24"/>
      <c r="AA66" s="24"/>
      <c r="AB66" s="24"/>
      <c r="AC66" s="24"/>
      <c r="AD66" s="24"/>
      <c r="AE66" s="42"/>
      <c r="AG66" s="240"/>
      <c r="AH66" s="241"/>
      <c r="AI66" s="241">
        <v>1</v>
      </c>
      <c r="AJ66" s="242">
        <v>1</v>
      </c>
    </row>
    <row r="67" spans="2:36" s="29" customFormat="1" ht="113.25" customHeight="1" x14ac:dyDescent="0.2">
      <c r="B67" s="24"/>
      <c r="C67" s="83"/>
      <c r="D67" s="83"/>
      <c r="E67" s="24"/>
      <c r="F67" s="24"/>
      <c r="G67" s="24"/>
      <c r="H67" s="24"/>
      <c r="I67" s="24"/>
      <c r="J67" s="24"/>
      <c r="K67" s="24"/>
      <c r="L67" s="24"/>
      <c r="M67" s="24"/>
      <c r="N67" s="24"/>
      <c r="O67" s="24"/>
      <c r="P67" s="24"/>
      <c r="Q67" s="24"/>
      <c r="R67" s="24"/>
      <c r="S67" s="24"/>
      <c r="T67" s="24"/>
      <c r="U67" s="24"/>
      <c r="V67" s="24"/>
      <c r="W67" s="24"/>
      <c r="X67" s="24"/>
      <c r="Y67" s="24"/>
      <c r="Z67" s="24"/>
      <c r="AA67" s="24"/>
      <c r="AB67" s="24"/>
      <c r="AC67" s="24"/>
      <c r="AD67" s="24"/>
      <c r="AE67" s="42"/>
      <c r="AG67" s="240"/>
      <c r="AH67" s="241">
        <v>1</v>
      </c>
      <c r="AI67" s="241"/>
      <c r="AJ67" s="242">
        <v>1</v>
      </c>
    </row>
    <row r="68" spans="2:36" ht="54.75" customHeight="1" x14ac:dyDescent="0.2">
      <c r="C68" s="83"/>
      <c r="D68" s="83"/>
      <c r="AE68" s="42"/>
      <c r="AF68" s="29"/>
      <c r="AG68" s="34"/>
      <c r="AH68" s="30">
        <v>1</v>
      </c>
      <c r="AI68" s="30"/>
      <c r="AJ68" s="35">
        <v>1</v>
      </c>
    </row>
    <row r="69" spans="2:36" ht="45.75" customHeight="1" x14ac:dyDescent="0.2">
      <c r="C69" s="83"/>
      <c r="D69" s="83"/>
      <c r="AE69" s="42"/>
      <c r="AF69" s="29"/>
      <c r="AG69" s="34"/>
      <c r="AH69" s="30">
        <v>1</v>
      </c>
      <c r="AI69" s="30"/>
      <c r="AJ69" s="35">
        <v>1</v>
      </c>
    </row>
    <row r="70" spans="2:36" ht="54.75" customHeight="1" x14ac:dyDescent="0.2">
      <c r="C70" s="83"/>
      <c r="D70" s="83"/>
      <c r="AE70" s="42"/>
      <c r="AF70" s="29"/>
      <c r="AG70" s="34"/>
      <c r="AH70" s="30">
        <v>1</v>
      </c>
      <c r="AI70" s="30"/>
      <c r="AJ70" s="35">
        <v>1</v>
      </c>
    </row>
    <row r="71" spans="2:36" ht="201.75" customHeight="1" x14ac:dyDescent="0.2">
      <c r="C71" s="83"/>
      <c r="D71" s="83"/>
      <c r="AE71" s="42"/>
      <c r="AF71" s="29"/>
      <c r="AG71" s="34"/>
      <c r="AH71" s="30">
        <v>1</v>
      </c>
      <c r="AI71" s="30"/>
      <c r="AJ71" s="35">
        <v>1</v>
      </c>
    </row>
    <row r="72" spans="2:36" ht="125.25" customHeight="1" x14ac:dyDescent="0.2">
      <c r="C72" s="83"/>
      <c r="D72" s="83"/>
      <c r="AE72" s="42"/>
      <c r="AF72" s="29"/>
      <c r="AG72" s="34"/>
      <c r="AH72" s="30">
        <v>1</v>
      </c>
      <c r="AI72" s="30"/>
      <c r="AJ72" s="35">
        <v>1</v>
      </c>
    </row>
    <row r="73" spans="2:36" ht="112.5" customHeight="1" thickBot="1" x14ac:dyDescent="0.25">
      <c r="C73" s="83"/>
      <c r="D73" s="83"/>
      <c r="AE73" s="42"/>
      <c r="AG73" s="36">
        <f>SUM(AG9:AG68)</f>
        <v>23</v>
      </c>
      <c r="AH73" s="37">
        <f>SUM(AH9:AH72)</f>
        <v>18</v>
      </c>
      <c r="AI73" s="37">
        <f>SUM(AI9:AI72)</f>
        <v>5</v>
      </c>
      <c r="AJ73" s="38">
        <f>SUM(AJ9:AJ72)</f>
        <v>46</v>
      </c>
    </row>
    <row r="74" spans="2:36" ht="94.5" customHeight="1" x14ac:dyDescent="0.2">
      <c r="C74" s="83"/>
      <c r="D74" s="83"/>
      <c r="AE74" s="42"/>
    </row>
    <row r="75" spans="2:36" ht="100.5" customHeight="1" x14ac:dyDescent="0.2">
      <c r="C75" s="83"/>
      <c r="D75" s="83"/>
      <c r="AE75" s="42"/>
    </row>
    <row r="76" spans="2:36" ht="226.5" customHeight="1" x14ac:dyDescent="0.2">
      <c r="C76" s="83"/>
      <c r="D76" s="83"/>
      <c r="AE76" s="42"/>
    </row>
    <row r="77" spans="2:36" ht="67.5" customHeight="1" x14ac:dyDescent="0.2">
      <c r="C77" s="83"/>
      <c r="D77" s="83"/>
      <c r="AE77" s="42"/>
    </row>
    <row r="78" spans="2:36" ht="90.75" customHeight="1" x14ac:dyDescent="0.2">
      <c r="C78" s="83"/>
      <c r="D78" s="83"/>
      <c r="AE78" s="42"/>
    </row>
    <row r="79" spans="2:36" ht="75" customHeight="1" x14ac:dyDescent="0.2">
      <c r="C79" s="83"/>
      <c r="D79" s="83"/>
      <c r="AE79" s="42"/>
    </row>
    <row r="80" spans="2:36" x14ac:dyDescent="0.2">
      <c r="C80" s="83"/>
      <c r="D80" s="83"/>
      <c r="AE80" s="42"/>
    </row>
    <row r="81" spans="3:31" ht="43.5" customHeight="1" x14ac:dyDescent="0.2">
      <c r="C81" s="83"/>
      <c r="D81" s="83"/>
      <c r="AE81" s="42"/>
    </row>
    <row r="82" spans="3:31" ht="49.5" customHeight="1" x14ac:dyDescent="0.2">
      <c r="C82" s="83"/>
      <c r="D82" s="83"/>
      <c r="AE82" s="42"/>
    </row>
    <row r="83" spans="3:31" ht="232.5" customHeight="1" x14ac:dyDescent="0.2">
      <c r="C83" s="83"/>
      <c r="D83" s="83"/>
      <c r="H83" s="83"/>
      <c r="I83" s="83"/>
      <c r="AE83" s="42"/>
    </row>
    <row r="84" spans="3:31" x14ac:dyDescent="0.2">
      <c r="C84" s="83"/>
      <c r="D84" s="83"/>
      <c r="AE84" s="42"/>
    </row>
    <row r="85" spans="3:31" ht="241.5" customHeight="1" x14ac:dyDescent="0.2">
      <c r="C85" s="83"/>
      <c r="D85" s="83"/>
      <c r="AE85" s="42"/>
    </row>
    <row r="86" spans="3:31" x14ac:dyDescent="0.2">
      <c r="AE86" s="42"/>
    </row>
    <row r="87" spans="3:31" x14ac:dyDescent="0.2">
      <c r="AE87" s="42"/>
    </row>
    <row r="88" spans="3:31" x14ac:dyDescent="0.2">
      <c r="AE88" s="42"/>
    </row>
    <row r="89" spans="3:31" x14ac:dyDescent="0.2">
      <c r="AE89" s="42"/>
    </row>
  </sheetData>
  <autoFilter ref="B8:AC25"/>
  <mergeCells count="56">
    <mergeCell ref="AO56:AO59"/>
    <mergeCell ref="AO60:AO63"/>
    <mergeCell ref="AO35:AO40"/>
    <mergeCell ref="AO41:AO44"/>
    <mergeCell ref="AO45:AO46"/>
    <mergeCell ref="AO47:AO50"/>
    <mergeCell ref="AG50:AG51"/>
    <mergeCell ref="AH50:AH51"/>
    <mergeCell ref="AI50:AI51"/>
    <mergeCell ref="AJ50:AJ51"/>
    <mergeCell ref="AO51:AO55"/>
    <mergeCell ref="H30:I30"/>
    <mergeCell ref="M30:N30"/>
    <mergeCell ref="O30:P30"/>
    <mergeCell ref="F31:G31"/>
    <mergeCell ref="H31:I31"/>
    <mergeCell ref="AG7:AJ7"/>
    <mergeCell ref="B9:B25"/>
    <mergeCell ref="AE9:AE25"/>
    <mergeCell ref="H32:I32"/>
    <mergeCell ref="AO27:AO34"/>
    <mergeCell ref="F28:G28"/>
    <mergeCell ref="H28:I28"/>
    <mergeCell ref="M28:N28"/>
    <mergeCell ref="O28:P28"/>
    <mergeCell ref="F29:G29"/>
    <mergeCell ref="H29:I29"/>
    <mergeCell ref="M29:N29"/>
    <mergeCell ref="O29:P29"/>
    <mergeCell ref="F30:G30"/>
    <mergeCell ref="H27:K27"/>
    <mergeCell ref="M27:P27"/>
    <mergeCell ref="B6:I6"/>
    <mergeCell ref="J6:N7"/>
    <mergeCell ref="O6:P6"/>
    <mergeCell ref="Q6:U7"/>
    <mergeCell ref="V6:AE6"/>
    <mergeCell ref="B7:B8"/>
    <mergeCell ref="C7:C8"/>
    <mergeCell ref="D7:D8"/>
    <mergeCell ref="O7:P7"/>
    <mergeCell ref="V7:Y7"/>
    <mergeCell ref="Z7:AD7"/>
    <mergeCell ref="AE7:AE8"/>
    <mergeCell ref="B5:AE5"/>
    <mergeCell ref="B2:AE2"/>
    <mergeCell ref="B3:F3"/>
    <mergeCell ref="G3:N3"/>
    <mergeCell ref="O3:T3"/>
    <mergeCell ref="U3:AA3"/>
    <mergeCell ref="AB3:AE3"/>
    <mergeCell ref="B4:F4"/>
    <mergeCell ref="G4:N4"/>
    <mergeCell ref="O4:T4"/>
    <mergeCell ref="U4:AA4"/>
    <mergeCell ref="AB4:AE4"/>
  </mergeCells>
  <conditionalFormatting sqref="N9:P9 N12:P12 P10:P11 P13:P23 N10:N23 P25">
    <cfRule type="cellIs" dxfId="38" priority="40" operator="equal">
      <formula>5</formula>
    </cfRule>
    <cfRule type="cellIs" priority="41" operator="equal">
      <formula>5</formula>
    </cfRule>
    <cfRule type="cellIs" dxfId="37" priority="42" operator="between">
      <formula>6</formula>
      <formula>30</formula>
    </cfRule>
    <cfRule type="cellIs" dxfId="36" priority="43" operator="between">
      <formula>31</formula>
      <formula>60</formula>
    </cfRule>
  </conditionalFormatting>
  <conditionalFormatting sqref="N9:P9 N12:P12 P10:P11 P13:P23 N10:N23 P25">
    <cfRule type="containsErrors" dxfId="35" priority="39">
      <formula>ISERROR(N9)</formula>
    </cfRule>
  </conditionalFormatting>
  <conditionalFormatting sqref="J9:J23 J25">
    <cfRule type="containsText" dxfId="34" priority="38" operator="containsText" text="N/A">
      <formula>NOT(ISERROR(SEARCH("N/A",J9)))</formula>
    </cfRule>
  </conditionalFormatting>
  <conditionalFormatting sqref="L9:L23 L25">
    <cfRule type="containsText" dxfId="33" priority="37" operator="containsText" text="N/A">
      <formula>NOT(ISERROR(SEARCH("N/A",L9)))</formula>
    </cfRule>
  </conditionalFormatting>
  <conditionalFormatting sqref="V9:Y23 V25:Y25">
    <cfRule type="containsErrors" dxfId="32" priority="36">
      <formula>ISERROR(V9)</formula>
    </cfRule>
  </conditionalFormatting>
  <conditionalFormatting sqref="U9:U23">
    <cfRule type="cellIs" dxfId="31" priority="32" operator="equal">
      <formula>5</formula>
    </cfRule>
    <cfRule type="cellIs" priority="33" operator="equal">
      <formula>5</formula>
    </cfRule>
    <cfRule type="cellIs" dxfId="30" priority="34" operator="between">
      <formula>6</formula>
      <formula>30</formula>
    </cfRule>
    <cfRule type="cellIs" dxfId="29" priority="35" operator="between">
      <formula>31</formula>
      <formula>60</formula>
    </cfRule>
  </conditionalFormatting>
  <conditionalFormatting sqref="U9:U23">
    <cfRule type="containsErrors" dxfId="28" priority="31">
      <formula>ISERROR(U9)</formula>
    </cfRule>
  </conditionalFormatting>
  <conditionalFormatting sqref="Q9:Q23 Q25">
    <cfRule type="containsText" dxfId="27" priority="30" operator="containsText" text="N/A">
      <formula>NOT(ISERROR(SEARCH("N/A",Q9)))</formula>
    </cfRule>
  </conditionalFormatting>
  <conditionalFormatting sqref="S9:S23 S25">
    <cfRule type="containsText" dxfId="26" priority="29" operator="containsText" text="N/A">
      <formula>NOT(ISERROR(SEARCH("N/A",S9)))</formula>
    </cfRule>
  </conditionalFormatting>
  <conditionalFormatting sqref="M29 O29">
    <cfRule type="cellIs" dxfId="25" priority="25" operator="equal">
      <formula>5</formula>
    </cfRule>
    <cfRule type="cellIs" priority="26" operator="equal">
      <formula>5</formula>
    </cfRule>
    <cfRule type="cellIs" dxfId="24" priority="27" operator="between">
      <formula>6</formula>
      <formula>30</formula>
    </cfRule>
    <cfRule type="cellIs" dxfId="23" priority="28" operator="between">
      <formula>31</formula>
      <formula>60</formula>
    </cfRule>
  </conditionalFormatting>
  <conditionalFormatting sqref="M29 O29">
    <cfRule type="containsErrors" dxfId="22" priority="24">
      <formula>ISERROR(M29)</formula>
    </cfRule>
  </conditionalFormatting>
  <conditionalFormatting sqref="K9:K23">
    <cfRule type="containsText" dxfId="21" priority="23" operator="containsText" text="N/A">
      <formula>NOT(ISERROR(SEARCH("N/A",K9)))</formula>
    </cfRule>
  </conditionalFormatting>
  <conditionalFormatting sqref="M9:M23">
    <cfRule type="containsText" dxfId="20" priority="22" operator="containsText" text="N/A">
      <formula>NOT(ISERROR(SEARCH("N/A",M9)))</formula>
    </cfRule>
  </conditionalFormatting>
  <conditionalFormatting sqref="R9:R23">
    <cfRule type="containsText" dxfId="19" priority="21" operator="containsText" text="N/A">
      <formula>NOT(ISERROR(SEARCH("N/A",R9)))</formula>
    </cfRule>
  </conditionalFormatting>
  <conditionalFormatting sqref="T9:T23">
    <cfRule type="containsText" dxfId="18" priority="20" operator="containsText" text="N/A">
      <formula>NOT(ISERROR(SEARCH("N/A",T9)))</formula>
    </cfRule>
  </conditionalFormatting>
  <conditionalFormatting sqref="N24:P24 N25">
    <cfRule type="cellIs" dxfId="17" priority="16" operator="equal">
      <formula>5</formula>
    </cfRule>
    <cfRule type="cellIs" priority="17" operator="equal">
      <formula>5</formula>
    </cfRule>
    <cfRule type="cellIs" dxfId="16" priority="18" operator="between">
      <formula>6</formula>
      <formula>30</formula>
    </cfRule>
    <cfRule type="cellIs" dxfId="15" priority="19" operator="between">
      <formula>31</formula>
      <formula>60</formula>
    </cfRule>
  </conditionalFormatting>
  <conditionalFormatting sqref="N24:P24 N25">
    <cfRule type="containsErrors" dxfId="14" priority="15">
      <formula>ISERROR(N24)</formula>
    </cfRule>
  </conditionalFormatting>
  <conditionalFormatting sqref="J24">
    <cfRule type="containsText" dxfId="13" priority="14" operator="containsText" text="N/A">
      <formula>NOT(ISERROR(SEARCH("N/A",J24)))</formula>
    </cfRule>
  </conditionalFormatting>
  <conditionalFormatting sqref="L24">
    <cfRule type="containsText" dxfId="12" priority="5" operator="containsText" text="N/A">
      <formula>NOT(ISERROR(SEARCH("N/A",L24)))</formula>
    </cfRule>
    <cfRule type="containsText" dxfId="11" priority="13" operator="containsText" text="N/A">
      <formula>NOT(ISERROR(SEARCH("N/A",L24)))</formula>
    </cfRule>
  </conditionalFormatting>
  <conditionalFormatting sqref="V24:Y24">
    <cfRule type="containsErrors" dxfId="10" priority="12">
      <formula>ISERROR(V24)</formula>
    </cfRule>
  </conditionalFormatting>
  <conditionalFormatting sqref="Q24">
    <cfRule type="containsText" dxfId="9" priority="11" operator="containsText" text="N/A">
      <formula>NOT(ISERROR(SEARCH("N/A",Q24)))</formula>
    </cfRule>
  </conditionalFormatting>
  <conditionalFormatting sqref="S24">
    <cfRule type="containsText" dxfId="8" priority="10" operator="containsText" text="N/A">
      <formula>NOT(ISERROR(SEARCH("N/A",S24)))</formula>
    </cfRule>
  </conditionalFormatting>
  <conditionalFormatting sqref="U24:U25">
    <cfRule type="containsErrors" dxfId="7" priority="1">
      <formula>ISERROR(U24)</formula>
    </cfRule>
    <cfRule type="cellIs" dxfId="6" priority="7" operator="between">
      <formula>31</formula>
      <formula>60</formula>
    </cfRule>
    <cfRule type="cellIs" dxfId="5" priority="8" operator="between">
      <formula>6</formula>
      <formula>30</formula>
    </cfRule>
    <cfRule type="cellIs" dxfId="4" priority="9" operator="equal">
      <formula>5</formula>
    </cfRule>
  </conditionalFormatting>
  <conditionalFormatting sqref="K24:K25">
    <cfRule type="containsText" dxfId="3" priority="6" operator="containsText" text="N/A">
      <formula>NOT(ISERROR(SEARCH("N/A",K24)))</formula>
    </cfRule>
  </conditionalFormatting>
  <conditionalFormatting sqref="M24:M25">
    <cfRule type="containsText" dxfId="2" priority="4" operator="containsText" text="N/A">
      <formula>NOT(ISERROR(SEARCH("N/A",M24)))</formula>
    </cfRule>
  </conditionalFormatting>
  <conditionalFormatting sqref="R24:R25">
    <cfRule type="containsText" dxfId="1" priority="3" operator="containsText" text="N/A">
      <formula>NOT(ISERROR(SEARCH("N/A",R24)))</formula>
    </cfRule>
  </conditionalFormatting>
  <conditionalFormatting sqref="T24:T25">
    <cfRule type="containsText" dxfId="0" priority="2" operator="containsText" text="N/A">
      <formula>NOT(ISERROR(SEARCH("N/A",T24)))</formula>
    </cfRule>
  </conditionalFormatting>
  <dataValidations count="3">
    <dataValidation type="list" allowBlank="1" showInputMessage="1" showErrorMessage="1" sqref="C9:C25">
      <formula1>$AM$8:$AM$9</formula1>
    </dataValidation>
    <dataValidation type="list" allowBlank="1" showInputMessage="1" showErrorMessage="1" sqref="S9:S25 L9:L25">
      <formula1>$AL$8:$AL$11</formula1>
    </dataValidation>
    <dataValidation type="list" allowBlank="1" showInputMessage="1" showErrorMessage="1" sqref="Q9:Q25 J9:J25">
      <formula1>$AK$8:$AK$11</formula1>
    </dataValidation>
  </dataValidations>
  <printOptions verticalCentered="1"/>
  <pageMargins left="0.19685039370078741" right="0.59055118110236227" top="0.39370078740157483" bottom="0.47244094488188981" header="0" footer="0"/>
  <pageSetup scale="40" fitToHeight="0" orientation="landscape" r:id="rId1"/>
  <headerFooter alignWithMargins="0">
    <oddFooter>&amp;C&amp;8Página &amp;P de &amp;N</oddFooter>
  </headerFooter>
  <colBreaks count="1" manualBreakCount="1">
    <brk id="31" max="1048575" man="1"/>
  </colBreak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pageSetUpPr fitToPage="1"/>
  </sheetPr>
  <dimension ref="B1:AO83"/>
  <sheetViews>
    <sheetView showGridLines="0" view="pageBreakPreview" topLeftCell="Q12" zoomScale="60" zoomScaleNormal="25" zoomScalePageLayoutView="75" workbookViewId="0">
      <selection activeCell="AD14" sqref="AD14"/>
    </sheetView>
  </sheetViews>
  <sheetFormatPr baseColWidth="10" defaultColWidth="33.85546875" defaultRowHeight="23.25" x14ac:dyDescent="0.2"/>
  <cols>
    <col min="1" max="1" width="2.140625" style="24" customWidth="1"/>
    <col min="2" max="2" width="17.42578125" style="24" customWidth="1"/>
    <col min="3" max="3" width="23.140625" style="24" customWidth="1"/>
    <col min="4" max="4" width="27.7109375" style="24" customWidth="1"/>
    <col min="5" max="5" width="62.28515625" style="24" bestFit="1" customWidth="1"/>
    <col min="6" max="7" width="28.28515625" style="24" customWidth="1"/>
    <col min="8" max="8" width="32.5703125" style="24" customWidth="1"/>
    <col min="9" max="9" width="32.28515625" style="24" customWidth="1"/>
    <col min="10" max="13" width="15.7109375" style="24" customWidth="1"/>
    <col min="14" max="14" width="29" style="24" customWidth="1"/>
    <col min="15" max="16" width="61.28515625" style="24" customWidth="1"/>
    <col min="17" max="18" width="14.85546875" style="24" customWidth="1"/>
    <col min="19" max="19" width="18.28515625" style="24" customWidth="1"/>
    <col min="20" max="20" width="16.28515625" style="24" customWidth="1"/>
    <col min="21" max="21" width="17.28515625" style="24" customWidth="1"/>
    <col min="22" max="25" width="16.28515625" style="24" customWidth="1"/>
    <col min="26" max="26" width="39.5703125" style="24" customWidth="1"/>
    <col min="27" max="28" width="28" style="24" customWidth="1"/>
    <col min="29" max="29" width="29.42578125" style="24" customWidth="1"/>
    <col min="30" max="30" width="71.85546875" style="24" customWidth="1"/>
    <col min="31" max="31" width="23.140625" style="41" customWidth="1"/>
    <col min="32" max="32" width="17.7109375" style="24" customWidth="1"/>
    <col min="33" max="36" width="33.85546875" style="24" customWidth="1"/>
    <col min="37" max="16384" width="33.85546875" style="24"/>
  </cols>
  <sheetData>
    <row r="1" spans="2:41" ht="9" customHeight="1" x14ac:dyDescent="0.2"/>
    <row r="2" spans="2:41" s="28" customFormat="1" ht="125.25" customHeight="1" thickBot="1" x14ac:dyDescent="0.25">
      <c r="B2" s="385" t="s">
        <v>109</v>
      </c>
      <c r="C2" s="386"/>
      <c r="D2" s="386"/>
      <c r="E2" s="386"/>
      <c r="F2" s="386"/>
      <c r="G2" s="386"/>
      <c r="H2" s="386"/>
      <c r="I2" s="386"/>
      <c r="J2" s="386"/>
      <c r="K2" s="386"/>
      <c r="L2" s="386"/>
      <c r="M2" s="386"/>
      <c r="N2" s="386"/>
      <c r="O2" s="386"/>
      <c r="P2" s="386"/>
      <c r="Q2" s="386"/>
      <c r="R2" s="386"/>
      <c r="S2" s="386"/>
      <c r="T2" s="386"/>
      <c r="U2" s="386"/>
      <c r="V2" s="386"/>
      <c r="W2" s="386"/>
      <c r="X2" s="386"/>
      <c r="Y2" s="386"/>
      <c r="Z2" s="386"/>
      <c r="AA2" s="386"/>
      <c r="AB2" s="386"/>
      <c r="AC2" s="386"/>
      <c r="AD2" s="386"/>
      <c r="AE2" s="386"/>
      <c r="AF2" s="31"/>
    </row>
    <row r="3" spans="2:41" s="29" customFormat="1" ht="66" customHeight="1" thickBot="1" x14ac:dyDescent="0.25">
      <c r="B3" s="387" t="s">
        <v>37</v>
      </c>
      <c r="C3" s="388"/>
      <c r="D3" s="388"/>
      <c r="E3" s="388"/>
      <c r="F3" s="388"/>
      <c r="G3" s="387" t="s">
        <v>108</v>
      </c>
      <c r="H3" s="388"/>
      <c r="I3" s="388"/>
      <c r="J3" s="388"/>
      <c r="K3" s="388"/>
      <c r="L3" s="388"/>
      <c r="M3" s="388"/>
      <c r="N3" s="389"/>
      <c r="O3" s="387" t="s">
        <v>107</v>
      </c>
      <c r="P3" s="388"/>
      <c r="Q3" s="388"/>
      <c r="R3" s="388"/>
      <c r="S3" s="388"/>
      <c r="T3" s="389"/>
      <c r="U3" s="387" t="s">
        <v>38</v>
      </c>
      <c r="V3" s="388"/>
      <c r="W3" s="388"/>
      <c r="X3" s="388"/>
      <c r="Y3" s="388"/>
      <c r="Z3" s="388"/>
      <c r="AA3" s="389"/>
      <c r="AB3" s="387" t="s">
        <v>35</v>
      </c>
      <c r="AC3" s="388"/>
      <c r="AD3" s="388"/>
      <c r="AE3" s="389"/>
      <c r="AF3" s="32"/>
    </row>
    <row r="4" spans="2:41" s="29" customFormat="1" ht="72" customHeight="1" thickBot="1" x14ac:dyDescent="0.25">
      <c r="B4" s="390" t="s">
        <v>36</v>
      </c>
      <c r="C4" s="391"/>
      <c r="D4" s="391"/>
      <c r="E4" s="391"/>
      <c r="F4" s="391"/>
      <c r="G4" s="392">
        <v>42874</v>
      </c>
      <c r="H4" s="393"/>
      <c r="I4" s="393"/>
      <c r="J4" s="393"/>
      <c r="K4" s="393"/>
      <c r="L4" s="393"/>
      <c r="M4" s="393"/>
      <c r="N4" s="394"/>
      <c r="O4" s="395">
        <v>43700</v>
      </c>
      <c r="P4" s="396"/>
      <c r="Q4" s="396"/>
      <c r="R4" s="396"/>
      <c r="S4" s="396"/>
      <c r="T4" s="397"/>
      <c r="U4" s="390">
        <v>4</v>
      </c>
      <c r="V4" s="391"/>
      <c r="W4" s="391"/>
      <c r="X4" s="391"/>
      <c r="Y4" s="391"/>
      <c r="Z4" s="391"/>
      <c r="AA4" s="398"/>
      <c r="AB4" s="390" t="s">
        <v>50</v>
      </c>
      <c r="AC4" s="391"/>
      <c r="AD4" s="391"/>
      <c r="AE4" s="398"/>
      <c r="AF4" s="112"/>
    </row>
    <row r="5" spans="2:41" s="29" customFormat="1" ht="32.1" customHeight="1" thickBot="1" x14ac:dyDescent="0.25">
      <c r="B5" s="383" t="s">
        <v>691</v>
      </c>
      <c r="C5" s="384"/>
      <c r="D5" s="384"/>
      <c r="E5" s="384"/>
      <c r="F5" s="384"/>
      <c r="G5" s="384"/>
      <c r="H5" s="384"/>
      <c r="I5" s="384"/>
      <c r="J5" s="384"/>
      <c r="K5" s="384"/>
      <c r="L5" s="384"/>
      <c r="M5" s="384"/>
      <c r="N5" s="384"/>
      <c r="O5" s="384"/>
      <c r="P5" s="384"/>
      <c r="Q5" s="384"/>
      <c r="R5" s="384"/>
      <c r="S5" s="384"/>
      <c r="T5" s="384"/>
      <c r="U5" s="384"/>
      <c r="V5" s="384"/>
      <c r="W5" s="384"/>
      <c r="X5" s="384"/>
      <c r="Y5" s="384"/>
      <c r="Z5" s="384"/>
      <c r="AA5" s="384"/>
      <c r="AB5" s="384"/>
      <c r="AC5" s="384"/>
      <c r="AD5" s="384"/>
      <c r="AE5" s="384"/>
      <c r="AF5" s="112"/>
    </row>
    <row r="6" spans="2:41" s="29" customFormat="1" ht="54.95" customHeight="1" thickBot="1" x14ac:dyDescent="0.25">
      <c r="B6" s="409" t="s">
        <v>0</v>
      </c>
      <c r="C6" s="410"/>
      <c r="D6" s="410"/>
      <c r="E6" s="410"/>
      <c r="F6" s="410"/>
      <c r="G6" s="410"/>
      <c r="H6" s="410"/>
      <c r="I6" s="411"/>
      <c r="J6" s="412" t="s">
        <v>60</v>
      </c>
      <c r="K6" s="413"/>
      <c r="L6" s="413"/>
      <c r="M6" s="413"/>
      <c r="N6" s="414"/>
      <c r="O6" s="418" t="s">
        <v>92</v>
      </c>
      <c r="P6" s="419"/>
      <c r="Q6" s="420" t="s">
        <v>61</v>
      </c>
      <c r="R6" s="421"/>
      <c r="S6" s="421"/>
      <c r="T6" s="421"/>
      <c r="U6" s="422"/>
      <c r="V6" s="426" t="s">
        <v>56</v>
      </c>
      <c r="W6" s="427"/>
      <c r="X6" s="427"/>
      <c r="Y6" s="427"/>
      <c r="Z6" s="427"/>
      <c r="AA6" s="427"/>
      <c r="AB6" s="427"/>
      <c r="AC6" s="427"/>
      <c r="AD6" s="427"/>
      <c r="AE6" s="428"/>
    </row>
    <row r="7" spans="2:41" s="29" customFormat="1" ht="90" customHeight="1" thickBot="1" x14ac:dyDescent="0.25">
      <c r="B7" s="429" t="s">
        <v>8</v>
      </c>
      <c r="C7" s="430" t="s">
        <v>58</v>
      </c>
      <c r="D7" s="432" t="s">
        <v>89</v>
      </c>
      <c r="E7" s="76" t="s">
        <v>59</v>
      </c>
      <c r="F7" s="43" t="s">
        <v>9</v>
      </c>
      <c r="G7" s="43" t="s">
        <v>102</v>
      </c>
      <c r="H7" s="43" t="s">
        <v>10</v>
      </c>
      <c r="I7" s="95" t="s">
        <v>57</v>
      </c>
      <c r="J7" s="415"/>
      <c r="K7" s="416"/>
      <c r="L7" s="416"/>
      <c r="M7" s="416"/>
      <c r="N7" s="417"/>
      <c r="O7" s="433" t="s">
        <v>101</v>
      </c>
      <c r="P7" s="434"/>
      <c r="Q7" s="423"/>
      <c r="R7" s="424"/>
      <c r="S7" s="424"/>
      <c r="T7" s="424"/>
      <c r="U7" s="425"/>
      <c r="V7" s="435" t="s">
        <v>94</v>
      </c>
      <c r="W7" s="436"/>
      <c r="X7" s="436"/>
      <c r="Y7" s="437"/>
      <c r="Z7" s="475" t="s">
        <v>51</v>
      </c>
      <c r="AA7" s="476"/>
      <c r="AB7" s="476"/>
      <c r="AC7" s="476"/>
      <c r="AD7" s="477"/>
      <c r="AE7" s="445" t="s">
        <v>25</v>
      </c>
      <c r="AG7" s="399" t="s">
        <v>43</v>
      </c>
      <c r="AH7" s="399"/>
      <c r="AI7" s="399"/>
      <c r="AJ7" s="399"/>
      <c r="AK7" s="29" t="s">
        <v>65</v>
      </c>
      <c r="AL7" s="29" t="s">
        <v>66</v>
      </c>
    </row>
    <row r="8" spans="2:41" s="29" customFormat="1" ht="202.5" customHeight="1" thickBot="1" x14ac:dyDescent="0.25">
      <c r="B8" s="474"/>
      <c r="C8" s="431"/>
      <c r="D8" s="431"/>
      <c r="E8" s="254" t="s">
        <v>7</v>
      </c>
      <c r="F8" s="255" t="s">
        <v>62</v>
      </c>
      <c r="G8" s="255" t="s">
        <v>13</v>
      </c>
      <c r="H8" s="255" t="s">
        <v>63</v>
      </c>
      <c r="I8" s="255" t="s">
        <v>64</v>
      </c>
      <c r="J8" s="96" t="s">
        <v>11</v>
      </c>
      <c r="K8" s="96" t="s">
        <v>12</v>
      </c>
      <c r="L8" s="96" t="s">
        <v>1</v>
      </c>
      <c r="M8" s="102" t="s">
        <v>2</v>
      </c>
      <c r="N8" s="256" t="s">
        <v>93</v>
      </c>
      <c r="O8" s="257" t="s">
        <v>90</v>
      </c>
      <c r="P8" s="258" t="s">
        <v>91</v>
      </c>
      <c r="Q8" s="101" t="s">
        <v>11</v>
      </c>
      <c r="R8" s="102" t="s">
        <v>12</v>
      </c>
      <c r="S8" s="102" t="s">
        <v>1</v>
      </c>
      <c r="T8" s="102" t="s">
        <v>2</v>
      </c>
      <c r="U8" s="103" t="s">
        <v>100</v>
      </c>
      <c r="V8" s="98" t="s">
        <v>95</v>
      </c>
      <c r="W8" s="99" t="s">
        <v>96</v>
      </c>
      <c r="X8" s="99" t="s">
        <v>97</v>
      </c>
      <c r="Y8" s="100" t="s">
        <v>98</v>
      </c>
      <c r="Z8" s="53" t="s">
        <v>52</v>
      </c>
      <c r="AA8" s="54" t="s">
        <v>53</v>
      </c>
      <c r="AB8" s="55" t="s">
        <v>54</v>
      </c>
      <c r="AC8" s="54" t="s">
        <v>55</v>
      </c>
      <c r="AD8" s="108" t="s">
        <v>99</v>
      </c>
      <c r="AE8" s="446"/>
      <c r="AG8" s="73" t="s">
        <v>39</v>
      </c>
      <c r="AH8" s="74" t="s">
        <v>40</v>
      </c>
      <c r="AI8" s="74" t="s">
        <v>41</v>
      </c>
      <c r="AJ8" s="75" t="s">
        <v>42</v>
      </c>
      <c r="AK8" s="86" t="s">
        <v>83</v>
      </c>
      <c r="AL8" s="86" t="s">
        <v>83</v>
      </c>
      <c r="AM8" s="29" t="s">
        <v>69</v>
      </c>
      <c r="AN8" s="29" t="s">
        <v>70</v>
      </c>
      <c r="AO8" s="91"/>
    </row>
    <row r="9" spans="2:41" s="29" customFormat="1" ht="174" customHeight="1" x14ac:dyDescent="0.2">
      <c r="B9" s="401" t="s">
        <v>143</v>
      </c>
      <c r="C9" s="78" t="s">
        <v>69</v>
      </c>
      <c r="D9" s="207" t="s">
        <v>75</v>
      </c>
      <c r="E9" s="251" t="s">
        <v>144</v>
      </c>
      <c r="F9" s="252" t="s">
        <v>145</v>
      </c>
      <c r="G9" s="252" t="s">
        <v>146</v>
      </c>
      <c r="H9" s="252" t="s">
        <v>147</v>
      </c>
      <c r="I9" s="252" t="s">
        <v>969</v>
      </c>
      <c r="J9" s="87">
        <v>3</v>
      </c>
      <c r="K9" s="309" t="str">
        <f t="shared" ref="K9:K19" si="0">IF(J9=3,"ALTO",IF(J9=2,"MEDIO",IF(J9="N/A","N/A","BAJO")))</f>
        <v>ALTO</v>
      </c>
      <c r="L9" s="87">
        <v>20</v>
      </c>
      <c r="M9" s="87" t="str">
        <f>IF(L9=20,"ALTO",IF(L9=10,"MEDIO",IF(L9="N/A","N/A","BAJO")))</f>
        <v>ALTO</v>
      </c>
      <c r="N9" s="107">
        <f>J9*L9</f>
        <v>60</v>
      </c>
      <c r="O9" s="253" t="s">
        <v>476</v>
      </c>
      <c r="P9" s="253" t="s">
        <v>761</v>
      </c>
      <c r="Q9" s="87">
        <v>2</v>
      </c>
      <c r="R9" s="87" t="str">
        <f>IF(Q9=3,"ALTO",IF(Q9=2,"MEDIO",IF(Q9="N/A","N/A","BAJO")))</f>
        <v>MEDIO</v>
      </c>
      <c r="S9" s="87">
        <v>10</v>
      </c>
      <c r="T9" s="87" t="str">
        <f>IF(S9=20,"ALTO",IF(S9=10,"MEDIO",IF(S9="N/A","N/A","BAJO")))</f>
        <v>MEDIO</v>
      </c>
      <c r="U9" s="107">
        <f>Q9*S9</f>
        <v>20</v>
      </c>
      <c r="V9" s="58" t="s">
        <v>116</v>
      </c>
      <c r="W9" s="58"/>
      <c r="X9" s="58"/>
      <c r="Y9" s="58"/>
      <c r="Z9" s="310" t="s">
        <v>968</v>
      </c>
      <c r="AA9" s="121" t="s">
        <v>148</v>
      </c>
      <c r="AB9" s="121" t="s">
        <v>149</v>
      </c>
      <c r="AC9" s="311" t="s">
        <v>150</v>
      </c>
      <c r="AD9" s="252" t="s">
        <v>1000</v>
      </c>
      <c r="AE9" s="404">
        <v>44055</v>
      </c>
      <c r="AG9" s="51">
        <v>1</v>
      </c>
      <c r="AH9" s="52"/>
      <c r="AI9" s="52"/>
      <c r="AJ9" s="50">
        <f>SUM(AG9:AI9)</f>
        <v>1</v>
      </c>
      <c r="AK9" s="29">
        <v>1</v>
      </c>
      <c r="AL9" s="29">
        <v>5</v>
      </c>
      <c r="AM9" s="29" t="s">
        <v>72</v>
      </c>
      <c r="AN9" s="29" t="s">
        <v>74</v>
      </c>
      <c r="AO9" s="92"/>
    </row>
    <row r="10" spans="2:41" s="29" customFormat="1" ht="165" customHeight="1" x14ac:dyDescent="0.2">
      <c r="B10" s="401"/>
      <c r="C10" s="79" t="s">
        <v>69</v>
      </c>
      <c r="D10" s="114" t="s">
        <v>75</v>
      </c>
      <c r="E10" s="45" t="s">
        <v>151</v>
      </c>
      <c r="F10" s="117" t="s">
        <v>152</v>
      </c>
      <c r="G10" s="127" t="s">
        <v>477</v>
      </c>
      <c r="H10" s="152" t="s">
        <v>153</v>
      </c>
      <c r="I10" s="153" t="s">
        <v>154</v>
      </c>
      <c r="J10" s="87">
        <v>2</v>
      </c>
      <c r="K10" s="223" t="str">
        <f t="shared" si="0"/>
        <v>MEDIO</v>
      </c>
      <c r="L10" s="56">
        <v>20</v>
      </c>
      <c r="M10" s="56" t="str">
        <f t="shared" ref="M10:M14" si="1">IF(L10=20,"ALTO",IF(L10=10,"MEDIO",IF(L10="N/A","N/A","BAJO")))</f>
        <v>ALTO</v>
      </c>
      <c r="N10" s="88">
        <f t="shared" ref="N10:N14" si="2">J10*L10</f>
        <v>40</v>
      </c>
      <c r="O10" s="127" t="s">
        <v>478</v>
      </c>
      <c r="P10" s="131" t="s">
        <v>479</v>
      </c>
      <c r="Q10" s="87">
        <v>2</v>
      </c>
      <c r="R10" s="87" t="str">
        <f t="shared" ref="R10:R14" si="3">IF(Q10=3,"ALTO",IF(Q10=2,"MEDIO",IF(Q10="N/A","N/A","BAJO")))</f>
        <v>MEDIO</v>
      </c>
      <c r="S10" s="56">
        <v>10</v>
      </c>
      <c r="T10" s="87" t="str">
        <f t="shared" ref="T10:T14" si="4">IF(S10=20,"ALTO",IF(S10=10,"MEDIO",IF(S10="N/A","N/A","BAJO")))</f>
        <v>MEDIO</v>
      </c>
      <c r="U10" s="88">
        <f t="shared" ref="U10:U14" si="5">Q10*S10</f>
        <v>20</v>
      </c>
      <c r="V10" s="58" t="s">
        <v>116</v>
      </c>
      <c r="W10" s="58"/>
      <c r="X10" s="58"/>
      <c r="Y10" s="58"/>
      <c r="Z10" s="117" t="s">
        <v>762</v>
      </c>
      <c r="AA10" s="117" t="s">
        <v>480</v>
      </c>
      <c r="AB10" s="117" t="s">
        <v>473</v>
      </c>
      <c r="AC10" s="117" t="s">
        <v>474</v>
      </c>
      <c r="AD10" s="127" t="s">
        <v>475</v>
      </c>
      <c r="AE10" s="404"/>
      <c r="AG10" s="113"/>
      <c r="AH10" s="114">
        <v>1</v>
      </c>
      <c r="AI10" s="114"/>
      <c r="AJ10" s="115">
        <f t="shared" ref="AJ10:AJ31" si="6">SUM(AG10:AI10)</f>
        <v>1</v>
      </c>
      <c r="AK10" s="29">
        <v>2</v>
      </c>
      <c r="AL10" s="29">
        <v>10</v>
      </c>
      <c r="AN10" s="29" t="s">
        <v>75</v>
      </c>
      <c r="AO10" s="92"/>
    </row>
    <row r="11" spans="2:41" s="29" customFormat="1" ht="212.25" customHeight="1" x14ac:dyDescent="0.2">
      <c r="B11" s="401"/>
      <c r="C11" s="79" t="s">
        <v>69</v>
      </c>
      <c r="D11" s="114" t="s">
        <v>75</v>
      </c>
      <c r="E11" s="45" t="s">
        <v>156</v>
      </c>
      <c r="F11" s="117" t="s">
        <v>155</v>
      </c>
      <c r="G11" s="117" t="s">
        <v>157</v>
      </c>
      <c r="H11" s="117" t="s">
        <v>970</v>
      </c>
      <c r="I11" s="117" t="s">
        <v>481</v>
      </c>
      <c r="J11" s="87">
        <v>2</v>
      </c>
      <c r="K11" s="223" t="str">
        <f t="shared" si="0"/>
        <v>MEDIO</v>
      </c>
      <c r="L11" s="56">
        <v>20</v>
      </c>
      <c r="M11" s="56" t="str">
        <f t="shared" si="1"/>
        <v>ALTO</v>
      </c>
      <c r="N11" s="88">
        <f t="shared" si="2"/>
        <v>40</v>
      </c>
      <c r="O11" s="131" t="s">
        <v>763</v>
      </c>
      <c r="P11" s="131" t="s">
        <v>764</v>
      </c>
      <c r="Q11" s="87">
        <v>2</v>
      </c>
      <c r="R11" s="87" t="str">
        <f t="shared" si="3"/>
        <v>MEDIO</v>
      </c>
      <c r="S11" s="56">
        <v>10</v>
      </c>
      <c r="T11" s="87" t="str">
        <f t="shared" si="4"/>
        <v>MEDIO</v>
      </c>
      <c r="U11" s="88">
        <f t="shared" si="5"/>
        <v>20</v>
      </c>
      <c r="V11" s="58" t="s">
        <v>116</v>
      </c>
      <c r="W11" s="58"/>
      <c r="X11" s="58"/>
      <c r="Y11" s="58"/>
      <c r="Z11" s="124" t="s">
        <v>765</v>
      </c>
      <c r="AA11" s="124" t="s">
        <v>1004</v>
      </c>
      <c r="AB11" s="154" t="s">
        <v>482</v>
      </c>
      <c r="AC11" s="154" t="s">
        <v>483</v>
      </c>
      <c r="AD11" s="127" t="s">
        <v>475</v>
      </c>
      <c r="AE11" s="404"/>
      <c r="AG11" s="113">
        <v>1</v>
      </c>
      <c r="AH11" s="114"/>
      <c r="AI11" s="114"/>
      <c r="AJ11" s="115">
        <f t="shared" si="6"/>
        <v>1</v>
      </c>
      <c r="AK11" s="29">
        <v>3</v>
      </c>
      <c r="AL11" s="29">
        <v>20</v>
      </c>
      <c r="AN11" s="29" t="s">
        <v>86</v>
      </c>
      <c r="AO11" s="92"/>
    </row>
    <row r="12" spans="2:41" s="29" customFormat="1" ht="168.75" customHeight="1" x14ac:dyDescent="0.2">
      <c r="B12" s="401"/>
      <c r="C12" s="155" t="s">
        <v>69</v>
      </c>
      <c r="D12" s="156" t="s">
        <v>87</v>
      </c>
      <c r="E12" s="157" t="s">
        <v>664</v>
      </c>
      <c r="F12" s="158" t="s">
        <v>158</v>
      </c>
      <c r="G12" s="158" t="s">
        <v>159</v>
      </c>
      <c r="H12" s="158" t="s">
        <v>160</v>
      </c>
      <c r="I12" s="158" t="s">
        <v>161</v>
      </c>
      <c r="J12" s="87">
        <v>2</v>
      </c>
      <c r="K12" s="223" t="str">
        <f t="shared" si="0"/>
        <v>MEDIO</v>
      </c>
      <c r="L12" s="159">
        <v>10</v>
      </c>
      <c r="M12" s="56" t="str">
        <f t="shared" si="1"/>
        <v>MEDIO</v>
      </c>
      <c r="N12" s="88">
        <f t="shared" si="2"/>
        <v>20</v>
      </c>
      <c r="O12" s="160" t="s">
        <v>484</v>
      </c>
      <c r="P12" s="160" t="s">
        <v>162</v>
      </c>
      <c r="Q12" s="87">
        <v>1</v>
      </c>
      <c r="R12" s="87" t="str">
        <f t="shared" si="3"/>
        <v>BAJO</v>
      </c>
      <c r="S12" s="159">
        <v>5</v>
      </c>
      <c r="T12" s="87" t="str">
        <f t="shared" si="4"/>
        <v>BAJO</v>
      </c>
      <c r="U12" s="88">
        <f t="shared" si="5"/>
        <v>5</v>
      </c>
      <c r="V12" s="58"/>
      <c r="W12" s="58" t="s">
        <v>116</v>
      </c>
      <c r="X12" s="58"/>
      <c r="Y12" s="58"/>
      <c r="Z12" s="124" t="s">
        <v>163</v>
      </c>
      <c r="AA12" s="161" t="s">
        <v>485</v>
      </c>
      <c r="AB12" s="162" t="s">
        <v>164</v>
      </c>
      <c r="AC12" s="162" t="s">
        <v>77</v>
      </c>
      <c r="AD12" s="163" t="s">
        <v>1001</v>
      </c>
      <c r="AE12" s="404"/>
      <c r="AG12" s="173"/>
      <c r="AH12" s="174"/>
      <c r="AI12" s="174"/>
      <c r="AJ12" s="175"/>
      <c r="AN12" s="29" t="s">
        <v>87</v>
      </c>
      <c r="AO12" s="92"/>
    </row>
    <row r="13" spans="2:41" s="29" customFormat="1" ht="201" customHeight="1" x14ac:dyDescent="0.2">
      <c r="B13" s="401"/>
      <c r="C13" s="155" t="s">
        <v>69</v>
      </c>
      <c r="D13" s="156" t="s">
        <v>75</v>
      </c>
      <c r="E13" s="157" t="s">
        <v>165</v>
      </c>
      <c r="F13" s="158" t="s">
        <v>166</v>
      </c>
      <c r="G13" s="158" t="s">
        <v>167</v>
      </c>
      <c r="H13" s="158" t="s">
        <v>971</v>
      </c>
      <c r="I13" s="158" t="s">
        <v>499</v>
      </c>
      <c r="J13" s="56">
        <v>3</v>
      </c>
      <c r="K13" s="223" t="str">
        <f t="shared" si="0"/>
        <v>ALTO</v>
      </c>
      <c r="L13" s="159">
        <v>10</v>
      </c>
      <c r="M13" s="56" t="str">
        <f t="shared" si="1"/>
        <v>MEDIO</v>
      </c>
      <c r="N13" s="190">
        <f t="shared" si="2"/>
        <v>30</v>
      </c>
      <c r="O13" s="201" t="s">
        <v>500</v>
      </c>
      <c r="P13" s="201" t="s">
        <v>766</v>
      </c>
      <c r="Q13" s="56">
        <v>2</v>
      </c>
      <c r="R13" s="87" t="str">
        <f t="shared" si="3"/>
        <v>MEDIO</v>
      </c>
      <c r="S13" s="159">
        <v>10</v>
      </c>
      <c r="T13" s="87" t="str">
        <f t="shared" si="4"/>
        <v>MEDIO</v>
      </c>
      <c r="U13" s="190">
        <f t="shared" si="5"/>
        <v>20</v>
      </c>
      <c r="V13" s="164"/>
      <c r="W13" s="164" t="s">
        <v>116</v>
      </c>
      <c r="X13" s="164"/>
      <c r="Y13" s="164"/>
      <c r="Z13" s="202" t="s">
        <v>501</v>
      </c>
      <c r="AA13" s="203" t="s">
        <v>1008</v>
      </c>
      <c r="AB13" s="202" t="s">
        <v>503</v>
      </c>
      <c r="AC13" s="204" t="s">
        <v>119</v>
      </c>
      <c r="AD13" s="161" t="s">
        <v>1010</v>
      </c>
      <c r="AE13" s="404"/>
      <c r="AG13" s="205"/>
      <c r="AH13" s="156"/>
      <c r="AI13" s="156"/>
      <c r="AJ13" s="206"/>
      <c r="AN13" s="29" t="s">
        <v>88</v>
      </c>
      <c r="AO13" s="92"/>
    </row>
    <row r="14" spans="2:41" s="29" customFormat="1" ht="330" customHeight="1" x14ac:dyDescent="0.2">
      <c r="B14" s="401"/>
      <c r="C14" s="155" t="s">
        <v>69</v>
      </c>
      <c r="D14" s="330" t="s">
        <v>86</v>
      </c>
      <c r="E14" s="157" t="s">
        <v>767</v>
      </c>
      <c r="F14" s="158" t="s">
        <v>768</v>
      </c>
      <c r="G14" s="158" t="s">
        <v>390</v>
      </c>
      <c r="H14" s="158" t="s">
        <v>769</v>
      </c>
      <c r="I14" s="158" t="s">
        <v>770</v>
      </c>
      <c r="J14" s="177">
        <v>3</v>
      </c>
      <c r="K14" s="223" t="str">
        <f t="shared" si="0"/>
        <v>ALTO</v>
      </c>
      <c r="L14" s="159">
        <v>10</v>
      </c>
      <c r="M14" s="56" t="str">
        <f t="shared" si="1"/>
        <v>MEDIO</v>
      </c>
      <c r="N14" s="190">
        <f t="shared" si="2"/>
        <v>30</v>
      </c>
      <c r="O14" s="201" t="s">
        <v>771</v>
      </c>
      <c r="P14" s="201" t="s">
        <v>772</v>
      </c>
      <c r="Q14" s="177">
        <v>2</v>
      </c>
      <c r="R14" s="87" t="str">
        <f t="shared" si="3"/>
        <v>MEDIO</v>
      </c>
      <c r="S14" s="159">
        <v>10</v>
      </c>
      <c r="T14" s="87" t="str">
        <f t="shared" si="4"/>
        <v>MEDIO</v>
      </c>
      <c r="U14" s="190">
        <f t="shared" si="5"/>
        <v>20</v>
      </c>
      <c r="V14" s="178"/>
      <c r="W14" s="178" t="s">
        <v>116</v>
      </c>
      <c r="X14" s="178"/>
      <c r="Y14" s="178"/>
      <c r="Z14" s="202" t="s">
        <v>452</v>
      </c>
      <c r="AA14" s="203" t="s">
        <v>453</v>
      </c>
      <c r="AB14" s="202" t="s">
        <v>451</v>
      </c>
      <c r="AC14" s="204" t="s">
        <v>119</v>
      </c>
      <c r="AD14" s="161" t="s">
        <v>1009</v>
      </c>
      <c r="AE14" s="404"/>
      <c r="AG14" s="326"/>
      <c r="AH14" s="156"/>
      <c r="AI14" s="156"/>
      <c r="AJ14" s="266"/>
      <c r="AO14" s="82"/>
    </row>
    <row r="15" spans="2:41" s="25" customFormat="1" ht="191.25" customHeight="1" x14ac:dyDescent="0.2">
      <c r="B15" s="401"/>
      <c r="C15" s="379" t="s">
        <v>69</v>
      </c>
      <c r="D15" s="336" t="s">
        <v>716</v>
      </c>
      <c r="E15" s="45" t="s">
        <v>620</v>
      </c>
      <c r="F15" s="117" t="s">
        <v>773</v>
      </c>
      <c r="G15" s="117" t="s">
        <v>456</v>
      </c>
      <c r="H15" s="117" t="s">
        <v>621</v>
      </c>
      <c r="I15" s="117" t="s">
        <v>614</v>
      </c>
      <c r="J15" s="56">
        <v>2</v>
      </c>
      <c r="K15" s="56" t="str">
        <f t="shared" si="0"/>
        <v>MEDIO</v>
      </c>
      <c r="L15" s="56">
        <v>10</v>
      </c>
      <c r="M15" s="56" t="str">
        <f t="shared" ref="M15:M19" si="7">IF(L15=20,"ALTO",IF(L15=10,"MEDIO",IF(L15="N/A","N/A","BAJO")))</f>
        <v>MEDIO</v>
      </c>
      <c r="N15" s="88">
        <f t="shared" ref="N15:N19" si="8">J15*L15</f>
        <v>20</v>
      </c>
      <c r="O15" s="131" t="s">
        <v>774</v>
      </c>
      <c r="P15" s="131" t="s">
        <v>775</v>
      </c>
      <c r="Q15" s="56">
        <v>1</v>
      </c>
      <c r="R15" s="56" t="str">
        <f t="shared" ref="R15:R19" si="9">IF(Q15=3,"ALTO",IF(Q15=2,"MEDIO",IF(Q15="N/A","N/A","BAJO")))</f>
        <v>BAJO</v>
      </c>
      <c r="S15" s="56">
        <v>10</v>
      </c>
      <c r="T15" s="56" t="str">
        <f t="shared" ref="T15:T19" si="10">IF(S15=20,"ALTO",IF(S15=10,"MEDIO",IF(S15="N/A","N/A","BAJO")))</f>
        <v>MEDIO</v>
      </c>
      <c r="U15" s="88">
        <f t="shared" ref="U15:U19" si="11">Q15*S15</f>
        <v>10</v>
      </c>
      <c r="V15" s="164"/>
      <c r="W15" s="164" t="s">
        <v>617</v>
      </c>
      <c r="X15" s="164"/>
      <c r="Y15" s="164"/>
      <c r="Z15" s="124" t="s">
        <v>622</v>
      </c>
      <c r="AA15" s="125" t="s">
        <v>618</v>
      </c>
      <c r="AB15" s="125" t="s">
        <v>395</v>
      </c>
      <c r="AC15" s="125" t="s">
        <v>216</v>
      </c>
      <c r="AD15" s="127" t="s">
        <v>611</v>
      </c>
      <c r="AE15" s="404"/>
      <c r="AG15" s="174"/>
      <c r="AH15" s="174"/>
      <c r="AI15" s="174"/>
      <c r="AJ15" s="174"/>
      <c r="AO15" s="208"/>
    </row>
    <row r="16" spans="2:41" s="25" customFormat="1" ht="191.25" customHeight="1" x14ac:dyDescent="0.2">
      <c r="B16" s="401"/>
      <c r="C16" s="380" t="s">
        <v>69</v>
      </c>
      <c r="D16" s="363" t="s">
        <v>716</v>
      </c>
      <c r="E16" s="284" t="s">
        <v>628</v>
      </c>
      <c r="F16" s="285" t="s">
        <v>629</v>
      </c>
      <c r="G16" s="285" t="s">
        <v>630</v>
      </c>
      <c r="H16" s="285" t="s">
        <v>631</v>
      </c>
      <c r="I16" s="285" t="s">
        <v>776</v>
      </c>
      <c r="J16" s="87">
        <v>2</v>
      </c>
      <c r="K16" s="56" t="str">
        <f t="shared" si="0"/>
        <v>MEDIO</v>
      </c>
      <c r="L16" s="87">
        <v>10</v>
      </c>
      <c r="M16" s="56" t="str">
        <f t="shared" si="7"/>
        <v>MEDIO</v>
      </c>
      <c r="N16" s="88">
        <f t="shared" si="8"/>
        <v>20</v>
      </c>
      <c r="O16" s="286" t="s">
        <v>777</v>
      </c>
      <c r="P16" s="253" t="s">
        <v>778</v>
      </c>
      <c r="Q16" s="87">
        <v>1</v>
      </c>
      <c r="R16" s="87" t="str">
        <f t="shared" si="9"/>
        <v>BAJO</v>
      </c>
      <c r="S16" s="56">
        <v>10</v>
      </c>
      <c r="T16" s="87" t="str">
        <f t="shared" si="10"/>
        <v>MEDIO</v>
      </c>
      <c r="U16" s="88">
        <f t="shared" si="11"/>
        <v>10</v>
      </c>
      <c r="V16" s="58"/>
      <c r="W16" s="58" t="s">
        <v>116</v>
      </c>
      <c r="X16" s="58"/>
      <c r="Y16" s="58"/>
      <c r="Z16" s="285" t="s">
        <v>632</v>
      </c>
      <c r="AA16" s="287" t="s">
        <v>1003</v>
      </c>
      <c r="AB16" s="288" t="s">
        <v>633</v>
      </c>
      <c r="AC16" s="289" t="s">
        <v>119</v>
      </c>
      <c r="AD16" s="124" t="s">
        <v>1002</v>
      </c>
      <c r="AE16" s="404"/>
      <c r="AG16" s="174"/>
      <c r="AH16" s="174"/>
      <c r="AI16" s="174"/>
      <c r="AJ16" s="174"/>
      <c r="AO16" s="208"/>
    </row>
    <row r="17" spans="2:41" s="29" customFormat="1" ht="152.25" customHeight="1" x14ac:dyDescent="0.2">
      <c r="B17" s="401"/>
      <c r="C17" s="380" t="s">
        <v>69</v>
      </c>
      <c r="D17" s="363" t="s">
        <v>721</v>
      </c>
      <c r="E17" s="45" t="s">
        <v>709</v>
      </c>
      <c r="F17" s="117" t="s">
        <v>779</v>
      </c>
      <c r="G17" s="117" t="s">
        <v>742</v>
      </c>
      <c r="H17" s="117" t="s">
        <v>780</v>
      </c>
      <c r="I17" s="117" t="s">
        <v>781</v>
      </c>
      <c r="J17" s="56">
        <v>3</v>
      </c>
      <c r="K17" s="56" t="str">
        <f t="shared" si="0"/>
        <v>ALTO</v>
      </c>
      <c r="L17" s="159">
        <v>20</v>
      </c>
      <c r="M17" s="56" t="str">
        <f t="shared" si="7"/>
        <v>ALTO</v>
      </c>
      <c r="N17" s="88">
        <f t="shared" si="8"/>
        <v>60</v>
      </c>
      <c r="O17" s="196" t="s">
        <v>782</v>
      </c>
      <c r="P17" s="196" t="s">
        <v>783</v>
      </c>
      <c r="Q17" s="56">
        <v>1</v>
      </c>
      <c r="R17" s="87" t="str">
        <f t="shared" si="9"/>
        <v>BAJO</v>
      </c>
      <c r="S17" s="159">
        <v>20</v>
      </c>
      <c r="T17" s="87" t="str">
        <f t="shared" si="10"/>
        <v>ALTO</v>
      </c>
      <c r="U17" s="88">
        <f t="shared" si="11"/>
        <v>20</v>
      </c>
      <c r="V17" s="164"/>
      <c r="W17" s="164" t="s">
        <v>116</v>
      </c>
      <c r="X17" s="164"/>
      <c r="Y17" s="164"/>
      <c r="Z17" s="124" t="s">
        <v>745</v>
      </c>
      <c r="AA17" s="125" t="s">
        <v>634</v>
      </c>
      <c r="AB17" s="125" t="s">
        <v>746</v>
      </c>
      <c r="AC17" s="125" t="s">
        <v>83</v>
      </c>
      <c r="AD17" s="124" t="s">
        <v>587</v>
      </c>
      <c r="AE17" s="404"/>
      <c r="AG17" s="209"/>
      <c r="AH17" s="207"/>
      <c r="AI17" s="207"/>
      <c r="AJ17" s="210"/>
      <c r="AO17" s="92"/>
    </row>
    <row r="18" spans="2:41" s="25" customFormat="1" ht="150.75" customHeight="1" x14ac:dyDescent="0.2">
      <c r="B18" s="401"/>
      <c r="C18" s="79" t="s">
        <v>72</v>
      </c>
      <c r="D18" s="363" t="s">
        <v>716</v>
      </c>
      <c r="E18" s="45" t="s">
        <v>637</v>
      </c>
      <c r="F18" s="117" t="s">
        <v>784</v>
      </c>
      <c r="G18" s="117" t="s">
        <v>159</v>
      </c>
      <c r="H18" s="117" t="s">
        <v>638</v>
      </c>
      <c r="I18" s="117" t="s">
        <v>639</v>
      </c>
      <c r="J18" s="56" t="s">
        <v>83</v>
      </c>
      <c r="K18" s="56" t="str">
        <f t="shared" si="0"/>
        <v>N/A</v>
      </c>
      <c r="L18" s="56" t="s">
        <v>83</v>
      </c>
      <c r="M18" s="56" t="str">
        <f t="shared" si="7"/>
        <v>N/A</v>
      </c>
      <c r="N18" s="88" t="e">
        <f t="shared" si="8"/>
        <v>#VALUE!</v>
      </c>
      <c r="O18" s="220"/>
      <c r="P18" s="220"/>
      <c r="Q18" s="56" t="s">
        <v>83</v>
      </c>
      <c r="R18" s="87" t="str">
        <f t="shared" si="9"/>
        <v>N/A</v>
      </c>
      <c r="S18" s="56" t="s">
        <v>83</v>
      </c>
      <c r="T18" s="87" t="str">
        <f t="shared" si="10"/>
        <v>N/A</v>
      </c>
      <c r="U18" s="88" t="e">
        <f t="shared" si="11"/>
        <v>#VALUE!</v>
      </c>
      <c r="V18" s="221"/>
      <c r="W18" s="221"/>
      <c r="X18" s="221"/>
      <c r="Y18" s="221"/>
      <c r="Z18" s="124" t="s">
        <v>640</v>
      </c>
      <c r="AA18" s="125" t="s">
        <v>471</v>
      </c>
      <c r="AB18" s="124" t="s">
        <v>641</v>
      </c>
      <c r="AC18" s="124" t="s">
        <v>83</v>
      </c>
      <c r="AD18" s="124" t="s">
        <v>587</v>
      </c>
      <c r="AE18" s="404"/>
      <c r="AG18" s="174"/>
      <c r="AH18" s="174"/>
      <c r="AI18" s="174"/>
      <c r="AJ18" s="174"/>
      <c r="AO18" s="208"/>
    </row>
    <row r="19" spans="2:41" s="29" customFormat="1" ht="255" customHeight="1" thickBot="1" x14ac:dyDescent="0.25">
      <c r="B19" s="402"/>
      <c r="C19" s="211" t="s">
        <v>72</v>
      </c>
      <c r="D19" s="81" t="s">
        <v>716</v>
      </c>
      <c r="E19" s="213" t="s">
        <v>647</v>
      </c>
      <c r="F19" s="214" t="s">
        <v>785</v>
      </c>
      <c r="G19" s="214" t="s">
        <v>648</v>
      </c>
      <c r="H19" s="214" t="s">
        <v>649</v>
      </c>
      <c r="I19" s="214" t="s">
        <v>786</v>
      </c>
      <c r="J19" s="57" t="s">
        <v>83</v>
      </c>
      <c r="K19" s="57" t="str">
        <f t="shared" si="0"/>
        <v>N/A</v>
      </c>
      <c r="L19" s="57" t="s">
        <v>83</v>
      </c>
      <c r="M19" s="57" t="str">
        <f t="shared" si="7"/>
        <v>N/A</v>
      </c>
      <c r="N19" s="90" t="e">
        <f t="shared" si="8"/>
        <v>#VALUE!</v>
      </c>
      <c r="O19" s="224"/>
      <c r="P19" s="224"/>
      <c r="Q19" s="57" t="s">
        <v>83</v>
      </c>
      <c r="R19" s="57" t="str">
        <f t="shared" si="9"/>
        <v>N/A</v>
      </c>
      <c r="S19" s="57" t="s">
        <v>83</v>
      </c>
      <c r="T19" s="57" t="str">
        <f t="shared" si="10"/>
        <v>N/A</v>
      </c>
      <c r="U19" s="90" t="e">
        <f t="shared" si="11"/>
        <v>#VALUE!</v>
      </c>
      <c r="V19" s="228"/>
      <c r="W19" s="228"/>
      <c r="X19" s="228"/>
      <c r="Y19" s="228"/>
      <c r="Z19" s="216" t="s">
        <v>650</v>
      </c>
      <c r="AA19" s="217" t="s">
        <v>634</v>
      </c>
      <c r="AB19" s="216" t="s">
        <v>651</v>
      </c>
      <c r="AC19" s="218" t="s">
        <v>83</v>
      </c>
      <c r="AD19" s="128" t="s">
        <v>587</v>
      </c>
      <c r="AE19" s="405"/>
      <c r="AG19" s="51">
        <v>1</v>
      </c>
      <c r="AH19" s="52"/>
      <c r="AI19" s="52"/>
      <c r="AJ19" s="50">
        <f t="shared" si="6"/>
        <v>1</v>
      </c>
      <c r="AK19" s="29">
        <v>4</v>
      </c>
      <c r="AO19" s="92"/>
    </row>
    <row r="20" spans="2:41" s="29" customFormat="1" ht="31.5" customHeight="1" thickBot="1" x14ac:dyDescent="0.25">
      <c r="B20" s="24"/>
      <c r="C20" s="24"/>
      <c r="D20" s="24"/>
      <c r="E20" s="24"/>
      <c r="F20" s="24"/>
      <c r="G20" s="24"/>
      <c r="H20" s="24"/>
      <c r="I20" s="24"/>
      <c r="J20" s="24"/>
      <c r="K20" s="24"/>
      <c r="L20" s="24"/>
      <c r="M20" s="24"/>
      <c r="N20" s="368">
        <f>AVERAGE(N9:N17)</f>
        <v>35.555555555555557</v>
      </c>
      <c r="O20" s="24"/>
      <c r="P20" s="24"/>
      <c r="Q20" s="24"/>
      <c r="R20" s="24"/>
      <c r="S20" s="24"/>
      <c r="T20" s="24"/>
      <c r="U20" s="368">
        <f>AVERAGE(U9:U17)</f>
        <v>16.111111111111111</v>
      </c>
      <c r="V20" s="24"/>
      <c r="W20" s="24"/>
      <c r="X20" s="24"/>
      <c r="Y20" s="24"/>
      <c r="Z20" s="24"/>
      <c r="AA20" s="24"/>
      <c r="AB20" s="24"/>
      <c r="AC20" s="24"/>
      <c r="AD20" s="85"/>
      <c r="AE20" s="47"/>
      <c r="AG20" s="113"/>
      <c r="AH20" s="114">
        <v>1</v>
      </c>
      <c r="AI20" s="114"/>
      <c r="AJ20" s="115">
        <f t="shared" si="6"/>
        <v>1</v>
      </c>
      <c r="AO20" s="93"/>
    </row>
    <row r="21" spans="2:41" s="29" customFormat="1" ht="87.75" customHeight="1" thickBot="1" x14ac:dyDescent="0.25">
      <c r="B21" s="24"/>
      <c r="C21" s="24"/>
      <c r="D21" s="24"/>
      <c r="E21" s="24"/>
      <c r="F21" s="109"/>
      <c r="G21" s="109"/>
      <c r="H21" s="462" t="s">
        <v>207</v>
      </c>
      <c r="I21" s="463"/>
      <c r="J21" s="463"/>
      <c r="K21" s="464"/>
      <c r="L21" s="24"/>
      <c r="M21" s="406" t="s">
        <v>446</v>
      </c>
      <c r="N21" s="407"/>
      <c r="O21" s="407"/>
      <c r="P21" s="408"/>
      <c r="Q21" s="110"/>
      <c r="R21" s="24"/>
      <c r="S21" s="24"/>
      <c r="T21" s="24"/>
      <c r="U21" s="24"/>
      <c r="V21" s="24"/>
      <c r="W21" s="24"/>
      <c r="X21" s="24"/>
      <c r="Y21" s="24"/>
      <c r="Z21" s="24"/>
      <c r="AA21" s="24"/>
      <c r="AB21" s="24"/>
      <c r="AC21" s="24"/>
      <c r="AD21" s="24"/>
      <c r="AE21" s="42"/>
      <c r="AG21" s="113">
        <v>1</v>
      </c>
      <c r="AH21" s="114"/>
      <c r="AI21" s="114"/>
      <c r="AJ21" s="115">
        <f t="shared" si="6"/>
        <v>1</v>
      </c>
      <c r="AK21" s="29" t="s">
        <v>84</v>
      </c>
      <c r="AO21" s="448" t="s">
        <v>76</v>
      </c>
    </row>
    <row r="22" spans="2:41" s="29" customFormat="1" ht="46.5" customHeight="1" x14ac:dyDescent="0.2">
      <c r="B22" s="24"/>
      <c r="C22" s="24"/>
      <c r="D22" s="24"/>
      <c r="E22" s="24"/>
      <c r="F22" s="438"/>
      <c r="G22" s="438"/>
      <c r="H22" s="465" t="s">
        <v>139</v>
      </c>
      <c r="I22" s="466"/>
      <c r="J22" s="26">
        <f>COUNTIF(U9:U19,5)</f>
        <v>1</v>
      </c>
      <c r="K22" s="27">
        <f>J22*100%/J25</f>
        <v>0.1111111111111111</v>
      </c>
      <c r="L22" s="24"/>
      <c r="M22" s="485" t="s">
        <v>104</v>
      </c>
      <c r="N22" s="486"/>
      <c r="O22" s="486" t="s">
        <v>47</v>
      </c>
      <c r="P22" s="487"/>
      <c r="Q22" s="111"/>
      <c r="R22" s="24"/>
      <c r="S22" s="24"/>
      <c r="T22" s="24"/>
      <c r="U22" s="24"/>
      <c r="V22" s="24"/>
      <c r="W22" s="24"/>
      <c r="X22" s="24"/>
      <c r="Y22" s="24"/>
      <c r="Z22" s="24"/>
      <c r="AA22" s="24"/>
      <c r="AB22" s="24"/>
      <c r="AC22" s="24"/>
      <c r="AD22" s="24"/>
      <c r="AE22" s="42"/>
      <c r="AG22" s="113">
        <v>1</v>
      </c>
      <c r="AH22" s="114"/>
      <c r="AI22" s="114"/>
      <c r="AJ22" s="115">
        <f t="shared" si="6"/>
        <v>1</v>
      </c>
      <c r="AK22" s="29" t="s">
        <v>85</v>
      </c>
      <c r="AO22" s="449"/>
    </row>
    <row r="23" spans="2:41" s="29" customFormat="1" ht="46.5" customHeight="1" x14ac:dyDescent="0.2">
      <c r="B23" s="24"/>
      <c r="C23" s="24"/>
      <c r="D23" s="24"/>
      <c r="E23" s="24"/>
      <c r="F23" s="438"/>
      <c r="G23" s="438"/>
      <c r="H23" s="465" t="s">
        <v>140</v>
      </c>
      <c r="I23" s="466"/>
      <c r="J23" s="26">
        <f>COUNTIFS(U9:U19,"&gt;=6",U9:U19,"&lt;=30")</f>
        <v>8</v>
      </c>
      <c r="K23" s="27">
        <f>J23*100%/J25</f>
        <v>0.88888888888888884</v>
      </c>
      <c r="L23" s="24"/>
      <c r="M23" s="478" t="s">
        <v>105</v>
      </c>
      <c r="N23" s="479"/>
      <c r="O23" s="480" t="s">
        <v>48</v>
      </c>
      <c r="P23" s="481"/>
      <c r="Q23" s="111"/>
      <c r="R23" s="24"/>
      <c r="S23" s="24"/>
      <c r="T23" s="24"/>
      <c r="U23" s="24"/>
      <c r="V23" s="24"/>
      <c r="W23" s="24"/>
      <c r="X23" s="24"/>
      <c r="Y23" s="24"/>
      <c r="Z23" s="24"/>
      <c r="AA23" s="24"/>
      <c r="AB23" s="24"/>
      <c r="AC23" s="24"/>
      <c r="AD23" s="24"/>
      <c r="AE23" s="42"/>
      <c r="AG23" s="113">
        <v>1</v>
      </c>
      <c r="AH23" s="114"/>
      <c r="AI23" s="114"/>
      <c r="AJ23" s="115">
        <f t="shared" si="6"/>
        <v>1</v>
      </c>
      <c r="AO23" s="449"/>
    </row>
    <row r="24" spans="2:41" s="29" customFormat="1" ht="46.5" customHeight="1" thickBot="1" x14ac:dyDescent="0.25">
      <c r="B24" s="24"/>
      <c r="C24" s="24"/>
      <c r="D24" s="24"/>
      <c r="E24" s="24"/>
      <c r="F24" s="438"/>
      <c r="G24" s="438"/>
      <c r="H24" s="465" t="s">
        <v>141</v>
      </c>
      <c r="I24" s="466"/>
      <c r="J24" s="26">
        <f>COUNTIFS(U9:U19,"&gt;=40",U9:U19,"&lt;=60")</f>
        <v>0</v>
      </c>
      <c r="K24" s="27">
        <f>J24*100%/J25</f>
        <v>0</v>
      </c>
      <c r="L24" s="24"/>
      <c r="M24" s="482" t="s">
        <v>106</v>
      </c>
      <c r="N24" s="483"/>
      <c r="O24" s="483" t="s">
        <v>20</v>
      </c>
      <c r="P24" s="484"/>
      <c r="Q24" s="111"/>
      <c r="R24" s="24"/>
      <c r="S24" s="24"/>
      <c r="T24" s="24"/>
      <c r="U24" s="24"/>
      <c r="V24" s="24"/>
      <c r="W24" s="24"/>
      <c r="X24" s="24"/>
      <c r="Y24" s="24"/>
      <c r="Z24" s="24"/>
      <c r="AA24" s="24"/>
      <c r="AB24" s="24"/>
      <c r="AC24" s="24"/>
      <c r="AD24" s="24"/>
      <c r="AE24" s="42"/>
      <c r="AG24" s="113">
        <v>1</v>
      </c>
      <c r="AH24" s="114"/>
      <c r="AI24" s="114"/>
      <c r="AJ24" s="115">
        <f t="shared" si="6"/>
        <v>1</v>
      </c>
      <c r="AO24" s="449"/>
    </row>
    <row r="25" spans="2:41" s="29" customFormat="1" ht="46.5" customHeight="1" thickBot="1" x14ac:dyDescent="0.25">
      <c r="B25" s="24"/>
      <c r="C25" s="24"/>
      <c r="D25" s="24"/>
      <c r="E25" s="24"/>
      <c r="F25" s="447"/>
      <c r="G25" s="447"/>
      <c r="H25" s="472" t="s">
        <v>142</v>
      </c>
      <c r="I25" s="473"/>
      <c r="J25" s="136">
        <f>+J22+J24+J23</f>
        <v>9</v>
      </c>
      <c r="K25" s="137">
        <f>K22+K23+K24</f>
        <v>1</v>
      </c>
      <c r="L25" s="24"/>
      <c r="M25" s="24"/>
      <c r="N25" s="24"/>
      <c r="O25" s="24"/>
      <c r="P25" s="24" t="s">
        <v>743</v>
      </c>
      <c r="Q25" s="24"/>
      <c r="R25" s="24"/>
      <c r="S25" s="24"/>
      <c r="T25" s="24"/>
      <c r="U25" s="24"/>
      <c r="V25" s="24"/>
      <c r="W25" s="24"/>
      <c r="X25" s="24"/>
      <c r="Y25" s="24"/>
      <c r="Z25" s="24"/>
      <c r="AA25" s="24"/>
      <c r="AB25" s="24"/>
      <c r="AC25" s="24"/>
      <c r="AD25" s="24"/>
      <c r="AE25" s="42"/>
      <c r="AG25" s="113">
        <v>1</v>
      </c>
      <c r="AH25" s="114"/>
      <c r="AI25" s="114"/>
      <c r="AJ25" s="115">
        <f t="shared" si="6"/>
        <v>1</v>
      </c>
      <c r="AO25" s="449"/>
    </row>
    <row r="26" spans="2:41" s="29" customFormat="1" ht="75" customHeight="1" thickBot="1" x14ac:dyDescent="0.25">
      <c r="B26" s="24"/>
      <c r="C26" s="24"/>
      <c r="D26" s="24"/>
      <c r="E26" s="24"/>
      <c r="F26" s="24"/>
      <c r="G26" s="24"/>
      <c r="H26" s="470" t="s">
        <v>208</v>
      </c>
      <c r="I26" s="471"/>
      <c r="J26" s="226">
        <f>COUNTIF(Q9:Q19,"N/A")</f>
        <v>2</v>
      </c>
      <c r="K26" s="227" t="str">
        <f>IF(J26&gt;=1,"100%",0)</f>
        <v>100%</v>
      </c>
      <c r="L26" s="24"/>
      <c r="M26" s="24"/>
      <c r="N26" s="24"/>
      <c r="O26" s="24"/>
      <c r="P26" s="24"/>
      <c r="Q26" s="24"/>
      <c r="R26" s="24"/>
      <c r="S26" s="24"/>
      <c r="T26" s="24"/>
      <c r="U26" s="24"/>
      <c r="V26" s="24"/>
      <c r="W26" s="24"/>
      <c r="X26" s="24"/>
      <c r="Y26" s="24"/>
      <c r="Z26" s="24"/>
      <c r="AA26" s="24"/>
      <c r="AB26" s="24"/>
      <c r="AC26" s="24"/>
      <c r="AD26" s="24"/>
      <c r="AE26" s="42"/>
      <c r="AG26" s="113"/>
      <c r="AH26" s="114">
        <v>1</v>
      </c>
      <c r="AI26" s="114"/>
      <c r="AJ26" s="115">
        <f t="shared" si="6"/>
        <v>1</v>
      </c>
      <c r="AO26" s="449"/>
    </row>
    <row r="27" spans="2:41" s="29" customFormat="1" ht="97.5" customHeight="1" x14ac:dyDescent="0.2">
      <c r="B27" s="24"/>
      <c r="C27" s="82"/>
      <c r="D27" s="82"/>
      <c r="E27" s="82"/>
      <c r="F27" s="82"/>
      <c r="G27" s="83"/>
      <c r="H27" s="83"/>
      <c r="I27" s="82"/>
      <c r="J27" s="24"/>
      <c r="K27" s="24"/>
      <c r="L27" s="24"/>
      <c r="M27" s="24"/>
      <c r="N27" s="24"/>
      <c r="O27" s="24"/>
      <c r="P27" s="24"/>
      <c r="Q27" s="24"/>
      <c r="R27" s="24"/>
      <c r="S27" s="24"/>
      <c r="T27" s="24"/>
      <c r="U27" s="24"/>
      <c r="V27" s="24"/>
      <c r="W27" s="24"/>
      <c r="X27" s="24"/>
      <c r="Y27" s="24"/>
      <c r="Z27" s="24"/>
      <c r="AA27" s="24"/>
      <c r="AB27" s="24"/>
      <c r="AC27" s="24"/>
      <c r="AD27" s="24"/>
      <c r="AE27" s="42"/>
      <c r="AG27" s="113"/>
      <c r="AH27" s="114">
        <v>1</v>
      </c>
      <c r="AI27" s="114"/>
      <c r="AJ27" s="115">
        <f t="shared" si="6"/>
        <v>1</v>
      </c>
      <c r="AO27" s="449"/>
    </row>
    <row r="28" spans="2:41" s="29" customFormat="1" ht="107.25" customHeight="1" thickBot="1" x14ac:dyDescent="0.25">
      <c r="B28" s="24"/>
      <c r="C28" s="82"/>
      <c r="D28" s="82"/>
      <c r="E28" s="82"/>
      <c r="F28" s="83"/>
      <c r="G28" s="83"/>
      <c r="H28" s="83"/>
      <c r="I28" s="83"/>
      <c r="J28" s="24"/>
      <c r="K28" s="24"/>
      <c r="L28" s="24"/>
      <c r="M28" s="24"/>
      <c r="N28" s="24"/>
      <c r="O28" s="24"/>
      <c r="P28" s="24"/>
      <c r="Q28" s="24"/>
      <c r="R28" s="24"/>
      <c r="S28" s="24"/>
      <c r="T28" s="24"/>
      <c r="U28" s="24"/>
      <c r="V28" s="24"/>
      <c r="W28" s="24"/>
      <c r="X28" s="24"/>
      <c r="Y28" s="24"/>
      <c r="Z28" s="24"/>
      <c r="AA28" s="24"/>
      <c r="AB28" s="24"/>
      <c r="AC28" s="24"/>
      <c r="AD28" s="24"/>
      <c r="AE28" s="42"/>
      <c r="AG28" s="113">
        <v>1</v>
      </c>
      <c r="AH28" s="114"/>
      <c r="AI28" s="114"/>
      <c r="AJ28" s="115">
        <f t="shared" si="6"/>
        <v>1</v>
      </c>
      <c r="AO28" s="450"/>
    </row>
    <row r="29" spans="2:41" s="28" customFormat="1" ht="80.25" customHeight="1" x14ac:dyDescent="0.2">
      <c r="B29" s="24"/>
      <c r="C29" s="82"/>
      <c r="D29" s="82"/>
      <c r="E29" s="84"/>
      <c r="F29" s="84"/>
      <c r="G29" s="84"/>
      <c r="H29" s="84"/>
      <c r="I29" s="84"/>
      <c r="J29" s="24"/>
      <c r="K29" s="24"/>
      <c r="L29" s="24"/>
      <c r="M29" s="24"/>
      <c r="N29" s="24"/>
      <c r="O29" s="24"/>
      <c r="P29" s="24" t="s">
        <v>744</v>
      </c>
      <c r="Q29" s="24"/>
      <c r="R29" s="24"/>
      <c r="S29" s="24"/>
      <c r="T29" s="24"/>
      <c r="U29" s="24"/>
      <c r="V29" s="24"/>
      <c r="W29" s="24"/>
      <c r="X29" s="24"/>
      <c r="Y29" s="24"/>
      <c r="Z29" s="24"/>
      <c r="AA29" s="24"/>
      <c r="AB29" s="24"/>
      <c r="AC29" s="24"/>
      <c r="AD29" s="24"/>
      <c r="AE29" s="42"/>
      <c r="AG29" s="39"/>
      <c r="AH29" s="49"/>
      <c r="AI29" s="49"/>
      <c r="AJ29" s="40"/>
      <c r="AO29" s="448" t="s">
        <v>77</v>
      </c>
    </row>
    <row r="30" spans="2:41" s="29" customFormat="1" ht="101.25" customHeight="1" x14ac:dyDescent="0.2">
      <c r="B30" s="24"/>
      <c r="C30" s="83"/>
      <c r="D30" s="83"/>
      <c r="E30" s="48"/>
      <c r="F30" s="48"/>
      <c r="G30" s="48"/>
      <c r="H30" s="48"/>
      <c r="I30" s="48"/>
      <c r="J30" s="24"/>
      <c r="K30" s="24"/>
      <c r="L30" s="24"/>
      <c r="M30" s="24"/>
      <c r="N30" s="24"/>
      <c r="O30" s="24"/>
      <c r="P30" s="24"/>
      <c r="Q30" s="24"/>
      <c r="R30" s="24"/>
      <c r="S30" s="24"/>
      <c r="T30" s="24"/>
      <c r="U30" s="24"/>
      <c r="V30" s="24"/>
      <c r="W30" s="24"/>
      <c r="X30" s="24"/>
      <c r="Y30" s="24"/>
      <c r="Z30" s="24"/>
      <c r="AA30" s="24"/>
      <c r="AB30" s="24"/>
      <c r="AC30" s="24"/>
      <c r="AD30" s="24"/>
      <c r="AE30" s="42"/>
      <c r="AG30" s="113">
        <v>1</v>
      </c>
      <c r="AH30" s="114"/>
      <c r="AI30" s="114"/>
      <c r="AJ30" s="115">
        <f t="shared" si="6"/>
        <v>1</v>
      </c>
      <c r="AO30" s="449"/>
    </row>
    <row r="31" spans="2:41" s="29" customFormat="1" ht="109.5" customHeight="1" x14ac:dyDescent="0.2">
      <c r="B31" s="24"/>
      <c r="C31" s="83"/>
      <c r="D31" s="83"/>
      <c r="I31" s="24"/>
      <c r="J31" s="24"/>
      <c r="K31" s="24"/>
      <c r="L31" s="24"/>
      <c r="M31" s="24"/>
      <c r="N31" s="24"/>
      <c r="O31" s="24"/>
      <c r="P31" s="24"/>
      <c r="Q31" s="24"/>
      <c r="R31" s="24"/>
      <c r="S31" s="24"/>
      <c r="T31" s="24"/>
      <c r="U31" s="24"/>
      <c r="V31" s="24"/>
      <c r="W31" s="24"/>
      <c r="X31" s="24"/>
      <c r="Y31" s="24"/>
      <c r="Z31" s="24"/>
      <c r="AA31" s="24"/>
      <c r="AB31" s="24"/>
      <c r="AC31" s="24"/>
      <c r="AD31" s="24"/>
      <c r="AE31" s="42"/>
      <c r="AG31" s="113"/>
      <c r="AH31" s="114">
        <v>1</v>
      </c>
      <c r="AI31" s="114"/>
      <c r="AJ31" s="115">
        <f t="shared" si="6"/>
        <v>1</v>
      </c>
      <c r="AO31" s="449"/>
    </row>
    <row r="32" spans="2:41" s="29" customFormat="1" ht="67.5" customHeight="1" x14ac:dyDescent="0.2">
      <c r="B32" s="24"/>
      <c r="C32" s="83"/>
      <c r="D32" s="83"/>
      <c r="H32" s="24"/>
      <c r="I32" s="24"/>
      <c r="J32" s="24"/>
      <c r="K32" s="24"/>
      <c r="L32" s="24"/>
      <c r="M32" s="24"/>
      <c r="N32" s="24"/>
      <c r="O32" s="24"/>
      <c r="P32" s="24"/>
      <c r="Q32" s="24"/>
      <c r="R32" s="24"/>
      <c r="S32" s="24"/>
      <c r="T32" s="24"/>
      <c r="U32" s="24"/>
      <c r="V32" s="24"/>
      <c r="W32" s="24"/>
      <c r="X32" s="24"/>
      <c r="Y32" s="24"/>
      <c r="Z32" s="24"/>
      <c r="AA32" s="24"/>
      <c r="AB32" s="24"/>
      <c r="AC32" s="24"/>
      <c r="AD32" s="24"/>
      <c r="AE32" s="42"/>
      <c r="AG32" s="113"/>
      <c r="AH32" s="114">
        <v>1</v>
      </c>
      <c r="AI32" s="114"/>
      <c r="AJ32" s="115">
        <v>1</v>
      </c>
      <c r="AO32" s="449"/>
    </row>
    <row r="33" spans="2:41" s="29" customFormat="1" ht="83.25" customHeight="1" x14ac:dyDescent="0.2">
      <c r="B33" s="24"/>
      <c r="C33" s="82"/>
      <c r="D33" s="82"/>
      <c r="G33" s="24"/>
      <c r="H33" s="24"/>
      <c r="I33" s="24"/>
      <c r="J33" s="24"/>
      <c r="K33" s="24"/>
      <c r="L33" s="24"/>
      <c r="M33" s="24"/>
      <c r="N33" s="24"/>
      <c r="O33" s="24"/>
      <c r="P33" s="24"/>
      <c r="Q33" s="24"/>
      <c r="R33" s="24"/>
      <c r="S33" s="24"/>
      <c r="T33" s="24"/>
      <c r="U33" s="24"/>
      <c r="V33" s="24"/>
      <c r="W33" s="24"/>
      <c r="X33" s="24"/>
      <c r="Y33" s="24"/>
      <c r="Z33" s="24"/>
      <c r="AA33" s="24"/>
      <c r="AB33" s="24"/>
      <c r="AC33" s="24"/>
      <c r="AD33" s="24"/>
      <c r="AE33" s="42"/>
      <c r="AG33" s="113"/>
      <c r="AH33" s="114">
        <v>1</v>
      </c>
      <c r="AI33" s="114"/>
      <c r="AJ33" s="115">
        <v>1</v>
      </c>
      <c r="AO33" s="449"/>
    </row>
    <row r="34" spans="2:41" s="29" customFormat="1" ht="75.75" customHeight="1" thickBot="1" x14ac:dyDescent="0.25">
      <c r="B34" s="24"/>
      <c r="C34" s="82"/>
      <c r="D34" s="82"/>
      <c r="G34" s="24"/>
      <c r="H34" s="24"/>
      <c r="I34" s="24"/>
      <c r="J34" s="24"/>
      <c r="K34" s="24"/>
      <c r="L34" s="24"/>
      <c r="M34" s="24"/>
      <c r="N34" s="24"/>
      <c r="O34" s="24"/>
      <c r="P34" s="24"/>
      <c r="Q34" s="24"/>
      <c r="R34" s="24"/>
      <c r="S34" s="24"/>
      <c r="T34" s="24"/>
      <c r="U34" s="24"/>
      <c r="V34" s="24"/>
      <c r="W34" s="24"/>
      <c r="X34" s="24"/>
      <c r="Y34" s="24"/>
      <c r="Z34" s="24"/>
      <c r="AA34" s="24"/>
      <c r="AB34" s="24"/>
      <c r="AC34" s="24"/>
      <c r="AD34" s="24"/>
      <c r="AE34" s="42"/>
      <c r="AG34" s="113"/>
      <c r="AH34" s="114"/>
      <c r="AI34" s="114"/>
      <c r="AJ34" s="115"/>
      <c r="AO34" s="450"/>
    </row>
    <row r="35" spans="2:41" s="29" customFormat="1" ht="73.5" customHeight="1" x14ac:dyDescent="0.2">
      <c r="B35" s="24"/>
      <c r="C35" s="82"/>
      <c r="D35" s="82"/>
      <c r="F35" s="24"/>
      <c r="G35" s="24"/>
      <c r="H35" s="24"/>
      <c r="I35" s="24"/>
      <c r="J35" s="24"/>
      <c r="K35" s="24"/>
      <c r="L35" s="24"/>
      <c r="M35" s="24"/>
      <c r="N35" s="24"/>
      <c r="O35" s="24"/>
      <c r="P35" s="24"/>
      <c r="Q35" s="24"/>
      <c r="R35" s="24"/>
      <c r="S35" s="24"/>
      <c r="T35" s="24"/>
      <c r="U35" s="24"/>
      <c r="V35" s="24"/>
      <c r="W35" s="24"/>
      <c r="X35" s="24"/>
      <c r="Y35" s="24"/>
      <c r="Z35" s="24"/>
      <c r="AA35" s="24"/>
      <c r="AB35" s="24"/>
      <c r="AC35" s="24"/>
      <c r="AD35" s="24"/>
      <c r="AE35" s="42"/>
      <c r="AG35" s="113"/>
      <c r="AH35" s="114">
        <v>1</v>
      </c>
      <c r="AI35" s="114"/>
      <c r="AJ35" s="115">
        <v>1</v>
      </c>
      <c r="AO35" s="448" t="s">
        <v>78</v>
      </c>
    </row>
    <row r="36" spans="2:41" s="29" customFormat="1" ht="58.5" customHeight="1" x14ac:dyDescent="0.2">
      <c r="B36" s="24"/>
      <c r="C36" s="83"/>
      <c r="D36" s="83"/>
      <c r="J36" s="24"/>
      <c r="K36" s="24"/>
      <c r="L36" s="24"/>
      <c r="M36" s="24"/>
      <c r="N36" s="24"/>
      <c r="O36" s="24"/>
      <c r="P36" s="24"/>
      <c r="Q36" s="24"/>
      <c r="R36" s="24"/>
      <c r="S36" s="24"/>
      <c r="T36" s="24"/>
      <c r="U36" s="24"/>
      <c r="V36" s="24"/>
      <c r="W36" s="24"/>
      <c r="X36" s="24"/>
      <c r="Y36" s="24"/>
      <c r="Z36" s="24"/>
      <c r="AA36" s="24"/>
      <c r="AB36" s="24"/>
      <c r="AC36" s="24"/>
      <c r="AD36" s="24"/>
      <c r="AE36" s="42"/>
      <c r="AG36" s="113">
        <v>1</v>
      </c>
      <c r="AH36" s="114"/>
      <c r="AI36" s="114"/>
      <c r="AJ36" s="115">
        <v>1</v>
      </c>
      <c r="AO36" s="449"/>
    </row>
    <row r="37" spans="2:41" s="29" customFormat="1" ht="73.5" customHeight="1" x14ac:dyDescent="0.2">
      <c r="B37" s="24"/>
      <c r="C37" s="83"/>
      <c r="D37" s="83"/>
      <c r="E37" s="24"/>
      <c r="F37" s="24"/>
      <c r="G37" s="24"/>
      <c r="H37" s="24"/>
      <c r="I37" s="24"/>
      <c r="J37" s="24"/>
      <c r="K37" s="24"/>
      <c r="L37" s="24"/>
      <c r="M37" s="24"/>
      <c r="N37" s="24"/>
      <c r="O37" s="24"/>
      <c r="P37" s="24"/>
      <c r="Q37" s="24"/>
      <c r="R37" s="24"/>
      <c r="S37" s="24"/>
      <c r="T37" s="24"/>
      <c r="U37" s="24"/>
      <c r="V37" s="24"/>
      <c r="W37" s="24"/>
      <c r="X37" s="24"/>
      <c r="Y37" s="24"/>
      <c r="Z37" s="24"/>
      <c r="AA37" s="24"/>
      <c r="AB37" s="24"/>
      <c r="AC37" s="24"/>
      <c r="AD37" s="24"/>
      <c r="AE37" s="42"/>
      <c r="AG37" s="113"/>
      <c r="AH37" s="114">
        <v>1</v>
      </c>
      <c r="AI37" s="114"/>
      <c r="AJ37" s="115">
        <v>1</v>
      </c>
      <c r="AO37" s="449"/>
    </row>
    <row r="38" spans="2:41" s="29" customFormat="1" ht="102" customHeight="1" thickBot="1" x14ac:dyDescent="0.25">
      <c r="B38" s="24"/>
      <c r="C38" s="83"/>
      <c r="D38" s="83"/>
      <c r="E38" s="24"/>
      <c r="F38" s="24"/>
      <c r="G38" s="24"/>
      <c r="H38" s="24"/>
      <c r="I38" s="24"/>
      <c r="J38" s="24"/>
      <c r="K38" s="24"/>
      <c r="L38" s="24"/>
      <c r="M38" s="24"/>
      <c r="N38" s="24"/>
      <c r="O38" s="24"/>
      <c r="P38" s="24"/>
      <c r="Q38" s="24"/>
      <c r="R38" s="24"/>
      <c r="S38" s="24"/>
      <c r="T38" s="24"/>
      <c r="U38" s="24"/>
      <c r="V38" s="24"/>
      <c r="W38" s="24"/>
      <c r="X38" s="24"/>
      <c r="Y38" s="24"/>
      <c r="Z38" s="24"/>
      <c r="AA38" s="24"/>
      <c r="AB38" s="24"/>
      <c r="AC38" s="24"/>
      <c r="AD38" s="24"/>
      <c r="AE38" s="42"/>
      <c r="AG38" s="113">
        <v>1</v>
      </c>
      <c r="AH38" s="114"/>
      <c r="AI38" s="114"/>
      <c r="AJ38" s="115">
        <v>1</v>
      </c>
      <c r="AO38" s="449"/>
    </row>
    <row r="39" spans="2:41" s="29" customFormat="1" ht="86.25" customHeight="1" x14ac:dyDescent="0.2">
      <c r="B39" s="24"/>
      <c r="C39" s="83"/>
      <c r="D39" s="83"/>
      <c r="E39" s="24"/>
      <c r="F39" s="24"/>
      <c r="G39" s="24"/>
      <c r="H39" s="24"/>
      <c r="I39" s="24"/>
      <c r="J39" s="24"/>
      <c r="K39" s="24"/>
      <c r="L39" s="24"/>
      <c r="M39" s="24"/>
      <c r="N39" s="24"/>
      <c r="O39" s="24"/>
      <c r="P39" s="24"/>
      <c r="Q39" s="24"/>
      <c r="R39" s="24"/>
      <c r="S39" s="24"/>
      <c r="T39" s="24"/>
      <c r="U39" s="24"/>
      <c r="V39" s="24"/>
      <c r="W39" s="24"/>
      <c r="X39" s="24"/>
      <c r="Y39" s="24"/>
      <c r="Z39" s="24"/>
      <c r="AA39" s="24"/>
      <c r="AB39" s="24"/>
      <c r="AC39" s="24"/>
      <c r="AD39" s="24"/>
      <c r="AE39" s="42"/>
      <c r="AG39" s="113"/>
      <c r="AH39" s="114">
        <v>1</v>
      </c>
      <c r="AI39" s="114"/>
      <c r="AJ39" s="115">
        <v>1</v>
      </c>
      <c r="AO39" s="451" t="s">
        <v>79</v>
      </c>
    </row>
    <row r="40" spans="2:41" s="29" customFormat="1" ht="70.5" customHeight="1" thickBot="1" x14ac:dyDescent="0.25">
      <c r="B40" s="24"/>
      <c r="C40" s="83"/>
      <c r="D40" s="83"/>
      <c r="E40" s="24"/>
      <c r="F40" s="24"/>
      <c r="G40" s="24"/>
      <c r="H40" s="24"/>
      <c r="I40" s="24"/>
      <c r="J40" s="24"/>
      <c r="K40" s="24"/>
      <c r="L40" s="24"/>
      <c r="M40" s="24"/>
      <c r="N40" s="24"/>
      <c r="O40" s="24"/>
      <c r="P40" s="24"/>
      <c r="Q40" s="24"/>
      <c r="R40" s="24"/>
      <c r="S40" s="24"/>
      <c r="T40" s="24"/>
      <c r="U40" s="24"/>
      <c r="V40" s="24"/>
      <c r="W40" s="24"/>
      <c r="X40" s="24"/>
      <c r="Y40" s="24"/>
      <c r="Z40" s="24"/>
      <c r="AA40" s="24"/>
      <c r="AB40" s="24"/>
      <c r="AC40" s="24"/>
      <c r="AD40" s="24"/>
      <c r="AE40" s="42"/>
      <c r="AG40" s="113">
        <v>1</v>
      </c>
      <c r="AH40" s="114"/>
      <c r="AI40" s="114"/>
      <c r="AJ40" s="115">
        <v>1</v>
      </c>
      <c r="AO40" s="452"/>
    </row>
    <row r="41" spans="2:41" s="29" customFormat="1" ht="62.25" customHeight="1" x14ac:dyDescent="0.2">
      <c r="B41" s="24"/>
      <c r="C41" s="83"/>
      <c r="D41" s="83"/>
      <c r="E41" s="24"/>
      <c r="F41" s="24"/>
      <c r="G41" s="24"/>
      <c r="H41" s="24"/>
      <c r="I41" s="24"/>
      <c r="J41" s="24"/>
      <c r="K41" s="24"/>
      <c r="L41" s="24"/>
      <c r="M41" s="24"/>
      <c r="N41" s="24"/>
      <c r="O41" s="24"/>
      <c r="P41" s="24"/>
      <c r="Q41" s="24"/>
      <c r="R41" s="24"/>
      <c r="S41" s="24"/>
      <c r="T41" s="24"/>
      <c r="U41" s="24"/>
      <c r="V41" s="24"/>
      <c r="W41" s="24"/>
      <c r="X41" s="24"/>
      <c r="Y41" s="24"/>
      <c r="Z41" s="24"/>
      <c r="AA41" s="24"/>
      <c r="AB41" s="24"/>
      <c r="AC41" s="24"/>
      <c r="AD41" s="24"/>
      <c r="AE41" s="42"/>
      <c r="AG41" s="113">
        <v>1</v>
      </c>
      <c r="AH41" s="114"/>
      <c r="AI41" s="114"/>
      <c r="AJ41" s="115">
        <v>1</v>
      </c>
      <c r="AO41" s="451" t="s">
        <v>80</v>
      </c>
    </row>
    <row r="42" spans="2:41" s="29" customFormat="1" ht="45.75" customHeight="1" x14ac:dyDescent="0.2">
      <c r="B42" s="24"/>
      <c r="C42" s="83"/>
      <c r="D42" s="83"/>
      <c r="E42" s="24"/>
      <c r="F42" s="24"/>
      <c r="G42" s="24"/>
      <c r="H42" s="24"/>
      <c r="I42" s="24"/>
      <c r="J42" s="24"/>
      <c r="K42" s="24"/>
      <c r="L42" s="24"/>
      <c r="M42" s="24"/>
      <c r="N42" s="24"/>
      <c r="O42" s="24"/>
      <c r="P42" s="24"/>
      <c r="Q42" s="24"/>
      <c r="R42" s="24"/>
      <c r="S42" s="24"/>
      <c r="T42" s="24"/>
      <c r="U42" s="24"/>
      <c r="V42" s="24"/>
      <c r="W42" s="24"/>
      <c r="X42" s="24"/>
      <c r="Y42" s="24"/>
      <c r="Z42" s="24"/>
      <c r="AA42" s="24"/>
      <c r="AB42" s="24"/>
      <c r="AC42" s="24"/>
      <c r="AD42" s="24"/>
      <c r="AE42" s="42"/>
      <c r="AG42" s="113"/>
      <c r="AH42" s="114"/>
      <c r="AI42" s="114">
        <v>1</v>
      </c>
      <c r="AJ42" s="115">
        <v>1</v>
      </c>
      <c r="AO42" s="453"/>
    </row>
    <row r="43" spans="2:41" s="29" customFormat="1" ht="43.5" customHeight="1" x14ac:dyDescent="0.2">
      <c r="B43" s="24"/>
      <c r="C43" s="83"/>
      <c r="D43" s="83"/>
      <c r="E43" s="24"/>
      <c r="F43" s="24"/>
      <c r="G43" s="24"/>
      <c r="H43" s="24"/>
      <c r="I43" s="24"/>
      <c r="J43" s="24"/>
      <c r="K43" s="24"/>
      <c r="L43" s="24"/>
      <c r="M43" s="24"/>
      <c r="N43" s="24"/>
      <c r="O43" s="24"/>
      <c r="P43" s="24"/>
      <c r="Q43" s="24"/>
      <c r="R43" s="24"/>
      <c r="S43" s="24"/>
      <c r="T43" s="24"/>
      <c r="U43" s="24"/>
      <c r="V43" s="24"/>
      <c r="W43" s="24"/>
      <c r="X43" s="24"/>
      <c r="Y43" s="24"/>
      <c r="Z43" s="24"/>
      <c r="AA43" s="24"/>
      <c r="AB43" s="24"/>
      <c r="AC43" s="24"/>
      <c r="AD43" s="24"/>
      <c r="AE43" s="42"/>
      <c r="AG43" s="113">
        <v>1</v>
      </c>
      <c r="AH43" s="114"/>
      <c r="AI43" s="114"/>
      <c r="AJ43" s="115">
        <v>1</v>
      </c>
      <c r="AO43" s="453"/>
    </row>
    <row r="44" spans="2:41" s="29" customFormat="1" ht="61.5" customHeight="1" thickBot="1" x14ac:dyDescent="0.25">
      <c r="B44" s="24"/>
      <c r="C44" s="83"/>
      <c r="D44" s="83"/>
      <c r="J44" s="24"/>
      <c r="K44" s="24"/>
      <c r="L44" s="24"/>
      <c r="M44" s="24"/>
      <c r="N44" s="24"/>
      <c r="O44" s="24"/>
      <c r="P44" s="24"/>
      <c r="Q44" s="24"/>
      <c r="R44" s="24"/>
      <c r="S44" s="24"/>
      <c r="T44" s="24"/>
      <c r="U44" s="24"/>
      <c r="V44" s="24"/>
      <c r="W44" s="24"/>
      <c r="X44" s="24"/>
      <c r="Y44" s="24"/>
      <c r="Z44" s="24"/>
      <c r="AA44" s="24"/>
      <c r="AB44" s="24"/>
      <c r="AC44" s="24"/>
      <c r="AD44" s="24"/>
      <c r="AE44" s="42"/>
      <c r="AG44" s="454"/>
      <c r="AH44" s="455"/>
      <c r="AI44" s="455">
        <v>1</v>
      </c>
      <c r="AJ44" s="456">
        <v>1</v>
      </c>
      <c r="AO44" s="452"/>
    </row>
    <row r="45" spans="2:41" s="29" customFormat="1" ht="70.5" customHeight="1" x14ac:dyDescent="0.2">
      <c r="B45" s="24"/>
      <c r="C45" s="83"/>
      <c r="D45" s="83"/>
      <c r="E45" s="24"/>
      <c r="F45" s="24"/>
      <c r="G45" s="24"/>
      <c r="H45" s="24"/>
      <c r="I45" s="24"/>
      <c r="J45" s="24"/>
      <c r="K45" s="24"/>
      <c r="L45" s="24"/>
      <c r="M45" s="24"/>
      <c r="N45" s="24"/>
      <c r="O45" s="24"/>
      <c r="P45" s="24"/>
      <c r="Q45" s="24"/>
      <c r="R45" s="24"/>
      <c r="S45" s="24"/>
      <c r="T45" s="24"/>
      <c r="U45" s="24"/>
      <c r="V45" s="24"/>
      <c r="W45" s="24"/>
      <c r="X45" s="24"/>
      <c r="Y45" s="24"/>
      <c r="Z45" s="24"/>
      <c r="AA45" s="24"/>
      <c r="AB45" s="24"/>
      <c r="AC45" s="24"/>
      <c r="AD45" s="24"/>
      <c r="AE45" s="42"/>
      <c r="AG45" s="454"/>
      <c r="AH45" s="455"/>
      <c r="AI45" s="455"/>
      <c r="AJ45" s="456"/>
      <c r="AO45" s="448" t="s">
        <v>81</v>
      </c>
    </row>
    <row r="46" spans="2:41" s="29" customFormat="1" ht="59.25" customHeight="1" x14ac:dyDescent="0.2">
      <c r="B46" s="24"/>
      <c r="C46" s="83"/>
      <c r="D46" s="83"/>
      <c r="E46" s="24"/>
      <c r="F46" s="24"/>
      <c r="G46" s="24"/>
      <c r="H46" s="24"/>
      <c r="I46" s="24"/>
      <c r="J46" s="24"/>
      <c r="K46" s="24"/>
      <c r="L46" s="24"/>
      <c r="M46" s="24"/>
      <c r="N46" s="24"/>
      <c r="O46" s="24"/>
      <c r="P46" s="24"/>
      <c r="Q46" s="24"/>
      <c r="R46" s="24"/>
      <c r="S46" s="24"/>
      <c r="T46" s="24"/>
      <c r="U46" s="24"/>
      <c r="V46" s="24"/>
      <c r="W46" s="24"/>
      <c r="X46" s="24"/>
      <c r="Y46" s="24"/>
      <c r="Z46" s="24"/>
      <c r="AA46" s="24"/>
      <c r="AB46" s="24"/>
      <c r="AC46" s="24"/>
      <c r="AD46" s="24"/>
      <c r="AE46" s="42"/>
      <c r="AG46" s="113">
        <v>1</v>
      </c>
      <c r="AH46" s="114"/>
      <c r="AI46" s="114"/>
      <c r="AJ46" s="115">
        <v>1</v>
      </c>
      <c r="AO46" s="449"/>
    </row>
    <row r="47" spans="2:41" s="29" customFormat="1" ht="122.25" customHeight="1" x14ac:dyDescent="0.2">
      <c r="B47" s="24"/>
      <c r="C47" s="83"/>
      <c r="D47" s="83"/>
      <c r="E47" s="24"/>
      <c r="F47" s="24"/>
      <c r="G47" s="24"/>
      <c r="H47" s="24"/>
      <c r="I47" s="24"/>
      <c r="J47" s="24"/>
      <c r="K47" s="24"/>
      <c r="L47" s="24"/>
      <c r="M47" s="24"/>
      <c r="N47" s="24"/>
      <c r="O47" s="24"/>
      <c r="P47" s="24"/>
      <c r="Q47" s="24"/>
      <c r="R47" s="24"/>
      <c r="S47" s="24"/>
      <c r="T47" s="24"/>
      <c r="U47" s="24"/>
      <c r="V47" s="24"/>
      <c r="W47" s="24"/>
      <c r="X47" s="24"/>
      <c r="Y47" s="24"/>
      <c r="Z47" s="24"/>
      <c r="AA47" s="24"/>
      <c r="AB47" s="24"/>
      <c r="AC47" s="24"/>
      <c r="AD47" s="24"/>
      <c r="AE47" s="42"/>
      <c r="AG47" s="113">
        <v>1</v>
      </c>
      <c r="AH47" s="114"/>
      <c r="AI47" s="114"/>
      <c r="AJ47" s="115">
        <v>1</v>
      </c>
      <c r="AO47" s="449"/>
    </row>
    <row r="48" spans="2:41" s="29" customFormat="1" ht="97.5" customHeight="1" x14ac:dyDescent="0.2">
      <c r="B48" s="24"/>
      <c r="C48" s="83"/>
      <c r="D48" s="83"/>
      <c r="E48" s="24"/>
      <c r="F48" s="24"/>
      <c r="G48" s="24"/>
      <c r="H48" s="24"/>
      <c r="I48" s="24"/>
      <c r="J48" s="24"/>
      <c r="K48" s="24"/>
      <c r="L48" s="24"/>
      <c r="M48" s="24"/>
      <c r="N48" s="24"/>
      <c r="O48" s="24"/>
      <c r="P48" s="24"/>
      <c r="Q48" s="24"/>
      <c r="R48" s="24"/>
      <c r="S48" s="24"/>
      <c r="T48" s="24"/>
      <c r="U48" s="24"/>
      <c r="V48" s="24"/>
      <c r="W48" s="24"/>
      <c r="X48" s="24"/>
      <c r="Y48" s="24"/>
      <c r="Z48" s="24"/>
      <c r="AA48" s="24"/>
      <c r="AB48" s="24"/>
      <c r="AC48" s="24"/>
      <c r="AD48" s="24"/>
      <c r="AE48" s="42"/>
      <c r="AG48" s="113">
        <v>1</v>
      </c>
      <c r="AH48" s="114"/>
      <c r="AI48" s="114"/>
      <c r="AJ48" s="115">
        <v>1</v>
      </c>
      <c r="AO48" s="449"/>
    </row>
    <row r="49" spans="2:41" s="29" customFormat="1" ht="49.5" customHeight="1" thickBot="1" x14ac:dyDescent="0.25">
      <c r="B49" s="24"/>
      <c r="C49" s="83"/>
      <c r="D49" s="83"/>
      <c r="E49" s="24"/>
      <c r="F49" s="24"/>
      <c r="G49" s="24"/>
      <c r="H49" s="24"/>
      <c r="I49" s="24"/>
      <c r="J49" s="24"/>
      <c r="K49" s="24"/>
      <c r="L49" s="24"/>
      <c r="M49" s="24"/>
      <c r="N49" s="24"/>
      <c r="O49" s="24"/>
      <c r="P49" s="24"/>
      <c r="Q49" s="24"/>
      <c r="R49" s="24"/>
      <c r="S49" s="24"/>
      <c r="T49" s="24"/>
      <c r="U49" s="24"/>
      <c r="V49" s="24"/>
      <c r="W49" s="24"/>
      <c r="X49" s="24"/>
      <c r="Y49" s="24"/>
      <c r="Z49" s="24"/>
      <c r="AA49" s="24"/>
      <c r="AB49" s="24"/>
      <c r="AC49" s="24"/>
      <c r="AD49" s="24"/>
      <c r="AE49" s="42"/>
      <c r="AG49" s="113">
        <v>1</v>
      </c>
      <c r="AH49" s="114"/>
      <c r="AI49" s="114"/>
      <c r="AJ49" s="115">
        <v>1</v>
      </c>
      <c r="AO49" s="450"/>
    </row>
    <row r="50" spans="2:41" s="29" customFormat="1" ht="61.5" customHeight="1" x14ac:dyDescent="0.2">
      <c r="B50" s="24"/>
      <c r="C50" s="83"/>
      <c r="D50" s="83"/>
      <c r="E50" s="24"/>
      <c r="F50" s="24"/>
      <c r="G50" s="24"/>
      <c r="H50" s="24"/>
      <c r="I50" s="24"/>
      <c r="J50" s="24"/>
      <c r="K50" s="24"/>
      <c r="L50" s="24"/>
      <c r="M50" s="24"/>
      <c r="N50" s="24"/>
      <c r="O50" s="24"/>
      <c r="P50" s="24"/>
      <c r="Q50" s="24"/>
      <c r="R50" s="24"/>
      <c r="S50" s="24"/>
      <c r="T50" s="24"/>
      <c r="U50" s="24"/>
      <c r="V50" s="24"/>
      <c r="W50" s="24"/>
      <c r="X50" s="24"/>
      <c r="Y50" s="24"/>
      <c r="Z50" s="24"/>
      <c r="AA50" s="24"/>
      <c r="AB50" s="24"/>
      <c r="AC50" s="24"/>
      <c r="AD50" s="24"/>
      <c r="AE50" s="42"/>
      <c r="AG50" s="113"/>
      <c r="AH50" s="114">
        <v>1</v>
      </c>
      <c r="AI50" s="114"/>
      <c r="AJ50" s="115">
        <v>1</v>
      </c>
      <c r="AO50" s="448" t="s">
        <v>82</v>
      </c>
    </row>
    <row r="51" spans="2:41" s="29" customFormat="1" ht="44.25" customHeight="1" x14ac:dyDescent="0.2">
      <c r="B51" s="24"/>
      <c r="C51" s="83"/>
      <c r="D51" s="83"/>
      <c r="E51" s="24"/>
      <c r="F51" s="24"/>
      <c r="G51" s="24"/>
      <c r="H51" s="24"/>
      <c r="I51" s="24"/>
      <c r="J51" s="24"/>
      <c r="K51" s="24"/>
      <c r="L51" s="24"/>
      <c r="M51" s="24"/>
      <c r="N51" s="24"/>
      <c r="O51" s="24"/>
      <c r="P51" s="24"/>
      <c r="Q51" s="24"/>
      <c r="R51" s="24"/>
      <c r="S51" s="24"/>
      <c r="T51" s="24"/>
      <c r="U51" s="24"/>
      <c r="V51" s="24"/>
      <c r="W51" s="24"/>
      <c r="X51" s="24"/>
      <c r="Y51" s="24"/>
      <c r="Z51" s="24"/>
      <c r="AA51" s="24"/>
      <c r="AB51" s="24"/>
      <c r="AC51" s="24"/>
      <c r="AD51" s="24"/>
      <c r="AE51" s="42"/>
      <c r="AG51" s="113">
        <v>1</v>
      </c>
      <c r="AH51" s="114"/>
      <c r="AI51" s="114"/>
      <c r="AJ51" s="115">
        <v>1</v>
      </c>
      <c r="AO51" s="449"/>
    </row>
    <row r="52" spans="2:41" s="29" customFormat="1" ht="97.5" customHeight="1" x14ac:dyDescent="0.2">
      <c r="B52" s="24"/>
      <c r="C52" s="83"/>
      <c r="D52" s="83"/>
      <c r="J52" s="24"/>
      <c r="K52" s="24"/>
      <c r="L52" s="24"/>
      <c r="M52" s="24"/>
      <c r="N52" s="24"/>
      <c r="O52" s="24"/>
      <c r="P52" s="24"/>
      <c r="Q52" s="24"/>
      <c r="R52" s="24"/>
      <c r="S52" s="24"/>
      <c r="T52" s="24"/>
      <c r="U52" s="24"/>
      <c r="V52" s="24"/>
      <c r="W52" s="24"/>
      <c r="X52" s="24"/>
      <c r="Y52" s="24"/>
      <c r="Z52" s="24"/>
      <c r="AA52" s="24"/>
      <c r="AB52" s="24"/>
      <c r="AC52" s="24"/>
      <c r="AD52" s="24"/>
      <c r="AE52" s="42"/>
      <c r="AG52" s="113">
        <v>1</v>
      </c>
      <c r="AH52" s="114"/>
      <c r="AI52" s="114"/>
      <c r="AJ52" s="115">
        <v>1</v>
      </c>
      <c r="AO52" s="449"/>
    </row>
    <row r="53" spans="2:41" s="29" customFormat="1" ht="54.75" customHeight="1" thickBot="1" x14ac:dyDescent="0.25">
      <c r="B53" s="24"/>
      <c r="C53" s="83"/>
      <c r="D53" s="83"/>
      <c r="E53" s="24"/>
      <c r="F53" s="24"/>
      <c r="G53" s="24"/>
      <c r="H53" s="24"/>
      <c r="I53" s="24"/>
      <c r="J53" s="24"/>
      <c r="K53" s="24"/>
      <c r="L53" s="24"/>
      <c r="M53" s="24"/>
      <c r="N53" s="24"/>
      <c r="O53" s="24"/>
      <c r="P53" s="24"/>
      <c r="Q53" s="24"/>
      <c r="R53" s="24"/>
      <c r="S53" s="24"/>
      <c r="T53" s="24"/>
      <c r="U53" s="24"/>
      <c r="V53" s="24"/>
      <c r="W53" s="24"/>
      <c r="X53" s="24"/>
      <c r="Y53" s="24"/>
      <c r="Z53" s="24"/>
      <c r="AA53" s="24"/>
      <c r="AB53" s="24"/>
      <c r="AC53" s="24"/>
      <c r="AD53" s="24"/>
      <c r="AE53" s="42"/>
      <c r="AG53" s="113">
        <v>1</v>
      </c>
      <c r="AH53" s="114"/>
      <c r="AI53" s="114"/>
      <c r="AJ53" s="115">
        <v>1</v>
      </c>
      <c r="AO53" s="450"/>
    </row>
    <row r="54" spans="2:41" s="29" customFormat="1" ht="83.25" customHeight="1" x14ac:dyDescent="0.2">
      <c r="B54" s="24"/>
      <c r="C54" s="83"/>
      <c r="D54" s="83"/>
      <c r="E54" s="24"/>
      <c r="F54" s="24"/>
      <c r="G54" s="24"/>
      <c r="H54" s="24"/>
      <c r="I54" s="24"/>
      <c r="J54" s="24"/>
      <c r="K54" s="24"/>
      <c r="L54" s="24"/>
      <c r="M54" s="24"/>
      <c r="N54" s="24"/>
      <c r="O54" s="24"/>
      <c r="P54" s="24"/>
      <c r="Q54" s="24"/>
      <c r="R54" s="24"/>
      <c r="S54" s="24"/>
      <c r="T54" s="24"/>
      <c r="U54" s="24"/>
      <c r="V54" s="24"/>
      <c r="W54" s="24"/>
      <c r="X54" s="24"/>
      <c r="Y54" s="24"/>
      <c r="Z54" s="24"/>
      <c r="AA54" s="24"/>
      <c r="AB54" s="24"/>
      <c r="AC54" s="24"/>
      <c r="AD54" s="24"/>
      <c r="AE54" s="42"/>
      <c r="AG54" s="113">
        <v>1</v>
      </c>
      <c r="AH54" s="114"/>
      <c r="AI54" s="114"/>
      <c r="AJ54" s="115">
        <v>1</v>
      </c>
      <c r="AO54" s="448" t="s">
        <v>73</v>
      </c>
    </row>
    <row r="55" spans="2:41" s="29" customFormat="1" ht="82.5" customHeight="1" x14ac:dyDescent="0.2">
      <c r="B55" s="24"/>
      <c r="C55" s="83"/>
      <c r="D55" s="83"/>
      <c r="E55" s="24"/>
      <c r="F55" s="24"/>
      <c r="G55" s="24"/>
      <c r="H55" s="24"/>
      <c r="I55" s="24"/>
      <c r="J55" s="24"/>
      <c r="K55" s="24"/>
      <c r="L55" s="24"/>
      <c r="M55" s="24"/>
      <c r="N55" s="24"/>
      <c r="O55" s="24"/>
      <c r="P55" s="24"/>
      <c r="Q55" s="24"/>
      <c r="R55" s="24"/>
      <c r="S55" s="24"/>
      <c r="T55" s="24"/>
      <c r="U55" s="24"/>
      <c r="V55" s="24"/>
      <c r="W55" s="24"/>
      <c r="X55" s="24"/>
      <c r="Y55" s="24"/>
      <c r="Z55" s="24"/>
      <c r="AA55" s="24"/>
      <c r="AB55" s="24"/>
      <c r="AC55" s="24"/>
      <c r="AD55" s="24"/>
      <c r="AE55" s="42"/>
      <c r="AG55" s="113"/>
      <c r="AH55" s="114"/>
      <c r="AI55" s="114">
        <v>1</v>
      </c>
      <c r="AJ55" s="115">
        <v>1</v>
      </c>
      <c r="AO55" s="449"/>
    </row>
    <row r="56" spans="2:41" s="29" customFormat="1" ht="67.5" customHeight="1" x14ac:dyDescent="0.2">
      <c r="B56" s="24"/>
      <c r="C56" s="83"/>
      <c r="D56" s="83"/>
      <c r="E56" s="24"/>
      <c r="F56" s="24"/>
      <c r="G56" s="24"/>
      <c r="H56" s="24"/>
      <c r="I56" s="24"/>
      <c r="J56" s="24"/>
      <c r="K56" s="24"/>
      <c r="L56" s="24"/>
      <c r="M56" s="24"/>
      <c r="N56" s="24"/>
      <c r="O56" s="24"/>
      <c r="P56" s="24"/>
      <c r="Q56" s="24"/>
      <c r="R56" s="24"/>
      <c r="S56" s="24"/>
      <c r="T56" s="24"/>
      <c r="U56" s="24"/>
      <c r="V56" s="24"/>
      <c r="W56" s="24"/>
      <c r="X56" s="24"/>
      <c r="Y56" s="24"/>
      <c r="Z56" s="24"/>
      <c r="AA56" s="24"/>
      <c r="AB56" s="24"/>
      <c r="AC56" s="24"/>
      <c r="AD56" s="24"/>
      <c r="AE56" s="42"/>
      <c r="AG56" s="113"/>
      <c r="AH56" s="114">
        <v>1</v>
      </c>
      <c r="AI56" s="114"/>
      <c r="AJ56" s="115">
        <v>1</v>
      </c>
      <c r="AO56" s="449"/>
    </row>
    <row r="57" spans="2:41" s="29" customFormat="1" ht="65.25" customHeight="1" thickBot="1" x14ac:dyDescent="0.25">
      <c r="B57" s="24"/>
      <c r="C57" s="83"/>
      <c r="D57" s="83"/>
      <c r="E57" s="24"/>
      <c r="F57" s="24"/>
      <c r="G57" s="24"/>
      <c r="H57" s="24"/>
      <c r="I57" s="24"/>
      <c r="J57" s="24"/>
      <c r="K57" s="24"/>
      <c r="L57" s="24"/>
      <c r="M57" s="24"/>
      <c r="N57" s="24"/>
      <c r="O57" s="24"/>
      <c r="P57" s="24"/>
      <c r="Q57" s="24"/>
      <c r="R57" s="24"/>
      <c r="S57" s="24"/>
      <c r="T57" s="24"/>
      <c r="U57" s="24"/>
      <c r="V57" s="24"/>
      <c r="W57" s="24"/>
      <c r="X57" s="24"/>
      <c r="Y57" s="24"/>
      <c r="Z57" s="24"/>
      <c r="AA57" s="24"/>
      <c r="AB57" s="24"/>
      <c r="AC57" s="24"/>
      <c r="AD57" s="24"/>
      <c r="AE57" s="42"/>
      <c r="AG57" s="113">
        <v>1</v>
      </c>
      <c r="AH57" s="114"/>
      <c r="AI57" s="114"/>
      <c r="AJ57" s="115">
        <v>1</v>
      </c>
      <c r="AO57" s="450"/>
    </row>
    <row r="58" spans="2:41" s="29" customFormat="1" ht="36.75" customHeight="1" x14ac:dyDescent="0.2">
      <c r="B58" s="24"/>
      <c r="C58" s="83"/>
      <c r="D58" s="83"/>
      <c r="E58" s="24"/>
      <c r="F58" s="24"/>
      <c r="G58" s="24"/>
      <c r="H58" s="24"/>
      <c r="I58" s="24"/>
      <c r="J58" s="24"/>
      <c r="K58" s="24"/>
      <c r="L58" s="24"/>
      <c r="M58" s="24"/>
      <c r="N58" s="24"/>
      <c r="O58" s="24"/>
      <c r="P58" s="24"/>
      <c r="Q58" s="24"/>
      <c r="R58" s="24"/>
      <c r="S58" s="24"/>
      <c r="T58" s="24"/>
      <c r="U58" s="24"/>
      <c r="V58" s="24"/>
      <c r="W58" s="24"/>
      <c r="X58" s="24"/>
      <c r="Y58" s="24"/>
      <c r="Z58" s="24"/>
      <c r="AA58" s="24"/>
      <c r="AB58" s="24"/>
      <c r="AC58" s="24"/>
      <c r="AD58" s="24"/>
      <c r="AE58" s="42"/>
      <c r="AG58" s="113"/>
      <c r="AH58" s="114"/>
      <c r="AI58" s="114"/>
      <c r="AJ58" s="115"/>
    </row>
    <row r="59" spans="2:41" s="29" customFormat="1" ht="151.5" customHeight="1" x14ac:dyDescent="0.2">
      <c r="B59" s="24"/>
      <c r="C59" s="83"/>
      <c r="D59" s="83"/>
      <c r="I59" s="24"/>
      <c r="J59" s="24"/>
      <c r="K59" s="24"/>
      <c r="L59" s="24"/>
      <c r="M59" s="24"/>
      <c r="N59" s="24"/>
      <c r="O59" s="24"/>
      <c r="P59" s="24"/>
      <c r="Q59" s="24"/>
      <c r="R59" s="24"/>
      <c r="S59" s="24"/>
      <c r="T59" s="24"/>
      <c r="U59" s="24"/>
      <c r="V59" s="24"/>
      <c r="W59" s="24"/>
      <c r="X59" s="24"/>
      <c r="Y59" s="24"/>
      <c r="Z59" s="24"/>
      <c r="AA59" s="24"/>
      <c r="AB59" s="24"/>
      <c r="AC59" s="24"/>
      <c r="AD59" s="24"/>
      <c r="AE59" s="42"/>
      <c r="AG59" s="113"/>
      <c r="AH59" s="114"/>
      <c r="AI59" s="114">
        <v>1</v>
      </c>
      <c r="AJ59" s="115">
        <v>1</v>
      </c>
    </row>
    <row r="60" spans="2:41" s="29" customFormat="1" ht="100.5" customHeight="1" x14ac:dyDescent="0.2">
      <c r="B60" s="24"/>
      <c r="C60" s="83"/>
      <c r="D60" s="83"/>
      <c r="E60" s="24"/>
      <c r="F60" s="24"/>
      <c r="G60" s="24"/>
      <c r="H60" s="24"/>
      <c r="I60" s="24"/>
      <c r="J60" s="24"/>
      <c r="K60" s="24"/>
      <c r="L60" s="24"/>
      <c r="M60" s="24"/>
      <c r="N60" s="24"/>
      <c r="O60" s="24"/>
      <c r="P60" s="24"/>
      <c r="Q60" s="24"/>
      <c r="R60" s="24"/>
      <c r="S60" s="24"/>
      <c r="T60" s="24"/>
      <c r="U60" s="24"/>
      <c r="V60" s="24"/>
      <c r="W60" s="24"/>
      <c r="X60" s="24"/>
      <c r="Y60" s="24"/>
      <c r="Z60" s="24"/>
      <c r="AA60" s="24"/>
      <c r="AB60" s="24"/>
      <c r="AC60" s="24"/>
      <c r="AD60" s="24"/>
      <c r="AE60" s="42"/>
      <c r="AG60" s="113"/>
      <c r="AH60" s="114"/>
      <c r="AI60" s="114">
        <v>1</v>
      </c>
      <c r="AJ60" s="115">
        <v>1</v>
      </c>
    </row>
    <row r="61" spans="2:41" s="29" customFormat="1" ht="113.25" customHeight="1" x14ac:dyDescent="0.2">
      <c r="B61" s="24"/>
      <c r="C61" s="83"/>
      <c r="D61" s="83"/>
      <c r="E61" s="24"/>
      <c r="F61" s="24"/>
      <c r="G61" s="24"/>
      <c r="H61" s="24"/>
      <c r="I61" s="24"/>
      <c r="J61" s="24"/>
      <c r="K61" s="24"/>
      <c r="L61" s="24"/>
      <c r="M61" s="24"/>
      <c r="N61" s="24"/>
      <c r="O61" s="24"/>
      <c r="P61" s="24"/>
      <c r="Q61" s="24"/>
      <c r="R61" s="24"/>
      <c r="S61" s="24"/>
      <c r="T61" s="24"/>
      <c r="U61" s="24"/>
      <c r="V61" s="24"/>
      <c r="W61" s="24"/>
      <c r="X61" s="24"/>
      <c r="Y61" s="24"/>
      <c r="Z61" s="24"/>
      <c r="AA61" s="24"/>
      <c r="AB61" s="24"/>
      <c r="AC61" s="24"/>
      <c r="AD61" s="24"/>
      <c r="AE61" s="42"/>
      <c r="AG61" s="113"/>
      <c r="AH61" s="114">
        <v>1</v>
      </c>
      <c r="AI61" s="114"/>
      <c r="AJ61" s="115">
        <v>1</v>
      </c>
    </row>
    <row r="62" spans="2:41" ht="54.75" customHeight="1" x14ac:dyDescent="0.2">
      <c r="C62" s="83"/>
      <c r="D62" s="83"/>
      <c r="AE62" s="42"/>
      <c r="AF62" s="29"/>
      <c r="AG62" s="34"/>
      <c r="AH62" s="30">
        <v>1</v>
      </c>
      <c r="AI62" s="30"/>
      <c r="AJ62" s="35">
        <v>1</v>
      </c>
    </row>
    <row r="63" spans="2:41" ht="45.75" customHeight="1" x14ac:dyDescent="0.2">
      <c r="C63" s="83"/>
      <c r="D63" s="83"/>
      <c r="AE63" s="42"/>
      <c r="AF63" s="29"/>
      <c r="AG63" s="34"/>
      <c r="AH63" s="30">
        <v>1</v>
      </c>
      <c r="AI63" s="30"/>
      <c r="AJ63" s="35">
        <v>1</v>
      </c>
    </row>
    <row r="64" spans="2:41" ht="54.75" customHeight="1" x14ac:dyDescent="0.2">
      <c r="C64" s="83"/>
      <c r="D64" s="83"/>
      <c r="AE64" s="42"/>
      <c r="AF64" s="29"/>
      <c r="AG64" s="34"/>
      <c r="AH64" s="30">
        <v>1</v>
      </c>
      <c r="AI64" s="30"/>
      <c r="AJ64" s="35">
        <v>1</v>
      </c>
    </row>
    <row r="65" spans="3:36" ht="201.75" customHeight="1" x14ac:dyDescent="0.2">
      <c r="C65" s="83"/>
      <c r="D65" s="83"/>
      <c r="AE65" s="42"/>
      <c r="AF65" s="29"/>
      <c r="AG65" s="34"/>
      <c r="AH65" s="30">
        <v>1</v>
      </c>
      <c r="AI65" s="30"/>
      <c r="AJ65" s="35">
        <v>1</v>
      </c>
    </row>
    <row r="66" spans="3:36" ht="125.25" customHeight="1" x14ac:dyDescent="0.2">
      <c r="C66" s="83"/>
      <c r="D66" s="83"/>
      <c r="AE66" s="42"/>
      <c r="AF66" s="29"/>
      <c r="AG66" s="34"/>
      <c r="AH66" s="30">
        <v>1</v>
      </c>
      <c r="AI66" s="30"/>
      <c r="AJ66" s="35">
        <v>1</v>
      </c>
    </row>
    <row r="67" spans="3:36" ht="112.5" customHeight="1" thickBot="1" x14ac:dyDescent="0.25">
      <c r="C67" s="83"/>
      <c r="D67" s="83"/>
      <c r="AE67" s="42"/>
      <c r="AG67" s="36">
        <f>SUM(AG9:AG62)</f>
        <v>24</v>
      </c>
      <c r="AH67" s="37">
        <f>SUM(AH9:AH66)</f>
        <v>18</v>
      </c>
      <c r="AI67" s="37">
        <f>SUM(AI9:AI66)</f>
        <v>5</v>
      </c>
      <c r="AJ67" s="38">
        <f>SUM(AJ9:AJ66)</f>
        <v>47</v>
      </c>
    </row>
    <row r="68" spans="3:36" ht="94.5" customHeight="1" x14ac:dyDescent="0.2">
      <c r="C68" s="83"/>
      <c r="D68" s="83"/>
      <c r="AE68" s="42"/>
    </row>
    <row r="69" spans="3:36" ht="100.5" customHeight="1" x14ac:dyDescent="0.2">
      <c r="C69" s="83"/>
      <c r="D69" s="83"/>
      <c r="AE69" s="42"/>
    </row>
    <row r="70" spans="3:36" ht="226.5" customHeight="1" x14ac:dyDescent="0.2">
      <c r="C70" s="83"/>
      <c r="D70" s="83"/>
      <c r="AE70" s="42"/>
    </row>
    <row r="71" spans="3:36" ht="67.5" customHeight="1" x14ac:dyDescent="0.2">
      <c r="C71" s="83"/>
      <c r="D71" s="83"/>
      <c r="AE71" s="42"/>
    </row>
    <row r="72" spans="3:36" ht="90.75" customHeight="1" x14ac:dyDescent="0.2">
      <c r="C72" s="83"/>
      <c r="D72" s="83"/>
      <c r="AE72" s="42"/>
    </row>
    <row r="73" spans="3:36" ht="75" customHeight="1" x14ac:dyDescent="0.2">
      <c r="C73" s="83"/>
      <c r="D73" s="83"/>
      <c r="AE73" s="42"/>
    </row>
    <row r="74" spans="3:36" x14ac:dyDescent="0.2">
      <c r="C74" s="83"/>
      <c r="D74" s="83"/>
      <c r="AE74" s="42"/>
    </row>
    <row r="75" spans="3:36" ht="43.5" customHeight="1" x14ac:dyDescent="0.2">
      <c r="C75" s="83"/>
      <c r="D75" s="83"/>
      <c r="AE75" s="42"/>
    </row>
    <row r="76" spans="3:36" ht="49.5" customHeight="1" x14ac:dyDescent="0.2">
      <c r="C76" s="83"/>
      <c r="D76" s="83"/>
      <c r="AE76" s="42"/>
    </row>
    <row r="77" spans="3:36" ht="232.5" customHeight="1" x14ac:dyDescent="0.2">
      <c r="C77" s="83"/>
      <c r="D77" s="83"/>
      <c r="H77" s="83"/>
      <c r="I77" s="83"/>
      <c r="AE77" s="42"/>
    </row>
    <row r="78" spans="3:36" x14ac:dyDescent="0.2">
      <c r="C78" s="83"/>
      <c r="D78" s="83"/>
      <c r="AE78" s="42"/>
    </row>
    <row r="79" spans="3:36" ht="241.5" customHeight="1" x14ac:dyDescent="0.2">
      <c r="C79" s="83"/>
      <c r="D79" s="83"/>
      <c r="AE79" s="42"/>
    </row>
    <row r="80" spans="3:36" x14ac:dyDescent="0.2">
      <c r="AE80" s="42"/>
    </row>
    <row r="81" spans="31:31" x14ac:dyDescent="0.2">
      <c r="AE81" s="42"/>
    </row>
    <row r="82" spans="31:31" x14ac:dyDescent="0.2">
      <c r="AE82" s="42"/>
    </row>
    <row r="83" spans="31:31" x14ac:dyDescent="0.2">
      <c r="AE83" s="42"/>
    </row>
  </sheetData>
  <autoFilter ref="B8:AC19"/>
  <mergeCells count="56">
    <mergeCell ref="AO50:AO53"/>
    <mergeCell ref="AO54:AO57"/>
    <mergeCell ref="F25:G25"/>
    <mergeCell ref="AO29:AO34"/>
    <mergeCell ref="AO35:AO38"/>
    <mergeCell ref="AO39:AO40"/>
    <mergeCell ref="AO41:AO44"/>
    <mergeCell ref="AG44:AG45"/>
    <mergeCell ref="AH44:AH45"/>
    <mergeCell ref="AI44:AI45"/>
    <mergeCell ref="AJ44:AJ45"/>
    <mergeCell ref="AO45:AO49"/>
    <mergeCell ref="AO21:AO28"/>
    <mergeCell ref="F22:G22"/>
    <mergeCell ref="M22:N22"/>
    <mergeCell ref="O22:P22"/>
    <mergeCell ref="F23:G23"/>
    <mergeCell ref="M23:N23"/>
    <mergeCell ref="O23:P23"/>
    <mergeCell ref="F24:G24"/>
    <mergeCell ref="M24:N24"/>
    <mergeCell ref="O24:P24"/>
    <mergeCell ref="AG7:AJ7"/>
    <mergeCell ref="B9:B19"/>
    <mergeCell ref="AE9:AE19"/>
    <mergeCell ref="Q6:U7"/>
    <mergeCell ref="V6:AE6"/>
    <mergeCell ref="V7:Y7"/>
    <mergeCell ref="B4:F4"/>
    <mergeCell ref="G4:N4"/>
    <mergeCell ref="O4:T4"/>
    <mergeCell ref="U4:AA4"/>
    <mergeCell ref="AB4:AE4"/>
    <mergeCell ref="B2:AE2"/>
    <mergeCell ref="B3:F3"/>
    <mergeCell ref="G3:N3"/>
    <mergeCell ref="O3:T3"/>
    <mergeCell ref="U3:AA3"/>
    <mergeCell ref="AB3:AE3"/>
    <mergeCell ref="B5:AE5"/>
    <mergeCell ref="M21:P21"/>
    <mergeCell ref="B6:I6"/>
    <mergeCell ref="J6:N7"/>
    <mergeCell ref="O6:P6"/>
    <mergeCell ref="B7:B8"/>
    <mergeCell ref="C7:C8"/>
    <mergeCell ref="D7:D8"/>
    <mergeCell ref="O7:P7"/>
    <mergeCell ref="H21:K21"/>
    <mergeCell ref="Z7:AD7"/>
    <mergeCell ref="AE7:AE8"/>
    <mergeCell ref="H26:I26"/>
    <mergeCell ref="H22:I22"/>
    <mergeCell ref="H23:I23"/>
    <mergeCell ref="H24:I24"/>
    <mergeCell ref="H25:I25"/>
  </mergeCells>
  <conditionalFormatting sqref="N9:P9 N10 P10 N11:P14 U9:U14 O18:P19">
    <cfRule type="cellIs" dxfId="329" priority="97" operator="equal">
      <formula>5</formula>
    </cfRule>
    <cfRule type="cellIs" priority="98" operator="equal">
      <formula>5</formula>
    </cfRule>
    <cfRule type="cellIs" dxfId="328" priority="99" operator="between">
      <formula>6</formula>
      <formula>30</formula>
    </cfRule>
    <cfRule type="cellIs" dxfId="327" priority="100" operator="between">
      <formula>31</formula>
      <formula>60</formula>
    </cfRule>
  </conditionalFormatting>
  <conditionalFormatting sqref="N9:P9 N10 P10 N11:P14 U9:Y14 O18:P19 V18:Y19">
    <cfRule type="containsErrors" dxfId="326" priority="96">
      <formula>ISERROR(N9)</formula>
    </cfRule>
  </conditionalFormatting>
  <conditionalFormatting sqref="J9:J14 L9:L14 Q9:Q14 S9:S14 S18:S19 Q18:Q19 L18:L19 J18:J19">
    <cfRule type="containsText" dxfId="325" priority="95" operator="containsText" text="N/A">
      <formula>NOT(ISERROR(SEARCH("N/A",J9)))</formula>
    </cfRule>
  </conditionalFormatting>
  <conditionalFormatting sqref="M23 O23">
    <cfRule type="cellIs" dxfId="324" priority="82" operator="equal">
      <formula>5</formula>
    </cfRule>
    <cfRule type="cellIs" priority="83" operator="equal">
      <formula>5</formula>
    </cfRule>
    <cfRule type="cellIs" dxfId="323" priority="84" operator="between">
      <formula>6</formula>
      <formula>30</formula>
    </cfRule>
    <cfRule type="cellIs" dxfId="322" priority="85" operator="between">
      <formula>31</formula>
      <formula>60</formula>
    </cfRule>
  </conditionalFormatting>
  <conditionalFormatting sqref="M23 O23">
    <cfRule type="containsErrors" dxfId="321" priority="81">
      <formula>ISERROR(M23)</formula>
    </cfRule>
  </conditionalFormatting>
  <conditionalFormatting sqref="K9:K14">
    <cfRule type="containsText" dxfId="320" priority="80" operator="containsText" text="N/A">
      <formula>NOT(ISERROR(SEARCH("N/A",K9)))</formula>
    </cfRule>
  </conditionalFormatting>
  <conditionalFormatting sqref="M9:M14">
    <cfRule type="containsText" dxfId="319" priority="79" operator="containsText" text="N/A">
      <formula>NOT(ISERROR(SEARCH("N/A",M9)))</formula>
    </cfRule>
  </conditionalFormatting>
  <conditionalFormatting sqref="R9:R14">
    <cfRule type="containsText" dxfId="318" priority="78" operator="containsText" text="N/A">
      <formula>NOT(ISERROR(SEARCH("N/A",R9)))</formula>
    </cfRule>
  </conditionalFormatting>
  <conditionalFormatting sqref="T9:T14">
    <cfRule type="containsText" dxfId="317" priority="77" operator="containsText" text="N/A">
      <formula>NOT(ISERROR(SEARCH("N/A",T9)))</formula>
    </cfRule>
  </conditionalFormatting>
  <conditionalFormatting sqref="N15:P15">
    <cfRule type="cellIs" dxfId="316" priority="54" operator="equal">
      <formula>5</formula>
    </cfRule>
    <cfRule type="cellIs" priority="55" operator="equal">
      <formula>5</formula>
    </cfRule>
    <cfRule type="cellIs" dxfId="315" priority="56" operator="between">
      <formula>6</formula>
      <formula>30</formula>
    </cfRule>
    <cfRule type="cellIs" dxfId="314" priority="57" operator="between">
      <formula>31</formula>
      <formula>60</formula>
    </cfRule>
  </conditionalFormatting>
  <conditionalFormatting sqref="N15:P15">
    <cfRule type="containsErrors" dxfId="313" priority="53">
      <formula>ISERROR(N15)</formula>
    </cfRule>
  </conditionalFormatting>
  <conditionalFormatting sqref="J15">
    <cfRule type="containsText" dxfId="312" priority="52" operator="containsText" text="N/A">
      <formula>NOT(ISERROR(SEARCH("N/A",J15)))</formula>
    </cfRule>
  </conditionalFormatting>
  <conditionalFormatting sqref="L15">
    <cfRule type="containsText" dxfId="311" priority="51" operator="containsText" text="N/A">
      <formula>NOT(ISERROR(SEARCH("N/A",L15)))</formula>
    </cfRule>
  </conditionalFormatting>
  <conditionalFormatting sqref="V15:Y15">
    <cfRule type="containsErrors" dxfId="310" priority="50">
      <formula>ISERROR(V15)</formula>
    </cfRule>
  </conditionalFormatting>
  <conditionalFormatting sqref="U15">
    <cfRule type="cellIs" dxfId="309" priority="46" operator="equal">
      <formula>5</formula>
    </cfRule>
    <cfRule type="cellIs" priority="47" operator="equal">
      <formula>5</formula>
    </cfRule>
    <cfRule type="cellIs" dxfId="308" priority="48" operator="between">
      <formula>6</formula>
      <formula>30</formula>
    </cfRule>
    <cfRule type="cellIs" dxfId="307" priority="49" operator="between">
      <formula>31</formula>
      <formula>60</formula>
    </cfRule>
  </conditionalFormatting>
  <conditionalFormatting sqref="U15">
    <cfRule type="containsErrors" dxfId="306" priority="45">
      <formula>ISERROR(U15)</formula>
    </cfRule>
  </conditionalFormatting>
  <conditionalFormatting sqref="Q15">
    <cfRule type="containsText" dxfId="305" priority="44" operator="containsText" text="N/A">
      <formula>NOT(ISERROR(SEARCH("N/A",Q15)))</formula>
    </cfRule>
  </conditionalFormatting>
  <conditionalFormatting sqref="S15">
    <cfRule type="containsText" dxfId="304" priority="43" operator="containsText" text="N/A">
      <formula>NOT(ISERROR(SEARCH("N/A",S15)))</formula>
    </cfRule>
  </conditionalFormatting>
  <conditionalFormatting sqref="K15">
    <cfRule type="containsText" dxfId="303" priority="42" operator="containsText" text="N/A">
      <formula>NOT(ISERROR(SEARCH("N/A",K15)))</formula>
    </cfRule>
  </conditionalFormatting>
  <conditionalFormatting sqref="M15">
    <cfRule type="containsText" dxfId="302" priority="41" operator="containsText" text="N/A">
      <formula>NOT(ISERROR(SEARCH("N/A",M15)))</formula>
    </cfRule>
  </conditionalFormatting>
  <conditionalFormatting sqref="R15">
    <cfRule type="containsText" dxfId="301" priority="40" operator="containsText" text="N/A">
      <formula>NOT(ISERROR(SEARCH("N/A",R15)))</formula>
    </cfRule>
  </conditionalFormatting>
  <conditionalFormatting sqref="T15">
    <cfRule type="containsText" dxfId="300" priority="39" operator="containsText" text="N/A">
      <formula>NOT(ISERROR(SEARCH("N/A",T15)))</formula>
    </cfRule>
  </conditionalFormatting>
  <conditionalFormatting sqref="P16 N16">
    <cfRule type="cellIs" dxfId="299" priority="35" operator="equal">
      <formula>5</formula>
    </cfRule>
    <cfRule type="cellIs" priority="36" operator="equal">
      <formula>5</formula>
    </cfRule>
    <cfRule type="cellIs" dxfId="298" priority="37" operator="between">
      <formula>6</formula>
      <formula>30</formula>
    </cfRule>
    <cfRule type="cellIs" dxfId="297" priority="38" operator="between">
      <formula>31</formula>
      <formula>60</formula>
    </cfRule>
  </conditionalFormatting>
  <conditionalFormatting sqref="P16 N16">
    <cfRule type="containsErrors" dxfId="296" priority="34">
      <formula>ISERROR(N16)</formula>
    </cfRule>
  </conditionalFormatting>
  <conditionalFormatting sqref="J16">
    <cfRule type="containsText" dxfId="295" priority="33" operator="containsText" text="N/A">
      <formula>NOT(ISERROR(SEARCH("N/A",J16)))</formula>
    </cfRule>
  </conditionalFormatting>
  <conditionalFormatting sqref="L16">
    <cfRule type="containsText" dxfId="294" priority="32" operator="containsText" text="N/A">
      <formula>NOT(ISERROR(SEARCH("N/A",L16)))</formula>
    </cfRule>
  </conditionalFormatting>
  <conditionalFormatting sqref="V16:Y16">
    <cfRule type="containsErrors" dxfId="293" priority="31">
      <formula>ISERROR(V16)</formula>
    </cfRule>
  </conditionalFormatting>
  <conditionalFormatting sqref="U16">
    <cfRule type="cellIs" dxfId="292" priority="27" operator="equal">
      <formula>5</formula>
    </cfRule>
    <cfRule type="cellIs" priority="28" operator="equal">
      <formula>5</formula>
    </cfRule>
    <cfRule type="cellIs" dxfId="291" priority="29" operator="between">
      <formula>6</formula>
      <formula>30</formula>
    </cfRule>
    <cfRule type="cellIs" dxfId="290" priority="30" operator="between">
      <formula>31</formula>
      <formula>60</formula>
    </cfRule>
  </conditionalFormatting>
  <conditionalFormatting sqref="U16">
    <cfRule type="containsErrors" dxfId="289" priority="26">
      <formula>ISERROR(U16)</formula>
    </cfRule>
  </conditionalFormatting>
  <conditionalFormatting sqref="Q16">
    <cfRule type="containsText" dxfId="288" priority="25" operator="containsText" text="N/A">
      <formula>NOT(ISERROR(SEARCH("N/A",Q16)))</formula>
    </cfRule>
  </conditionalFormatting>
  <conditionalFormatting sqref="S16">
    <cfRule type="containsText" dxfId="287" priority="24" operator="containsText" text="N/A">
      <formula>NOT(ISERROR(SEARCH("N/A",S16)))</formula>
    </cfRule>
  </conditionalFormatting>
  <conditionalFormatting sqref="K16">
    <cfRule type="containsText" dxfId="286" priority="23" operator="containsText" text="N/A">
      <formula>NOT(ISERROR(SEARCH("N/A",K16)))</formula>
    </cfRule>
  </conditionalFormatting>
  <conditionalFormatting sqref="M16">
    <cfRule type="containsText" dxfId="285" priority="22" operator="containsText" text="N/A">
      <formula>NOT(ISERROR(SEARCH("N/A",M16)))</formula>
    </cfRule>
  </conditionalFormatting>
  <conditionalFormatting sqref="R16">
    <cfRule type="containsText" dxfId="284" priority="21" operator="containsText" text="N/A">
      <formula>NOT(ISERROR(SEARCH("N/A",R16)))</formula>
    </cfRule>
  </conditionalFormatting>
  <conditionalFormatting sqref="T16">
    <cfRule type="containsText" dxfId="283" priority="20" operator="containsText" text="N/A">
      <formula>NOT(ISERROR(SEARCH("N/A",T16)))</formula>
    </cfRule>
  </conditionalFormatting>
  <conditionalFormatting sqref="N17:P17 N18:N19">
    <cfRule type="cellIs" dxfId="282" priority="16" operator="equal">
      <formula>5</formula>
    </cfRule>
    <cfRule type="cellIs" priority="17" operator="equal">
      <formula>5</formula>
    </cfRule>
    <cfRule type="cellIs" dxfId="281" priority="18" operator="between">
      <formula>6</formula>
      <formula>30</formula>
    </cfRule>
    <cfRule type="cellIs" dxfId="280" priority="19" operator="between">
      <formula>31</formula>
      <formula>60</formula>
    </cfRule>
  </conditionalFormatting>
  <conditionalFormatting sqref="N17:P17 N18:N19">
    <cfRule type="containsErrors" dxfId="279" priority="15">
      <formula>ISERROR(N17)</formula>
    </cfRule>
  </conditionalFormatting>
  <conditionalFormatting sqref="J17">
    <cfRule type="containsText" dxfId="278" priority="14" operator="containsText" text="N/A">
      <formula>NOT(ISERROR(SEARCH("N/A",J17)))</formula>
    </cfRule>
  </conditionalFormatting>
  <conditionalFormatting sqref="L17">
    <cfRule type="containsText" dxfId="277" priority="5" operator="containsText" text="N/A">
      <formula>NOT(ISERROR(SEARCH("N/A",L17)))</formula>
    </cfRule>
    <cfRule type="containsText" dxfId="276" priority="13" operator="containsText" text="N/A">
      <formula>NOT(ISERROR(SEARCH("N/A",L17)))</formula>
    </cfRule>
  </conditionalFormatting>
  <conditionalFormatting sqref="V17:Y17">
    <cfRule type="containsErrors" dxfId="275" priority="12">
      <formula>ISERROR(V17)</formula>
    </cfRule>
  </conditionalFormatting>
  <conditionalFormatting sqref="Q17">
    <cfRule type="containsText" dxfId="274" priority="11" operator="containsText" text="N/A">
      <formula>NOT(ISERROR(SEARCH("N/A",Q17)))</formula>
    </cfRule>
  </conditionalFormatting>
  <conditionalFormatting sqref="S17">
    <cfRule type="containsText" dxfId="273" priority="10" operator="containsText" text="N/A">
      <formula>NOT(ISERROR(SEARCH("N/A",S17)))</formula>
    </cfRule>
  </conditionalFormatting>
  <conditionalFormatting sqref="U17:U19">
    <cfRule type="containsErrors" dxfId="272" priority="1">
      <formula>ISERROR(U17)</formula>
    </cfRule>
    <cfRule type="cellIs" dxfId="271" priority="7" operator="between">
      <formula>31</formula>
      <formula>60</formula>
    </cfRule>
    <cfRule type="cellIs" dxfId="270" priority="8" operator="between">
      <formula>6</formula>
      <formula>30</formula>
    </cfRule>
    <cfRule type="cellIs" dxfId="269" priority="9" operator="equal">
      <formula>5</formula>
    </cfRule>
  </conditionalFormatting>
  <conditionalFormatting sqref="K17:K19">
    <cfRule type="containsText" dxfId="268" priority="6" operator="containsText" text="N/A">
      <formula>NOT(ISERROR(SEARCH("N/A",K17)))</formula>
    </cfRule>
  </conditionalFormatting>
  <conditionalFormatting sqref="M17:M19">
    <cfRule type="containsText" dxfId="267" priority="4" operator="containsText" text="N/A">
      <formula>NOT(ISERROR(SEARCH("N/A",M17)))</formula>
    </cfRule>
  </conditionalFormatting>
  <conditionalFormatting sqref="R17:R19">
    <cfRule type="containsText" dxfId="266" priority="3" operator="containsText" text="N/A">
      <formula>NOT(ISERROR(SEARCH("N/A",R17)))</formula>
    </cfRule>
  </conditionalFormatting>
  <conditionalFormatting sqref="T17:T19">
    <cfRule type="containsText" dxfId="265" priority="2" operator="containsText" text="N/A">
      <formula>NOT(ISERROR(SEARCH("N/A",T17)))</formula>
    </cfRule>
  </conditionalFormatting>
  <dataValidations count="3">
    <dataValidation type="list" allowBlank="1" showInputMessage="1" showErrorMessage="1" sqref="Q9:Q19 J9:J19">
      <formula1>$AK$8:$AK$11</formula1>
    </dataValidation>
    <dataValidation type="list" allowBlank="1" showInputMessage="1" showErrorMessage="1" sqref="S9:S19 L9:L19">
      <formula1>$AL$8:$AL$11</formula1>
    </dataValidation>
    <dataValidation type="list" allowBlank="1" showInputMessage="1" showErrorMessage="1" sqref="C9:C19">
      <formula1>$AM$8:$AM$9</formula1>
    </dataValidation>
  </dataValidations>
  <printOptions verticalCentered="1"/>
  <pageMargins left="0.19685039370078741" right="0.59055118110236227" top="0.39370078740157483" bottom="0.47244094488188981" header="0" footer="0"/>
  <pageSetup scale="15" fitToHeight="0" orientation="landscape" r:id="rId1"/>
  <headerFooter alignWithMargins="0">
    <oddFooter>&amp;C&amp;8Página &amp;P de &amp;N</oddFooter>
  </headerFooter>
  <colBreaks count="1" manualBreakCount="1">
    <brk id="31" max="1048575" man="1"/>
  </colBreaks>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pageSetUpPr fitToPage="1"/>
  </sheetPr>
  <dimension ref="B1:AO80"/>
  <sheetViews>
    <sheetView showGridLines="0" view="pageBreakPreview" topLeftCell="T14" zoomScale="60" zoomScaleNormal="25" zoomScalePageLayoutView="75" workbookViewId="0">
      <selection activeCell="AA16" sqref="AA16"/>
    </sheetView>
  </sheetViews>
  <sheetFormatPr baseColWidth="10" defaultColWidth="33.85546875" defaultRowHeight="23.25" x14ac:dyDescent="0.2"/>
  <cols>
    <col min="1" max="1" width="2.140625" style="24" customWidth="1"/>
    <col min="2" max="2" width="17.42578125" style="24" customWidth="1"/>
    <col min="3" max="3" width="23.140625" style="24" customWidth="1"/>
    <col min="4" max="4" width="27.7109375" style="24" customWidth="1"/>
    <col min="5" max="5" width="62.28515625" style="24" bestFit="1" customWidth="1"/>
    <col min="6" max="7" width="28.28515625" style="24" customWidth="1"/>
    <col min="8" max="8" width="32.5703125" style="24" customWidth="1"/>
    <col min="9" max="9" width="32.28515625" style="24" customWidth="1"/>
    <col min="10" max="13" width="15.7109375" style="24" customWidth="1"/>
    <col min="14" max="14" width="29" style="24" customWidth="1"/>
    <col min="15" max="16" width="61.28515625" style="24" customWidth="1"/>
    <col min="17" max="18" width="14.85546875" style="24" customWidth="1"/>
    <col min="19" max="19" width="18.28515625" style="24" customWidth="1"/>
    <col min="20" max="20" width="16.28515625" style="24" customWidth="1"/>
    <col min="21" max="21" width="18.140625" style="24" customWidth="1"/>
    <col min="22" max="25" width="16.28515625" style="24" customWidth="1"/>
    <col min="26" max="26" width="39.5703125" style="24" customWidth="1"/>
    <col min="27" max="28" width="28" style="24" customWidth="1"/>
    <col min="29" max="29" width="29.42578125" style="24" customWidth="1"/>
    <col min="30" max="30" width="49.42578125" style="24" customWidth="1"/>
    <col min="31" max="31" width="23.140625" style="41" customWidth="1"/>
    <col min="32" max="32" width="17.7109375" style="24" customWidth="1"/>
    <col min="33" max="36" width="33.85546875" style="24" customWidth="1"/>
    <col min="37" max="16384" width="33.85546875" style="24"/>
  </cols>
  <sheetData>
    <row r="1" spans="2:41" ht="9" customHeight="1" x14ac:dyDescent="0.2"/>
    <row r="2" spans="2:41" s="28" customFormat="1" ht="125.25" customHeight="1" thickBot="1" x14ac:dyDescent="0.25">
      <c r="B2" s="385" t="s">
        <v>109</v>
      </c>
      <c r="C2" s="386"/>
      <c r="D2" s="386"/>
      <c r="E2" s="386"/>
      <c r="F2" s="386"/>
      <c r="G2" s="386"/>
      <c r="H2" s="386"/>
      <c r="I2" s="386"/>
      <c r="J2" s="386"/>
      <c r="K2" s="386"/>
      <c r="L2" s="386"/>
      <c r="M2" s="386"/>
      <c r="N2" s="386"/>
      <c r="O2" s="386"/>
      <c r="P2" s="386"/>
      <c r="Q2" s="386"/>
      <c r="R2" s="386"/>
      <c r="S2" s="386"/>
      <c r="T2" s="386"/>
      <c r="U2" s="386"/>
      <c r="V2" s="386"/>
      <c r="W2" s="386"/>
      <c r="X2" s="386"/>
      <c r="Y2" s="386"/>
      <c r="Z2" s="386"/>
      <c r="AA2" s="386"/>
      <c r="AB2" s="386"/>
      <c r="AC2" s="386"/>
      <c r="AD2" s="386"/>
      <c r="AE2" s="386"/>
      <c r="AF2" s="31"/>
    </row>
    <row r="3" spans="2:41" s="29" customFormat="1" ht="66" customHeight="1" thickBot="1" x14ac:dyDescent="0.25">
      <c r="B3" s="387" t="s">
        <v>37</v>
      </c>
      <c r="C3" s="388"/>
      <c r="D3" s="388"/>
      <c r="E3" s="388"/>
      <c r="F3" s="388"/>
      <c r="G3" s="387" t="s">
        <v>108</v>
      </c>
      <c r="H3" s="388"/>
      <c r="I3" s="388"/>
      <c r="J3" s="388"/>
      <c r="K3" s="388"/>
      <c r="L3" s="388"/>
      <c r="M3" s="388"/>
      <c r="N3" s="389"/>
      <c r="O3" s="387" t="s">
        <v>107</v>
      </c>
      <c r="P3" s="388"/>
      <c r="Q3" s="388"/>
      <c r="R3" s="388"/>
      <c r="S3" s="388"/>
      <c r="T3" s="389"/>
      <c r="U3" s="387" t="s">
        <v>38</v>
      </c>
      <c r="V3" s="388"/>
      <c r="W3" s="388"/>
      <c r="X3" s="388"/>
      <c r="Y3" s="388"/>
      <c r="Z3" s="388"/>
      <c r="AA3" s="389"/>
      <c r="AB3" s="387" t="s">
        <v>35</v>
      </c>
      <c r="AC3" s="388"/>
      <c r="AD3" s="388"/>
      <c r="AE3" s="389"/>
      <c r="AF3" s="32"/>
    </row>
    <row r="4" spans="2:41" s="29" customFormat="1" ht="72" customHeight="1" thickBot="1" x14ac:dyDescent="0.25">
      <c r="B4" s="390" t="s">
        <v>36</v>
      </c>
      <c r="C4" s="391"/>
      <c r="D4" s="391"/>
      <c r="E4" s="391"/>
      <c r="F4" s="391"/>
      <c r="G4" s="392">
        <v>42874</v>
      </c>
      <c r="H4" s="393"/>
      <c r="I4" s="393"/>
      <c r="J4" s="393"/>
      <c r="K4" s="393"/>
      <c r="L4" s="393"/>
      <c r="M4" s="393"/>
      <c r="N4" s="394"/>
      <c r="O4" s="395">
        <v>43700</v>
      </c>
      <c r="P4" s="396"/>
      <c r="Q4" s="396"/>
      <c r="R4" s="396"/>
      <c r="S4" s="396"/>
      <c r="T4" s="397"/>
      <c r="U4" s="390">
        <v>4</v>
      </c>
      <c r="V4" s="391"/>
      <c r="W4" s="391"/>
      <c r="X4" s="391"/>
      <c r="Y4" s="391"/>
      <c r="Z4" s="391"/>
      <c r="AA4" s="398"/>
      <c r="AB4" s="390" t="s">
        <v>50</v>
      </c>
      <c r="AC4" s="391"/>
      <c r="AD4" s="391"/>
      <c r="AE4" s="398"/>
      <c r="AF4" s="142"/>
    </row>
    <row r="5" spans="2:41" s="29" customFormat="1" ht="32.1" customHeight="1" thickBot="1" x14ac:dyDescent="0.25">
      <c r="B5" s="383" t="s">
        <v>690</v>
      </c>
      <c r="C5" s="384"/>
      <c r="D5" s="384"/>
      <c r="E5" s="384"/>
      <c r="F5" s="384"/>
      <c r="G5" s="384"/>
      <c r="H5" s="384"/>
      <c r="I5" s="384"/>
      <c r="J5" s="384"/>
      <c r="K5" s="384"/>
      <c r="L5" s="384"/>
      <c r="M5" s="384"/>
      <c r="N5" s="384"/>
      <c r="O5" s="384"/>
      <c r="P5" s="384"/>
      <c r="Q5" s="384"/>
      <c r="R5" s="384"/>
      <c r="S5" s="384"/>
      <c r="T5" s="384"/>
      <c r="U5" s="384"/>
      <c r="V5" s="384"/>
      <c r="W5" s="384"/>
      <c r="X5" s="384"/>
      <c r="Y5" s="384"/>
      <c r="Z5" s="384"/>
      <c r="AA5" s="384"/>
      <c r="AB5" s="384"/>
      <c r="AC5" s="384"/>
      <c r="AD5" s="384"/>
      <c r="AE5" s="384"/>
      <c r="AF5" s="142"/>
    </row>
    <row r="6" spans="2:41" s="29" customFormat="1" ht="54.95" customHeight="1" thickBot="1" x14ac:dyDescent="0.25">
      <c r="B6" s="409" t="s">
        <v>0</v>
      </c>
      <c r="C6" s="410"/>
      <c r="D6" s="410"/>
      <c r="E6" s="410"/>
      <c r="F6" s="410"/>
      <c r="G6" s="410"/>
      <c r="H6" s="410"/>
      <c r="I6" s="411"/>
      <c r="J6" s="412" t="s">
        <v>60</v>
      </c>
      <c r="K6" s="413"/>
      <c r="L6" s="413"/>
      <c r="M6" s="413"/>
      <c r="N6" s="414"/>
      <c r="O6" s="418" t="s">
        <v>92</v>
      </c>
      <c r="P6" s="419"/>
      <c r="Q6" s="420" t="s">
        <v>61</v>
      </c>
      <c r="R6" s="421"/>
      <c r="S6" s="421"/>
      <c r="T6" s="421"/>
      <c r="U6" s="422"/>
      <c r="V6" s="426" t="s">
        <v>56</v>
      </c>
      <c r="W6" s="427"/>
      <c r="X6" s="427"/>
      <c r="Y6" s="427"/>
      <c r="Z6" s="427"/>
      <c r="AA6" s="427"/>
      <c r="AB6" s="427"/>
      <c r="AC6" s="427"/>
      <c r="AD6" s="427"/>
      <c r="AE6" s="428"/>
    </row>
    <row r="7" spans="2:41" s="29" customFormat="1" ht="90" customHeight="1" thickBot="1" x14ac:dyDescent="0.25">
      <c r="B7" s="429" t="s">
        <v>8</v>
      </c>
      <c r="C7" s="430" t="s">
        <v>58</v>
      </c>
      <c r="D7" s="432" t="s">
        <v>89</v>
      </c>
      <c r="E7" s="76" t="s">
        <v>59</v>
      </c>
      <c r="F7" s="43" t="s">
        <v>9</v>
      </c>
      <c r="G7" s="43" t="s">
        <v>102</v>
      </c>
      <c r="H7" s="43" t="s">
        <v>10</v>
      </c>
      <c r="I7" s="95" t="s">
        <v>57</v>
      </c>
      <c r="J7" s="415"/>
      <c r="K7" s="416"/>
      <c r="L7" s="416"/>
      <c r="M7" s="416"/>
      <c r="N7" s="417"/>
      <c r="O7" s="433" t="s">
        <v>101</v>
      </c>
      <c r="P7" s="434"/>
      <c r="Q7" s="423"/>
      <c r="R7" s="424"/>
      <c r="S7" s="424"/>
      <c r="T7" s="424"/>
      <c r="U7" s="425"/>
      <c r="V7" s="435" t="s">
        <v>94</v>
      </c>
      <c r="W7" s="436"/>
      <c r="X7" s="436"/>
      <c r="Y7" s="437"/>
      <c r="Z7" s="475" t="s">
        <v>51</v>
      </c>
      <c r="AA7" s="476"/>
      <c r="AB7" s="476"/>
      <c r="AC7" s="476"/>
      <c r="AD7" s="477"/>
      <c r="AE7" s="445" t="s">
        <v>25</v>
      </c>
      <c r="AG7" s="399" t="s">
        <v>43</v>
      </c>
      <c r="AH7" s="399"/>
      <c r="AI7" s="399"/>
      <c r="AJ7" s="399"/>
      <c r="AK7" s="29" t="s">
        <v>65</v>
      </c>
      <c r="AL7" s="29" t="s">
        <v>66</v>
      </c>
    </row>
    <row r="8" spans="2:41" s="29" customFormat="1" ht="202.5" customHeight="1" thickBot="1" x14ac:dyDescent="0.25">
      <c r="B8" s="429"/>
      <c r="C8" s="431"/>
      <c r="D8" s="431"/>
      <c r="E8" s="77" t="s">
        <v>7</v>
      </c>
      <c r="F8" s="23" t="s">
        <v>62</v>
      </c>
      <c r="G8" s="23" t="s">
        <v>13</v>
      </c>
      <c r="H8" s="23" t="s">
        <v>63</v>
      </c>
      <c r="I8" s="23" t="s">
        <v>64</v>
      </c>
      <c r="J8" s="96" t="s">
        <v>11</v>
      </c>
      <c r="K8" s="102" t="s">
        <v>12</v>
      </c>
      <c r="L8" s="97" t="s">
        <v>1</v>
      </c>
      <c r="M8" s="102" t="s">
        <v>2</v>
      </c>
      <c r="N8" s="106" t="s">
        <v>93</v>
      </c>
      <c r="O8" s="104" t="s">
        <v>90</v>
      </c>
      <c r="P8" s="105" t="s">
        <v>91</v>
      </c>
      <c r="Q8" s="101" t="s">
        <v>11</v>
      </c>
      <c r="R8" s="102" t="s">
        <v>12</v>
      </c>
      <c r="S8" s="102" t="s">
        <v>1</v>
      </c>
      <c r="T8" s="102" t="s">
        <v>2</v>
      </c>
      <c r="U8" s="103" t="s">
        <v>100</v>
      </c>
      <c r="V8" s="98" t="s">
        <v>95</v>
      </c>
      <c r="W8" s="99" t="s">
        <v>96</v>
      </c>
      <c r="X8" s="99" t="s">
        <v>97</v>
      </c>
      <c r="Y8" s="100" t="s">
        <v>98</v>
      </c>
      <c r="Z8" s="53" t="s">
        <v>52</v>
      </c>
      <c r="AA8" s="54" t="s">
        <v>53</v>
      </c>
      <c r="AB8" s="55" t="s">
        <v>54</v>
      </c>
      <c r="AC8" s="54" t="s">
        <v>55</v>
      </c>
      <c r="AD8" s="108" t="s">
        <v>99</v>
      </c>
      <c r="AE8" s="446"/>
      <c r="AG8" s="73" t="s">
        <v>39</v>
      </c>
      <c r="AH8" s="74" t="s">
        <v>40</v>
      </c>
      <c r="AI8" s="74" t="s">
        <v>41</v>
      </c>
      <c r="AJ8" s="75" t="s">
        <v>42</v>
      </c>
      <c r="AK8" s="86" t="s">
        <v>83</v>
      </c>
      <c r="AL8" s="86" t="s">
        <v>83</v>
      </c>
      <c r="AM8" s="29" t="s">
        <v>69</v>
      </c>
      <c r="AN8" s="29" t="s">
        <v>70</v>
      </c>
      <c r="AO8" s="91"/>
    </row>
    <row r="9" spans="2:41" s="29" customFormat="1" ht="186.75" customHeight="1" x14ac:dyDescent="0.2">
      <c r="B9" s="400" t="s">
        <v>168</v>
      </c>
      <c r="C9" s="353" t="s">
        <v>69</v>
      </c>
      <c r="D9" s="94" t="s">
        <v>718</v>
      </c>
      <c r="E9" s="46" t="s">
        <v>717</v>
      </c>
      <c r="F9" s="116" t="s">
        <v>169</v>
      </c>
      <c r="G9" s="168" t="s">
        <v>170</v>
      </c>
      <c r="H9" s="116" t="s">
        <v>172</v>
      </c>
      <c r="I9" s="116" t="s">
        <v>171</v>
      </c>
      <c r="J9" s="44">
        <v>3</v>
      </c>
      <c r="K9" s="44" t="str">
        <f>IF(J9=3,"ALTO",IF(J9=2,"MEDIO",IF(J9="N/A","N/A","BAJO")))</f>
        <v>ALTO</v>
      </c>
      <c r="L9" s="44">
        <v>20</v>
      </c>
      <c r="M9" s="44" t="str">
        <f>IF(L9=20,"ALTO",IF(L9=10,"MEDIO",IF(L9="N/A","N/A","BAJO")))</f>
        <v>ALTO</v>
      </c>
      <c r="N9" s="89">
        <f>J9*L9</f>
        <v>60</v>
      </c>
      <c r="O9" s="120" t="s">
        <v>173</v>
      </c>
      <c r="P9" s="120" t="s">
        <v>531</v>
      </c>
      <c r="Q9" s="44">
        <v>2</v>
      </c>
      <c r="R9" s="44" t="str">
        <f>IF(Q9=3,"ALTO",IF(Q9=2,"MEDIO",IF(Q9="N/A","N/A","BAJO")))</f>
        <v>MEDIO</v>
      </c>
      <c r="S9" s="44">
        <v>20</v>
      </c>
      <c r="T9" s="44" t="str">
        <f>IF(S9=20,"ALTO",IF(S9=10,"MEDIO",IF(S9="N/A","N/A","BAJO")))</f>
        <v>ALTO</v>
      </c>
      <c r="U9" s="89">
        <f>Q9*S9</f>
        <v>40</v>
      </c>
      <c r="V9" s="354"/>
      <c r="W9" s="354" t="s">
        <v>116</v>
      </c>
      <c r="X9" s="354"/>
      <c r="Y9" s="354"/>
      <c r="Z9" s="169" t="s">
        <v>532</v>
      </c>
      <c r="AA9" s="170" t="s">
        <v>533</v>
      </c>
      <c r="AB9" s="170" t="s">
        <v>174</v>
      </c>
      <c r="AC9" s="171" t="s">
        <v>175</v>
      </c>
      <c r="AD9" s="116" t="s">
        <v>787</v>
      </c>
      <c r="AE9" s="403">
        <v>44055</v>
      </c>
      <c r="AG9" s="51">
        <v>1</v>
      </c>
      <c r="AH9" s="52"/>
      <c r="AI9" s="52"/>
      <c r="AJ9" s="50">
        <f>SUM(AG9:AI9)</f>
        <v>1</v>
      </c>
      <c r="AK9" s="29">
        <v>1</v>
      </c>
      <c r="AL9" s="29">
        <v>5</v>
      </c>
      <c r="AM9" s="29" t="s">
        <v>72</v>
      </c>
      <c r="AN9" s="29" t="s">
        <v>74</v>
      </c>
      <c r="AO9" s="92"/>
    </row>
    <row r="10" spans="2:41" s="29" customFormat="1" ht="199.5" customHeight="1" x14ac:dyDescent="0.2">
      <c r="B10" s="401"/>
      <c r="C10" s="79" t="s">
        <v>69</v>
      </c>
      <c r="D10" s="339" t="s">
        <v>704</v>
      </c>
      <c r="E10" s="45" t="s">
        <v>180</v>
      </c>
      <c r="F10" s="117" t="s">
        <v>176</v>
      </c>
      <c r="G10" s="117" t="s">
        <v>177</v>
      </c>
      <c r="H10" s="127" t="s">
        <v>178</v>
      </c>
      <c r="I10" s="117" t="s">
        <v>179</v>
      </c>
      <c r="J10" s="87">
        <v>2</v>
      </c>
      <c r="K10" s="56" t="str">
        <f t="shared" ref="K10:K15" si="0">IF(J10=3,"ALTO",IF(J10=2,"MEDIO",IF(J10="N/A","N/A","BAJO")))</f>
        <v>MEDIO</v>
      </c>
      <c r="L10" s="56">
        <v>20</v>
      </c>
      <c r="M10" s="56" t="str">
        <f t="shared" ref="M10:M15" si="1">IF(L10=20,"ALTO",IF(L10=10,"MEDIO",IF(L10="N/A","N/A","BAJO")))</f>
        <v>ALTO</v>
      </c>
      <c r="N10" s="88">
        <f t="shared" ref="N10:N15" si="2">J10*L10</f>
        <v>40</v>
      </c>
      <c r="O10" s="131" t="s">
        <v>181</v>
      </c>
      <c r="P10" s="131" t="s">
        <v>534</v>
      </c>
      <c r="Q10" s="87">
        <v>1</v>
      </c>
      <c r="R10" s="87" t="str">
        <f t="shared" ref="R10:R15" si="3">IF(Q10=3,"ALTO",IF(Q10=2,"MEDIO",IF(Q10="N/A","N/A","BAJO")))</f>
        <v>BAJO</v>
      </c>
      <c r="S10" s="87">
        <v>20</v>
      </c>
      <c r="T10" s="87" t="str">
        <f t="shared" ref="T10:T15" si="4">IF(S10=20,"ALTO",IF(S10=10,"MEDIO",IF(S10="N/A","N/A","BAJO")))</f>
        <v>ALTO</v>
      </c>
      <c r="U10" s="88">
        <f t="shared" ref="U10:U15" si="5">Q10*S10</f>
        <v>20</v>
      </c>
      <c r="V10" s="58"/>
      <c r="W10" s="58" t="s">
        <v>116</v>
      </c>
      <c r="X10" s="58"/>
      <c r="Y10" s="58"/>
      <c r="Z10" s="124" t="s">
        <v>182</v>
      </c>
      <c r="AA10" s="127" t="s">
        <v>183</v>
      </c>
      <c r="AB10" s="127" t="s">
        <v>184</v>
      </c>
      <c r="AC10" s="180" t="s">
        <v>175</v>
      </c>
      <c r="AD10" s="127" t="s">
        <v>787</v>
      </c>
      <c r="AE10" s="404"/>
      <c r="AG10" s="139"/>
      <c r="AH10" s="140">
        <v>1</v>
      </c>
      <c r="AI10" s="140"/>
      <c r="AJ10" s="141">
        <f t="shared" ref="AJ10:AJ28" si="6">SUM(AG10:AI10)</f>
        <v>1</v>
      </c>
      <c r="AK10" s="29">
        <v>2</v>
      </c>
      <c r="AL10" s="29">
        <v>10</v>
      </c>
      <c r="AN10" s="29" t="s">
        <v>75</v>
      </c>
      <c r="AO10" s="92"/>
    </row>
    <row r="11" spans="2:41" s="29" customFormat="1" ht="201.75" customHeight="1" x14ac:dyDescent="0.2">
      <c r="B11" s="401"/>
      <c r="C11" s="79" t="s">
        <v>69</v>
      </c>
      <c r="D11" s="339" t="s">
        <v>75</v>
      </c>
      <c r="E11" s="45" t="s">
        <v>185</v>
      </c>
      <c r="F11" s="117" t="s">
        <v>186</v>
      </c>
      <c r="G11" s="117" t="s">
        <v>187</v>
      </c>
      <c r="H11" s="117" t="s">
        <v>188</v>
      </c>
      <c r="I11" s="117" t="s">
        <v>189</v>
      </c>
      <c r="J11" s="87">
        <v>3</v>
      </c>
      <c r="K11" s="56" t="str">
        <f t="shared" si="0"/>
        <v>ALTO</v>
      </c>
      <c r="L11" s="56">
        <v>20</v>
      </c>
      <c r="M11" s="56" t="str">
        <f t="shared" si="1"/>
        <v>ALTO</v>
      </c>
      <c r="N11" s="88">
        <f t="shared" si="2"/>
        <v>60</v>
      </c>
      <c r="O11" s="131" t="s">
        <v>450</v>
      </c>
      <c r="P11" s="131" t="s">
        <v>788</v>
      </c>
      <c r="Q11" s="87">
        <v>3</v>
      </c>
      <c r="R11" s="87" t="str">
        <f t="shared" si="3"/>
        <v>ALTO</v>
      </c>
      <c r="S11" s="87">
        <v>10</v>
      </c>
      <c r="T11" s="87" t="str">
        <f t="shared" si="4"/>
        <v>MEDIO</v>
      </c>
      <c r="U11" s="88">
        <f t="shared" si="5"/>
        <v>30</v>
      </c>
      <c r="V11" s="58"/>
      <c r="W11" s="58" t="s">
        <v>116</v>
      </c>
      <c r="X11" s="58"/>
      <c r="Y11" s="58"/>
      <c r="Z11" s="124" t="s">
        <v>190</v>
      </c>
      <c r="AA11" s="124" t="s">
        <v>191</v>
      </c>
      <c r="AB11" s="154" t="s">
        <v>192</v>
      </c>
      <c r="AC11" s="179" t="s">
        <v>789</v>
      </c>
      <c r="AD11" s="127" t="s">
        <v>787</v>
      </c>
      <c r="AE11" s="404"/>
      <c r="AG11" s="139">
        <v>1</v>
      </c>
      <c r="AH11" s="140"/>
      <c r="AI11" s="140"/>
      <c r="AJ11" s="141">
        <f t="shared" si="6"/>
        <v>1</v>
      </c>
      <c r="AK11" s="29">
        <v>3</v>
      </c>
      <c r="AL11" s="29">
        <v>20</v>
      </c>
      <c r="AN11" s="29" t="s">
        <v>86</v>
      </c>
      <c r="AO11" s="92"/>
    </row>
    <row r="12" spans="2:41" s="29" customFormat="1" ht="116.25" customHeight="1" x14ac:dyDescent="0.2">
      <c r="B12" s="401"/>
      <c r="C12" s="155" t="s">
        <v>69</v>
      </c>
      <c r="D12" s="156" t="s">
        <v>719</v>
      </c>
      <c r="E12" s="45" t="s">
        <v>193</v>
      </c>
      <c r="F12" s="181" t="s">
        <v>194</v>
      </c>
      <c r="G12" s="182" t="s">
        <v>195</v>
      </c>
      <c r="H12" s="181" t="s">
        <v>196</v>
      </c>
      <c r="I12" s="181" t="s">
        <v>197</v>
      </c>
      <c r="J12" s="87">
        <v>3</v>
      </c>
      <c r="K12" s="56" t="str">
        <f t="shared" si="0"/>
        <v>ALTO</v>
      </c>
      <c r="L12" s="159">
        <v>10</v>
      </c>
      <c r="M12" s="56" t="str">
        <f t="shared" si="1"/>
        <v>MEDIO</v>
      </c>
      <c r="N12" s="88">
        <f t="shared" si="2"/>
        <v>30</v>
      </c>
      <c r="O12" s="160" t="s">
        <v>198</v>
      </c>
      <c r="P12" s="160" t="s">
        <v>199</v>
      </c>
      <c r="Q12" s="56">
        <v>2</v>
      </c>
      <c r="R12" s="87" t="str">
        <f t="shared" si="3"/>
        <v>MEDIO</v>
      </c>
      <c r="S12" s="87">
        <v>10</v>
      </c>
      <c r="T12" s="87" t="str">
        <f t="shared" si="4"/>
        <v>MEDIO</v>
      </c>
      <c r="U12" s="88">
        <f t="shared" si="5"/>
        <v>20</v>
      </c>
      <c r="V12" s="164" t="s">
        <v>116</v>
      </c>
      <c r="W12" s="164"/>
      <c r="X12" s="164"/>
      <c r="Y12" s="164"/>
      <c r="Z12" s="183" t="s">
        <v>535</v>
      </c>
      <c r="AA12" s="184" t="s">
        <v>462</v>
      </c>
      <c r="AB12" s="184" t="s">
        <v>536</v>
      </c>
      <c r="AC12" s="179" t="s">
        <v>789</v>
      </c>
      <c r="AD12" s="163" t="s">
        <v>537</v>
      </c>
      <c r="AE12" s="404"/>
      <c r="AG12" s="165"/>
      <c r="AH12" s="166"/>
      <c r="AI12" s="166"/>
      <c r="AJ12" s="167"/>
      <c r="AN12" s="29" t="s">
        <v>87</v>
      </c>
      <c r="AO12" s="92"/>
    </row>
    <row r="13" spans="2:41" s="29" customFormat="1" ht="143.25" customHeight="1" x14ac:dyDescent="0.2">
      <c r="B13" s="401"/>
      <c r="C13" s="155" t="s">
        <v>69</v>
      </c>
      <c r="D13" s="156" t="s">
        <v>720</v>
      </c>
      <c r="E13" s="157" t="s">
        <v>200</v>
      </c>
      <c r="F13" s="158" t="s">
        <v>201</v>
      </c>
      <c r="G13" s="158" t="s">
        <v>202</v>
      </c>
      <c r="H13" s="158" t="s">
        <v>203</v>
      </c>
      <c r="I13" s="158" t="s">
        <v>204</v>
      </c>
      <c r="J13" s="87">
        <v>2</v>
      </c>
      <c r="K13" s="56" t="str">
        <f t="shared" si="0"/>
        <v>MEDIO</v>
      </c>
      <c r="L13" s="159">
        <v>20</v>
      </c>
      <c r="M13" s="56" t="str">
        <f t="shared" si="1"/>
        <v>ALTO</v>
      </c>
      <c r="N13" s="88">
        <f t="shared" si="2"/>
        <v>40</v>
      </c>
      <c r="O13" s="160" t="s">
        <v>205</v>
      </c>
      <c r="P13" s="160" t="s">
        <v>790</v>
      </c>
      <c r="Q13" s="56">
        <v>1</v>
      </c>
      <c r="R13" s="87" t="str">
        <f t="shared" si="3"/>
        <v>BAJO</v>
      </c>
      <c r="S13" s="87">
        <v>10</v>
      </c>
      <c r="T13" s="87" t="str">
        <f t="shared" si="4"/>
        <v>MEDIO</v>
      </c>
      <c r="U13" s="88">
        <f t="shared" si="5"/>
        <v>10</v>
      </c>
      <c r="V13" s="164"/>
      <c r="W13" s="164" t="s">
        <v>116</v>
      </c>
      <c r="X13" s="164"/>
      <c r="Y13" s="164"/>
      <c r="Z13" s="161" t="s">
        <v>538</v>
      </c>
      <c r="AA13" s="161" t="s">
        <v>539</v>
      </c>
      <c r="AB13" s="162" t="s">
        <v>168</v>
      </c>
      <c r="AC13" s="162" t="s">
        <v>540</v>
      </c>
      <c r="AD13" s="163" t="s">
        <v>791</v>
      </c>
      <c r="AE13" s="404"/>
      <c r="AG13" s="165"/>
      <c r="AH13" s="166"/>
      <c r="AI13" s="166"/>
      <c r="AJ13" s="167"/>
      <c r="AN13" s="29" t="s">
        <v>88</v>
      </c>
      <c r="AO13" s="92"/>
    </row>
    <row r="14" spans="2:41" s="29" customFormat="1" ht="119.25" customHeight="1" x14ac:dyDescent="0.2">
      <c r="B14" s="401"/>
      <c r="C14" s="380" t="s">
        <v>69</v>
      </c>
      <c r="D14" s="156" t="s">
        <v>721</v>
      </c>
      <c r="E14" s="45" t="s">
        <v>588</v>
      </c>
      <c r="F14" s="117" t="s">
        <v>589</v>
      </c>
      <c r="G14" s="117" t="s">
        <v>591</v>
      </c>
      <c r="H14" s="117" t="s">
        <v>590</v>
      </c>
      <c r="I14" s="117" t="s">
        <v>592</v>
      </c>
      <c r="J14" s="56">
        <v>3</v>
      </c>
      <c r="K14" s="56" t="str">
        <f t="shared" si="0"/>
        <v>ALTO</v>
      </c>
      <c r="L14" s="159">
        <v>20</v>
      </c>
      <c r="M14" s="56" t="str">
        <f t="shared" si="1"/>
        <v>ALTO</v>
      </c>
      <c r="N14" s="88">
        <f t="shared" si="2"/>
        <v>60</v>
      </c>
      <c r="O14" s="196" t="s">
        <v>594</v>
      </c>
      <c r="P14" s="196" t="s">
        <v>593</v>
      </c>
      <c r="Q14" s="56">
        <v>1</v>
      </c>
      <c r="R14" s="56" t="str">
        <f t="shared" si="3"/>
        <v>BAJO</v>
      </c>
      <c r="S14" s="56">
        <v>20</v>
      </c>
      <c r="T14" s="56" t="str">
        <f t="shared" si="4"/>
        <v>ALTO</v>
      </c>
      <c r="U14" s="88">
        <f t="shared" si="5"/>
        <v>20</v>
      </c>
      <c r="V14" s="164" t="s">
        <v>116</v>
      </c>
      <c r="W14" s="164"/>
      <c r="X14" s="164"/>
      <c r="Y14" s="164"/>
      <c r="Z14" s="124" t="s">
        <v>635</v>
      </c>
      <c r="AA14" s="125" t="s">
        <v>575</v>
      </c>
      <c r="AB14" s="125" t="s">
        <v>596</v>
      </c>
      <c r="AC14" s="125" t="s">
        <v>464</v>
      </c>
      <c r="AD14" s="124" t="s">
        <v>587</v>
      </c>
      <c r="AE14" s="404"/>
      <c r="AG14" s="165"/>
      <c r="AH14" s="166"/>
      <c r="AI14" s="166"/>
      <c r="AJ14" s="167"/>
      <c r="AN14" s="29" t="s">
        <v>472</v>
      </c>
      <c r="AO14" s="92"/>
    </row>
    <row r="15" spans="2:41" s="29" customFormat="1" ht="192" customHeight="1" thickBot="1" x14ac:dyDescent="0.25">
      <c r="B15" s="401"/>
      <c r="C15" s="155" t="s">
        <v>69</v>
      </c>
      <c r="D15" s="156" t="s">
        <v>719</v>
      </c>
      <c r="E15" s="157" t="s">
        <v>597</v>
      </c>
      <c r="F15" s="118" t="s">
        <v>598</v>
      </c>
      <c r="G15" s="118" t="s">
        <v>599</v>
      </c>
      <c r="H15" s="118" t="s">
        <v>760</v>
      </c>
      <c r="I15" s="118" t="s">
        <v>600</v>
      </c>
      <c r="J15" s="87">
        <v>2</v>
      </c>
      <c r="K15" s="56" t="str">
        <f t="shared" si="0"/>
        <v>MEDIO</v>
      </c>
      <c r="L15" s="159">
        <v>20</v>
      </c>
      <c r="M15" s="56" t="str">
        <f t="shared" si="1"/>
        <v>ALTO</v>
      </c>
      <c r="N15" s="88">
        <f t="shared" si="2"/>
        <v>40</v>
      </c>
      <c r="O15" s="350" t="s">
        <v>601</v>
      </c>
      <c r="P15" s="350" t="s">
        <v>602</v>
      </c>
      <c r="Q15" s="87">
        <v>1</v>
      </c>
      <c r="R15" s="56" t="str">
        <f t="shared" si="3"/>
        <v>BAJO</v>
      </c>
      <c r="S15" s="87">
        <v>20</v>
      </c>
      <c r="T15" s="56" t="str">
        <f t="shared" si="4"/>
        <v>ALTO</v>
      </c>
      <c r="U15" s="88">
        <f t="shared" si="5"/>
        <v>20</v>
      </c>
      <c r="V15" s="164"/>
      <c r="W15" s="164" t="s">
        <v>116</v>
      </c>
      <c r="X15" s="164"/>
      <c r="Y15" s="164"/>
      <c r="Z15" s="161" t="s">
        <v>689</v>
      </c>
      <c r="AA15" s="352" t="s">
        <v>575</v>
      </c>
      <c r="AB15" s="352" t="s">
        <v>174</v>
      </c>
      <c r="AC15" s="162" t="s">
        <v>175</v>
      </c>
      <c r="AD15" s="124" t="s">
        <v>1005</v>
      </c>
      <c r="AE15" s="404"/>
      <c r="AG15" s="173"/>
      <c r="AH15" s="174"/>
      <c r="AI15" s="174"/>
      <c r="AJ15" s="175"/>
      <c r="AO15" s="92"/>
    </row>
    <row r="16" spans="2:41" s="29" customFormat="1" ht="201.75" customHeight="1" thickBot="1" x14ac:dyDescent="0.25">
      <c r="B16" s="402"/>
      <c r="C16" s="80" t="s">
        <v>72</v>
      </c>
      <c r="D16" s="81" t="s">
        <v>716</v>
      </c>
      <c r="E16" s="33" t="s">
        <v>652</v>
      </c>
      <c r="F16" s="118" t="s">
        <v>653</v>
      </c>
      <c r="G16" s="118" t="s">
        <v>654</v>
      </c>
      <c r="H16" s="118" t="s">
        <v>792</v>
      </c>
      <c r="I16" s="118" t="s">
        <v>655</v>
      </c>
      <c r="J16" s="215" t="s">
        <v>83</v>
      </c>
      <c r="K16" s="57" t="str">
        <f t="shared" ref="K16" si="7">IF(J16=3,"ALTO",IF(J16=2,"MEDIO",IF(J16="N/A","N/A","BAJO")))</f>
        <v>N/A</v>
      </c>
      <c r="L16" s="57" t="s">
        <v>83</v>
      </c>
      <c r="M16" s="57" t="str">
        <f t="shared" ref="M16" si="8">IF(L16=20,"ALTO",IF(L16=10,"MEDIO",IF(L16="N/A","N/A","BAJO")))</f>
        <v>N/A</v>
      </c>
      <c r="N16" s="90" t="e">
        <f t="shared" ref="N16" si="9">J16*L16</f>
        <v>#VALUE!</v>
      </c>
      <c r="O16" s="222"/>
      <c r="P16" s="222"/>
      <c r="Q16" s="215" t="s">
        <v>83</v>
      </c>
      <c r="R16" s="57" t="str">
        <f t="shared" ref="R16" si="10">IF(Q16=3,"ALTO",IF(Q16=2,"MEDIO",IF(Q16="N/A","N/A","BAJO")))</f>
        <v>N/A</v>
      </c>
      <c r="S16" s="215" t="s">
        <v>83</v>
      </c>
      <c r="T16" s="57" t="str">
        <f t="shared" ref="T16" si="11">IF(S16=20,"ALTO",IF(S16=10,"MEDIO",IF(S16="N/A","N/A","BAJO")))</f>
        <v>N/A</v>
      </c>
      <c r="U16" s="90" t="e">
        <f t="shared" ref="U16" si="12">Q16*S16</f>
        <v>#VALUE!</v>
      </c>
      <c r="V16" s="191"/>
      <c r="W16" s="191"/>
      <c r="X16" s="191"/>
      <c r="Y16" s="191"/>
      <c r="Z16" s="128" t="s">
        <v>656</v>
      </c>
      <c r="AA16" s="355" t="s">
        <v>634</v>
      </c>
      <c r="AB16" s="355" t="s">
        <v>657</v>
      </c>
      <c r="AC16" s="325" t="s">
        <v>175</v>
      </c>
      <c r="AD16" s="128" t="s">
        <v>587</v>
      </c>
      <c r="AE16" s="405"/>
      <c r="AG16" s="173"/>
      <c r="AH16" s="174"/>
      <c r="AI16" s="174"/>
      <c r="AJ16" s="175"/>
      <c r="AO16" s="92"/>
    </row>
    <row r="17" spans="2:41" s="29" customFormat="1" ht="31.5" customHeight="1" thickBot="1" x14ac:dyDescent="0.25">
      <c r="B17" s="24"/>
      <c r="C17" s="24"/>
      <c r="D17" s="24"/>
      <c r="E17" s="24"/>
      <c r="F17" s="24"/>
      <c r="G17" s="24"/>
      <c r="H17" s="24"/>
      <c r="I17" s="24"/>
      <c r="J17" s="24"/>
      <c r="K17" s="24"/>
      <c r="L17" s="24"/>
      <c r="M17" s="24"/>
      <c r="N17" s="368">
        <f>AVERAGE(N9:N15)</f>
        <v>47.142857142857146</v>
      </c>
      <c r="O17" s="24"/>
      <c r="P17" s="24"/>
      <c r="Q17" s="24"/>
      <c r="R17" s="24"/>
      <c r="S17" s="24"/>
      <c r="T17" s="24"/>
      <c r="U17" s="368">
        <f>AVERAGE(U9:U15)</f>
        <v>22.857142857142858</v>
      </c>
      <c r="V17" s="24"/>
      <c r="W17" s="24"/>
      <c r="X17" s="24"/>
      <c r="Y17" s="24"/>
      <c r="Z17" s="24"/>
      <c r="AA17" s="24"/>
      <c r="AB17" s="24"/>
      <c r="AC17" s="24"/>
      <c r="AD17" s="85"/>
      <c r="AE17" s="47"/>
      <c r="AG17" s="139"/>
      <c r="AH17" s="140">
        <v>1</v>
      </c>
      <c r="AI17" s="140"/>
      <c r="AJ17" s="141">
        <f t="shared" si="6"/>
        <v>1</v>
      </c>
      <c r="AO17" s="93"/>
    </row>
    <row r="18" spans="2:41" s="29" customFormat="1" ht="129" customHeight="1" thickBot="1" x14ac:dyDescent="0.25">
      <c r="B18" s="24"/>
      <c r="C18" s="24"/>
      <c r="D18" s="24"/>
      <c r="E18" s="24"/>
      <c r="F18" s="109"/>
      <c r="G18" s="109"/>
      <c r="H18" s="462" t="s">
        <v>209</v>
      </c>
      <c r="I18" s="463"/>
      <c r="J18" s="463"/>
      <c r="K18" s="464"/>
      <c r="L18" s="24"/>
      <c r="M18" s="406" t="s">
        <v>446</v>
      </c>
      <c r="N18" s="407"/>
      <c r="O18" s="407"/>
      <c r="P18" s="408"/>
      <c r="Q18" s="110"/>
      <c r="R18" s="24"/>
      <c r="S18" s="24"/>
      <c r="T18" s="24"/>
      <c r="U18" s="24"/>
      <c r="V18" s="24"/>
      <c r="W18" s="24"/>
      <c r="X18" s="24"/>
      <c r="Y18" s="24"/>
      <c r="Z18" s="24"/>
      <c r="AA18" s="24"/>
      <c r="AB18" s="24"/>
      <c r="AC18" s="24"/>
      <c r="AD18" s="24"/>
      <c r="AE18" s="42"/>
      <c r="AG18" s="139">
        <v>1</v>
      </c>
      <c r="AH18" s="140"/>
      <c r="AI18" s="140"/>
      <c r="AJ18" s="141">
        <f t="shared" si="6"/>
        <v>1</v>
      </c>
      <c r="AK18" s="29" t="s">
        <v>84</v>
      </c>
      <c r="AO18" s="448" t="s">
        <v>76</v>
      </c>
    </row>
    <row r="19" spans="2:41" s="29" customFormat="1" ht="46.5" customHeight="1" x14ac:dyDescent="0.2">
      <c r="B19" s="24"/>
      <c r="C19" s="24"/>
      <c r="D19" s="24"/>
      <c r="E19" s="24"/>
      <c r="F19" s="438"/>
      <c r="G19" s="438"/>
      <c r="H19" s="465" t="s">
        <v>139</v>
      </c>
      <c r="I19" s="466"/>
      <c r="J19" s="26">
        <f>COUNTIF(U9:U16,"=5")</f>
        <v>0</v>
      </c>
      <c r="K19" s="27">
        <f>J19*100%/J22</f>
        <v>0</v>
      </c>
      <c r="L19" s="24"/>
      <c r="M19" s="485" t="s">
        <v>104</v>
      </c>
      <c r="N19" s="486"/>
      <c r="O19" s="486" t="s">
        <v>47</v>
      </c>
      <c r="P19" s="487"/>
      <c r="Q19" s="111"/>
      <c r="R19" s="24"/>
      <c r="S19" s="24"/>
      <c r="T19" s="24"/>
      <c r="U19" s="24"/>
      <c r="V19" s="24"/>
      <c r="W19" s="24"/>
      <c r="X19" s="24"/>
      <c r="Y19" s="24"/>
      <c r="Z19" s="24"/>
      <c r="AA19" s="24"/>
      <c r="AB19" s="24"/>
      <c r="AC19" s="24"/>
      <c r="AD19" s="24"/>
      <c r="AE19" s="42"/>
      <c r="AG19" s="139">
        <v>1</v>
      </c>
      <c r="AH19" s="140"/>
      <c r="AI19" s="140"/>
      <c r="AJ19" s="141">
        <f t="shared" si="6"/>
        <v>1</v>
      </c>
      <c r="AK19" s="29" t="s">
        <v>85</v>
      </c>
      <c r="AO19" s="449"/>
    </row>
    <row r="20" spans="2:41" s="29" customFormat="1" ht="46.5" customHeight="1" x14ac:dyDescent="0.2">
      <c r="B20" s="24"/>
      <c r="C20" s="24"/>
      <c r="D20" s="24"/>
      <c r="E20" s="24"/>
      <c r="F20" s="438"/>
      <c r="G20" s="438"/>
      <c r="H20" s="465" t="s">
        <v>140</v>
      </c>
      <c r="I20" s="466"/>
      <c r="J20" s="26">
        <f>COUNTIFS(U9:U16,"&gt;=6",U9:U16,"&lt;=30")</f>
        <v>6</v>
      </c>
      <c r="K20" s="27">
        <f>J20*100%/J22</f>
        <v>0.8571428571428571</v>
      </c>
      <c r="L20" s="24"/>
      <c r="M20" s="488" t="s">
        <v>105</v>
      </c>
      <c r="N20" s="489"/>
      <c r="O20" s="490" t="s">
        <v>48</v>
      </c>
      <c r="P20" s="491"/>
      <c r="Q20" s="111"/>
      <c r="R20" s="24"/>
      <c r="S20" s="24"/>
      <c r="T20" s="24"/>
      <c r="U20" s="24"/>
      <c r="V20" s="24"/>
      <c r="W20" s="24"/>
      <c r="X20" s="24"/>
      <c r="Y20" s="24"/>
      <c r="Z20" s="24"/>
      <c r="AA20" s="24"/>
      <c r="AB20" s="24"/>
      <c r="AC20" s="24"/>
      <c r="AD20" s="24"/>
      <c r="AE20" s="42"/>
      <c r="AG20" s="139">
        <v>1</v>
      </c>
      <c r="AH20" s="140"/>
      <c r="AI20" s="140"/>
      <c r="AJ20" s="141">
        <f t="shared" si="6"/>
        <v>1</v>
      </c>
      <c r="AO20" s="449"/>
    </row>
    <row r="21" spans="2:41" s="29" customFormat="1" ht="46.5" customHeight="1" thickBot="1" x14ac:dyDescent="0.25">
      <c r="B21" s="24"/>
      <c r="C21" s="24"/>
      <c r="D21" s="24"/>
      <c r="E21" s="24"/>
      <c r="F21" s="438"/>
      <c r="G21" s="438"/>
      <c r="H21" s="465" t="s">
        <v>141</v>
      </c>
      <c r="I21" s="466"/>
      <c r="J21" s="26">
        <f>COUNTIFS(U9:U16,"&gt;=40",U9:U16,"&lt;=60")</f>
        <v>1</v>
      </c>
      <c r="K21" s="27">
        <f>J21*100%/J22</f>
        <v>0.14285714285714285</v>
      </c>
      <c r="L21" s="24"/>
      <c r="M21" s="482" t="s">
        <v>106</v>
      </c>
      <c r="N21" s="483"/>
      <c r="O21" s="483" t="s">
        <v>20</v>
      </c>
      <c r="P21" s="484"/>
      <c r="Q21" s="111"/>
      <c r="R21" s="24"/>
      <c r="S21" s="24"/>
      <c r="T21" s="24"/>
      <c r="U21" s="24"/>
      <c r="V21" s="24"/>
      <c r="W21" s="24"/>
      <c r="X21" s="24"/>
      <c r="Y21" s="24"/>
      <c r="Z21" s="24"/>
      <c r="AA21" s="24"/>
      <c r="AB21" s="24"/>
      <c r="AC21" s="24"/>
      <c r="AD21" s="24"/>
      <c r="AE21" s="42"/>
      <c r="AG21" s="139">
        <v>1</v>
      </c>
      <c r="AH21" s="140"/>
      <c r="AI21" s="140"/>
      <c r="AJ21" s="141">
        <f t="shared" si="6"/>
        <v>1</v>
      </c>
      <c r="AO21" s="449"/>
    </row>
    <row r="22" spans="2:41" s="29" customFormat="1" ht="46.5" customHeight="1" thickBot="1" x14ac:dyDescent="0.25">
      <c r="B22" s="24"/>
      <c r="C22" s="24"/>
      <c r="D22" s="24"/>
      <c r="E22" s="24"/>
      <c r="F22" s="447"/>
      <c r="G22" s="447"/>
      <c r="H22" s="472" t="s">
        <v>142</v>
      </c>
      <c r="I22" s="473"/>
      <c r="J22" s="138">
        <f>+J19+J21+J20</f>
        <v>7</v>
      </c>
      <c r="K22" s="137">
        <f>K19+K20+K21</f>
        <v>1</v>
      </c>
      <c r="L22" s="24"/>
      <c r="M22" s="24"/>
      <c r="N22" s="24"/>
      <c r="O22" s="24"/>
      <c r="P22" s="24"/>
      <c r="Q22" s="24"/>
      <c r="R22" s="24"/>
      <c r="S22" s="24"/>
      <c r="T22" s="24"/>
      <c r="U22" s="24"/>
      <c r="V22" s="24"/>
      <c r="W22" s="24"/>
      <c r="X22" s="24"/>
      <c r="Y22" s="24"/>
      <c r="Z22" s="24"/>
      <c r="AA22" s="24"/>
      <c r="AB22" s="24"/>
      <c r="AC22" s="24"/>
      <c r="AD22" s="24"/>
      <c r="AE22" s="42"/>
      <c r="AG22" s="139">
        <v>1</v>
      </c>
      <c r="AH22" s="140"/>
      <c r="AI22" s="140"/>
      <c r="AJ22" s="141">
        <f t="shared" si="6"/>
        <v>1</v>
      </c>
      <c r="AO22" s="449"/>
    </row>
    <row r="23" spans="2:41" s="29" customFormat="1" ht="75" customHeight="1" thickBot="1" x14ac:dyDescent="0.25">
      <c r="B23" s="24"/>
      <c r="C23" s="24"/>
      <c r="D23" s="24"/>
      <c r="E23" s="24"/>
      <c r="F23" s="24"/>
      <c r="G23" s="24"/>
      <c r="H23" s="470" t="s">
        <v>208</v>
      </c>
      <c r="I23" s="471"/>
      <c r="J23" s="226">
        <f>COUNTIF(Q9:Q16,"N/A")</f>
        <v>1</v>
      </c>
      <c r="K23" s="227" t="str">
        <f>IF(J23&gt;=1,"100%",0)</f>
        <v>100%</v>
      </c>
      <c r="L23" s="24"/>
      <c r="M23" s="24"/>
      <c r="N23" s="24"/>
      <c r="O23" s="24"/>
      <c r="P23" s="24"/>
      <c r="Q23" s="24"/>
      <c r="R23" s="24"/>
      <c r="S23" s="24"/>
      <c r="T23" s="24"/>
      <c r="U23" s="24"/>
      <c r="V23" s="24"/>
      <c r="W23" s="24"/>
      <c r="X23" s="24"/>
      <c r="Y23" s="24"/>
      <c r="Z23" s="24"/>
      <c r="AA23" s="24"/>
      <c r="AB23" s="24"/>
      <c r="AC23" s="24"/>
      <c r="AD23" s="24"/>
      <c r="AE23" s="42"/>
      <c r="AG23" s="139"/>
      <c r="AH23" s="140">
        <v>1</v>
      </c>
      <c r="AI23" s="140"/>
      <c r="AJ23" s="141">
        <f t="shared" si="6"/>
        <v>1</v>
      </c>
      <c r="AO23" s="449"/>
    </row>
    <row r="24" spans="2:41" s="29" customFormat="1" ht="97.5" customHeight="1" x14ac:dyDescent="0.2">
      <c r="B24" s="24"/>
      <c r="C24" s="82"/>
      <c r="D24" s="82"/>
      <c r="E24" s="82"/>
      <c r="F24" s="82"/>
      <c r="G24" s="83"/>
      <c r="H24" s="83"/>
      <c r="I24" s="82"/>
      <c r="J24" s="24"/>
      <c r="K24" s="24"/>
      <c r="L24" s="24"/>
      <c r="M24" s="24"/>
      <c r="N24" s="24"/>
      <c r="O24" s="24"/>
      <c r="P24" s="24"/>
      <c r="Q24" s="24"/>
      <c r="R24" s="24"/>
      <c r="S24" s="24"/>
      <c r="T24" s="24"/>
      <c r="U24" s="24"/>
      <c r="V24" s="24"/>
      <c r="W24" s="24"/>
      <c r="X24" s="24"/>
      <c r="Y24" s="24"/>
      <c r="Z24" s="24"/>
      <c r="AA24" s="24"/>
      <c r="AB24" s="24"/>
      <c r="AC24" s="24"/>
      <c r="AD24" s="24"/>
      <c r="AE24" s="42"/>
      <c r="AG24" s="139"/>
      <c r="AH24" s="140">
        <v>1</v>
      </c>
      <c r="AI24" s="140"/>
      <c r="AJ24" s="141">
        <f t="shared" si="6"/>
        <v>1</v>
      </c>
      <c r="AO24" s="449"/>
    </row>
    <row r="25" spans="2:41" s="29" customFormat="1" ht="107.25" customHeight="1" thickBot="1" x14ac:dyDescent="0.25">
      <c r="B25" s="24"/>
      <c r="C25" s="82"/>
      <c r="D25" s="82"/>
      <c r="E25" s="82"/>
      <c r="F25" s="83"/>
      <c r="G25" s="83"/>
      <c r="H25" s="83"/>
      <c r="I25" s="83"/>
      <c r="J25" s="24"/>
      <c r="K25" s="24"/>
      <c r="L25" s="24"/>
      <c r="M25" s="24"/>
      <c r="N25" s="24"/>
      <c r="O25" s="24"/>
      <c r="P25" s="24"/>
      <c r="Q25" s="24"/>
      <c r="R25" s="24"/>
      <c r="S25" s="24"/>
      <c r="T25" s="24"/>
      <c r="U25" s="24"/>
      <c r="V25" s="24"/>
      <c r="W25" s="24"/>
      <c r="X25" s="24"/>
      <c r="Y25" s="24"/>
      <c r="Z25" s="24"/>
      <c r="AA25" s="24"/>
      <c r="AB25" s="24"/>
      <c r="AC25" s="24"/>
      <c r="AD25" s="24"/>
      <c r="AE25" s="42"/>
      <c r="AG25" s="139">
        <v>1</v>
      </c>
      <c r="AH25" s="140"/>
      <c r="AI25" s="140"/>
      <c r="AJ25" s="141">
        <f t="shared" si="6"/>
        <v>1</v>
      </c>
      <c r="AO25" s="450"/>
    </row>
    <row r="26" spans="2:41" s="28" customFormat="1" ht="80.25" customHeight="1" x14ac:dyDescent="0.2">
      <c r="B26" s="24"/>
      <c r="C26" s="82"/>
      <c r="D26" s="82"/>
      <c r="E26" s="84"/>
      <c r="F26" s="84"/>
      <c r="G26" s="84"/>
      <c r="H26" s="84"/>
      <c r="I26" s="84"/>
      <c r="J26" s="24"/>
      <c r="K26" s="24"/>
      <c r="L26" s="24"/>
      <c r="M26" s="24"/>
      <c r="N26" s="24"/>
      <c r="O26" s="24"/>
      <c r="P26" s="24"/>
      <c r="Q26" s="24"/>
      <c r="R26" s="24"/>
      <c r="S26" s="24"/>
      <c r="T26" s="24"/>
      <c r="U26" s="24"/>
      <c r="V26" s="24"/>
      <c r="W26" s="24"/>
      <c r="X26" s="24"/>
      <c r="Y26" s="24"/>
      <c r="Z26" s="24"/>
      <c r="AA26" s="24"/>
      <c r="AB26" s="24"/>
      <c r="AC26" s="24"/>
      <c r="AD26" s="24"/>
      <c r="AE26" s="42"/>
      <c r="AG26" s="39"/>
      <c r="AH26" s="49"/>
      <c r="AI26" s="49"/>
      <c r="AJ26" s="40"/>
      <c r="AO26" s="448" t="s">
        <v>77</v>
      </c>
    </row>
    <row r="27" spans="2:41" s="29" customFormat="1" ht="101.25" customHeight="1" x14ac:dyDescent="0.2">
      <c r="B27" s="24"/>
      <c r="C27" s="83"/>
      <c r="D27" s="83"/>
      <c r="E27" s="48"/>
      <c r="F27" s="48"/>
      <c r="G27" s="48"/>
      <c r="H27" s="48"/>
      <c r="I27" s="48"/>
      <c r="J27" s="24"/>
      <c r="K27" s="24"/>
      <c r="L27" s="24"/>
      <c r="M27" s="24"/>
      <c r="N27" s="24"/>
      <c r="O27" s="24"/>
      <c r="P27" s="24"/>
      <c r="Q27" s="24"/>
      <c r="R27" s="24"/>
      <c r="S27" s="24"/>
      <c r="T27" s="24"/>
      <c r="U27" s="24"/>
      <c r="V27" s="24"/>
      <c r="W27" s="24"/>
      <c r="X27" s="24"/>
      <c r="Y27" s="24"/>
      <c r="Z27" s="24"/>
      <c r="AA27" s="24"/>
      <c r="AB27" s="24"/>
      <c r="AC27" s="24"/>
      <c r="AD27" s="24"/>
      <c r="AE27" s="42"/>
      <c r="AG27" s="139">
        <v>1</v>
      </c>
      <c r="AH27" s="140"/>
      <c r="AI27" s="140"/>
      <c r="AJ27" s="141">
        <f t="shared" si="6"/>
        <v>1</v>
      </c>
      <c r="AO27" s="449"/>
    </row>
    <row r="28" spans="2:41" s="29" customFormat="1" ht="109.5" customHeight="1" x14ac:dyDescent="0.2">
      <c r="B28" s="24"/>
      <c r="C28" s="83"/>
      <c r="D28" s="83"/>
      <c r="I28" s="24"/>
      <c r="J28" s="24"/>
      <c r="K28" s="24"/>
      <c r="L28" s="24"/>
      <c r="M28" s="24"/>
      <c r="N28" s="24"/>
      <c r="O28" s="24"/>
      <c r="P28" s="24"/>
      <c r="Q28" s="24"/>
      <c r="R28" s="24"/>
      <c r="S28" s="24"/>
      <c r="T28" s="24"/>
      <c r="U28" s="24"/>
      <c r="V28" s="24"/>
      <c r="W28" s="24"/>
      <c r="X28" s="24"/>
      <c r="Y28" s="24"/>
      <c r="Z28" s="24"/>
      <c r="AA28" s="24"/>
      <c r="AB28" s="24"/>
      <c r="AC28" s="24"/>
      <c r="AD28" s="24"/>
      <c r="AE28" s="42"/>
      <c r="AG28" s="139"/>
      <c r="AH28" s="140">
        <v>1</v>
      </c>
      <c r="AI28" s="140"/>
      <c r="AJ28" s="141">
        <f t="shared" si="6"/>
        <v>1</v>
      </c>
      <c r="AO28" s="449"/>
    </row>
    <row r="29" spans="2:41" s="29" customFormat="1" ht="67.5" customHeight="1" x14ac:dyDescent="0.2">
      <c r="B29" s="24"/>
      <c r="C29" s="83"/>
      <c r="D29" s="83"/>
      <c r="H29" s="24"/>
      <c r="I29" s="24"/>
      <c r="J29" s="24"/>
      <c r="K29" s="24"/>
      <c r="L29" s="24"/>
      <c r="M29" s="24"/>
      <c r="N29" s="24"/>
      <c r="O29" s="24"/>
      <c r="P29" s="24"/>
      <c r="Q29" s="24"/>
      <c r="R29" s="24"/>
      <c r="S29" s="24"/>
      <c r="T29" s="24"/>
      <c r="U29" s="24"/>
      <c r="V29" s="24"/>
      <c r="W29" s="24"/>
      <c r="X29" s="24"/>
      <c r="Y29" s="24"/>
      <c r="Z29" s="24"/>
      <c r="AA29" s="24"/>
      <c r="AB29" s="24"/>
      <c r="AC29" s="24"/>
      <c r="AD29" s="24"/>
      <c r="AE29" s="42"/>
      <c r="AG29" s="139"/>
      <c r="AH29" s="140">
        <v>1</v>
      </c>
      <c r="AI29" s="140"/>
      <c r="AJ29" s="141">
        <v>1</v>
      </c>
      <c r="AO29" s="449"/>
    </row>
    <row r="30" spans="2:41" s="29" customFormat="1" ht="83.25" customHeight="1" x14ac:dyDescent="0.2">
      <c r="B30" s="24"/>
      <c r="C30" s="82"/>
      <c r="D30" s="82"/>
      <c r="G30" s="24"/>
      <c r="H30" s="24"/>
      <c r="I30" s="24"/>
      <c r="J30" s="24"/>
      <c r="K30" s="24"/>
      <c r="L30" s="24"/>
      <c r="M30" s="24"/>
      <c r="N30" s="24"/>
      <c r="O30" s="24"/>
      <c r="P30" s="24"/>
      <c r="Q30" s="24"/>
      <c r="R30" s="24"/>
      <c r="S30" s="24"/>
      <c r="T30" s="24"/>
      <c r="U30" s="24"/>
      <c r="V30" s="24"/>
      <c r="W30" s="24"/>
      <c r="X30" s="24"/>
      <c r="Y30" s="24"/>
      <c r="Z30" s="24"/>
      <c r="AA30" s="24"/>
      <c r="AB30" s="24"/>
      <c r="AC30" s="24"/>
      <c r="AD30" s="24"/>
      <c r="AE30" s="42"/>
      <c r="AG30" s="139"/>
      <c r="AH30" s="140">
        <v>1</v>
      </c>
      <c r="AI30" s="140"/>
      <c r="AJ30" s="141">
        <v>1</v>
      </c>
      <c r="AO30" s="449"/>
    </row>
    <row r="31" spans="2:41" s="29" customFormat="1" ht="75.75" customHeight="1" thickBot="1" x14ac:dyDescent="0.25">
      <c r="B31" s="24"/>
      <c r="C31" s="82"/>
      <c r="D31" s="82"/>
      <c r="G31" s="24"/>
      <c r="H31" s="24"/>
      <c r="I31" s="24"/>
      <c r="J31" s="24"/>
      <c r="K31" s="24"/>
      <c r="L31" s="24"/>
      <c r="M31" s="24"/>
      <c r="N31" s="24"/>
      <c r="O31" s="24"/>
      <c r="P31" s="24"/>
      <c r="Q31" s="24"/>
      <c r="R31" s="24"/>
      <c r="S31" s="24"/>
      <c r="T31" s="24"/>
      <c r="U31" s="24"/>
      <c r="V31" s="24"/>
      <c r="W31" s="24"/>
      <c r="X31" s="24"/>
      <c r="Y31" s="24"/>
      <c r="Z31" s="24"/>
      <c r="AA31" s="24"/>
      <c r="AB31" s="24"/>
      <c r="AC31" s="24"/>
      <c r="AD31" s="24"/>
      <c r="AE31" s="42"/>
      <c r="AG31" s="139"/>
      <c r="AH31" s="140"/>
      <c r="AI31" s="140"/>
      <c r="AJ31" s="141"/>
      <c r="AO31" s="450"/>
    </row>
    <row r="32" spans="2:41" s="29" customFormat="1" ht="73.5" customHeight="1" x14ac:dyDescent="0.2">
      <c r="B32" s="24"/>
      <c r="C32" s="82"/>
      <c r="D32" s="82"/>
      <c r="F32" s="24"/>
      <c r="G32" s="24"/>
      <c r="H32" s="24"/>
      <c r="I32" s="24"/>
      <c r="J32" s="24"/>
      <c r="K32" s="24"/>
      <c r="L32" s="24"/>
      <c r="M32" s="24"/>
      <c r="N32" s="24"/>
      <c r="O32" s="24"/>
      <c r="P32" s="24"/>
      <c r="Q32" s="24"/>
      <c r="R32" s="24"/>
      <c r="S32" s="24"/>
      <c r="T32" s="24"/>
      <c r="U32" s="24"/>
      <c r="V32" s="24"/>
      <c r="W32" s="24"/>
      <c r="X32" s="24"/>
      <c r="Y32" s="24"/>
      <c r="Z32" s="24"/>
      <c r="AA32" s="24"/>
      <c r="AB32" s="24"/>
      <c r="AC32" s="24"/>
      <c r="AD32" s="24"/>
      <c r="AE32" s="42"/>
      <c r="AG32" s="139"/>
      <c r="AH32" s="140">
        <v>1</v>
      </c>
      <c r="AI32" s="140"/>
      <c r="AJ32" s="141">
        <v>1</v>
      </c>
      <c r="AO32" s="448" t="s">
        <v>78</v>
      </c>
    </row>
    <row r="33" spans="2:41" s="29" customFormat="1" ht="58.5" customHeight="1" x14ac:dyDescent="0.2">
      <c r="B33" s="24"/>
      <c r="C33" s="83"/>
      <c r="D33" s="83"/>
      <c r="J33" s="24"/>
      <c r="K33" s="24"/>
      <c r="L33" s="24"/>
      <c r="M33" s="24"/>
      <c r="N33" s="24"/>
      <c r="O33" s="24"/>
      <c r="P33" s="24"/>
      <c r="Q33" s="24"/>
      <c r="R33" s="24"/>
      <c r="S33" s="24"/>
      <c r="T33" s="24"/>
      <c r="U33" s="24"/>
      <c r="V33" s="24"/>
      <c r="W33" s="24"/>
      <c r="X33" s="24"/>
      <c r="Y33" s="24"/>
      <c r="Z33" s="24"/>
      <c r="AA33" s="24"/>
      <c r="AB33" s="24"/>
      <c r="AC33" s="24"/>
      <c r="AD33" s="24"/>
      <c r="AE33" s="42"/>
      <c r="AG33" s="139">
        <v>1</v>
      </c>
      <c r="AH33" s="140"/>
      <c r="AI33" s="140"/>
      <c r="AJ33" s="141">
        <v>1</v>
      </c>
      <c r="AO33" s="449"/>
    </row>
    <row r="34" spans="2:41" s="29" customFormat="1" ht="73.5" customHeight="1" x14ac:dyDescent="0.2">
      <c r="B34" s="24"/>
      <c r="C34" s="83"/>
      <c r="D34" s="83"/>
      <c r="E34" s="24"/>
      <c r="F34" s="24"/>
      <c r="G34" s="24"/>
      <c r="H34" s="24"/>
      <c r="I34" s="24"/>
      <c r="J34" s="24"/>
      <c r="K34" s="24"/>
      <c r="L34" s="24"/>
      <c r="M34" s="24"/>
      <c r="N34" s="24"/>
      <c r="O34" s="24"/>
      <c r="P34" s="24"/>
      <c r="Q34" s="24"/>
      <c r="R34" s="24"/>
      <c r="S34" s="24"/>
      <c r="T34" s="24"/>
      <c r="U34" s="24"/>
      <c r="V34" s="24"/>
      <c r="W34" s="24"/>
      <c r="X34" s="24"/>
      <c r="Y34" s="24"/>
      <c r="Z34" s="24"/>
      <c r="AA34" s="24"/>
      <c r="AB34" s="24"/>
      <c r="AC34" s="24"/>
      <c r="AD34" s="24"/>
      <c r="AE34" s="42"/>
      <c r="AG34" s="139"/>
      <c r="AH34" s="140">
        <v>1</v>
      </c>
      <c r="AI34" s="140"/>
      <c r="AJ34" s="141">
        <v>1</v>
      </c>
      <c r="AO34" s="449"/>
    </row>
    <row r="35" spans="2:41" s="29" customFormat="1" ht="102" customHeight="1" thickBot="1" x14ac:dyDescent="0.25">
      <c r="B35" s="24"/>
      <c r="C35" s="83"/>
      <c r="D35" s="83"/>
      <c r="E35" s="24"/>
      <c r="F35" s="24"/>
      <c r="G35" s="24"/>
      <c r="H35" s="24"/>
      <c r="I35" s="24"/>
      <c r="J35" s="24"/>
      <c r="K35" s="24"/>
      <c r="L35" s="24"/>
      <c r="M35" s="24"/>
      <c r="N35" s="24"/>
      <c r="O35" s="24"/>
      <c r="P35" s="24"/>
      <c r="Q35" s="24"/>
      <c r="R35" s="24"/>
      <c r="S35" s="24"/>
      <c r="T35" s="24"/>
      <c r="U35" s="24"/>
      <c r="V35" s="24"/>
      <c r="W35" s="24"/>
      <c r="X35" s="24"/>
      <c r="Y35" s="24"/>
      <c r="Z35" s="24"/>
      <c r="AA35" s="24"/>
      <c r="AB35" s="24"/>
      <c r="AC35" s="24"/>
      <c r="AD35" s="24"/>
      <c r="AE35" s="42"/>
      <c r="AG35" s="139">
        <v>1</v>
      </c>
      <c r="AH35" s="140"/>
      <c r="AI35" s="140"/>
      <c r="AJ35" s="141">
        <v>1</v>
      </c>
      <c r="AO35" s="449"/>
    </row>
    <row r="36" spans="2:41" s="29" customFormat="1" ht="86.25" customHeight="1" x14ac:dyDescent="0.2">
      <c r="B36" s="24"/>
      <c r="C36" s="83"/>
      <c r="D36" s="83"/>
      <c r="E36" s="24"/>
      <c r="F36" s="24"/>
      <c r="G36" s="24"/>
      <c r="H36" s="24"/>
      <c r="I36" s="24"/>
      <c r="J36" s="24"/>
      <c r="K36" s="24"/>
      <c r="L36" s="24"/>
      <c r="M36" s="24"/>
      <c r="N36" s="24"/>
      <c r="O36" s="24"/>
      <c r="P36" s="24"/>
      <c r="Q36" s="24"/>
      <c r="R36" s="24"/>
      <c r="S36" s="24"/>
      <c r="T36" s="24"/>
      <c r="U36" s="24"/>
      <c r="V36" s="24"/>
      <c r="W36" s="24"/>
      <c r="X36" s="24"/>
      <c r="Y36" s="24"/>
      <c r="Z36" s="24"/>
      <c r="AA36" s="24"/>
      <c r="AB36" s="24"/>
      <c r="AC36" s="24"/>
      <c r="AD36" s="24"/>
      <c r="AE36" s="42"/>
      <c r="AG36" s="139"/>
      <c r="AH36" s="140">
        <v>1</v>
      </c>
      <c r="AI36" s="140"/>
      <c r="AJ36" s="141">
        <v>1</v>
      </c>
      <c r="AO36" s="451" t="s">
        <v>79</v>
      </c>
    </row>
    <row r="37" spans="2:41" s="29" customFormat="1" ht="70.5" customHeight="1" thickBot="1" x14ac:dyDescent="0.25">
      <c r="B37" s="24"/>
      <c r="C37" s="83"/>
      <c r="D37" s="83"/>
      <c r="E37" s="24"/>
      <c r="F37" s="24"/>
      <c r="G37" s="24"/>
      <c r="H37" s="24"/>
      <c r="I37" s="24"/>
      <c r="J37" s="24"/>
      <c r="K37" s="24"/>
      <c r="L37" s="24"/>
      <c r="M37" s="24"/>
      <c r="N37" s="24"/>
      <c r="O37" s="24"/>
      <c r="P37" s="24"/>
      <c r="Q37" s="24"/>
      <c r="R37" s="24"/>
      <c r="S37" s="24"/>
      <c r="T37" s="24"/>
      <c r="U37" s="24"/>
      <c r="V37" s="24"/>
      <c r="W37" s="24"/>
      <c r="X37" s="24"/>
      <c r="Y37" s="24"/>
      <c r="Z37" s="24"/>
      <c r="AA37" s="24"/>
      <c r="AB37" s="24"/>
      <c r="AC37" s="24"/>
      <c r="AD37" s="24"/>
      <c r="AE37" s="42"/>
      <c r="AG37" s="139">
        <v>1</v>
      </c>
      <c r="AH37" s="140"/>
      <c r="AI37" s="140"/>
      <c r="AJ37" s="141">
        <v>1</v>
      </c>
      <c r="AO37" s="452"/>
    </row>
    <row r="38" spans="2:41" s="29" customFormat="1" ht="62.25" customHeight="1" x14ac:dyDescent="0.2">
      <c r="B38" s="24"/>
      <c r="C38" s="83"/>
      <c r="D38" s="83"/>
      <c r="E38" s="24"/>
      <c r="F38" s="24"/>
      <c r="G38" s="24"/>
      <c r="H38" s="24"/>
      <c r="I38" s="24"/>
      <c r="J38" s="24"/>
      <c r="K38" s="24"/>
      <c r="L38" s="24"/>
      <c r="M38" s="24"/>
      <c r="N38" s="24"/>
      <c r="O38" s="24"/>
      <c r="P38" s="24"/>
      <c r="Q38" s="24"/>
      <c r="R38" s="24"/>
      <c r="S38" s="24"/>
      <c r="T38" s="24"/>
      <c r="U38" s="24"/>
      <c r="V38" s="24"/>
      <c r="W38" s="24"/>
      <c r="X38" s="24"/>
      <c r="Y38" s="24"/>
      <c r="Z38" s="24"/>
      <c r="AA38" s="24"/>
      <c r="AB38" s="24"/>
      <c r="AC38" s="24"/>
      <c r="AD38" s="24"/>
      <c r="AE38" s="42"/>
      <c r="AG38" s="139">
        <v>1</v>
      </c>
      <c r="AH38" s="140"/>
      <c r="AI38" s="140"/>
      <c r="AJ38" s="141">
        <v>1</v>
      </c>
      <c r="AO38" s="451" t="s">
        <v>80</v>
      </c>
    </row>
    <row r="39" spans="2:41" s="29" customFormat="1" ht="45.75" customHeight="1" x14ac:dyDescent="0.2">
      <c r="B39" s="24"/>
      <c r="C39" s="83"/>
      <c r="D39" s="83"/>
      <c r="E39" s="24"/>
      <c r="F39" s="24"/>
      <c r="G39" s="24"/>
      <c r="H39" s="24"/>
      <c r="I39" s="24"/>
      <c r="J39" s="24"/>
      <c r="K39" s="24"/>
      <c r="L39" s="24"/>
      <c r="M39" s="24"/>
      <c r="N39" s="24"/>
      <c r="O39" s="24"/>
      <c r="P39" s="24"/>
      <c r="Q39" s="24"/>
      <c r="R39" s="24"/>
      <c r="S39" s="24"/>
      <c r="T39" s="24"/>
      <c r="U39" s="24"/>
      <c r="V39" s="24"/>
      <c r="W39" s="24"/>
      <c r="X39" s="24"/>
      <c r="Y39" s="24"/>
      <c r="Z39" s="24"/>
      <c r="AA39" s="24"/>
      <c r="AB39" s="24"/>
      <c r="AC39" s="24"/>
      <c r="AD39" s="24"/>
      <c r="AE39" s="42"/>
      <c r="AG39" s="139"/>
      <c r="AH39" s="140"/>
      <c r="AI39" s="140">
        <v>1</v>
      </c>
      <c r="AJ39" s="141">
        <v>1</v>
      </c>
      <c r="AO39" s="453"/>
    </row>
    <row r="40" spans="2:41" s="29" customFormat="1" ht="43.5" customHeight="1" x14ac:dyDescent="0.2">
      <c r="B40" s="24"/>
      <c r="C40" s="83"/>
      <c r="D40" s="83"/>
      <c r="E40" s="24"/>
      <c r="F40" s="24"/>
      <c r="G40" s="24"/>
      <c r="H40" s="24"/>
      <c r="I40" s="24"/>
      <c r="J40" s="24"/>
      <c r="K40" s="24"/>
      <c r="L40" s="24"/>
      <c r="M40" s="24"/>
      <c r="N40" s="24"/>
      <c r="O40" s="24"/>
      <c r="P40" s="24"/>
      <c r="Q40" s="24"/>
      <c r="R40" s="24"/>
      <c r="S40" s="24"/>
      <c r="T40" s="24"/>
      <c r="U40" s="24"/>
      <c r="V40" s="24"/>
      <c r="W40" s="24"/>
      <c r="X40" s="24"/>
      <c r="Y40" s="24"/>
      <c r="Z40" s="24"/>
      <c r="AA40" s="24"/>
      <c r="AB40" s="24"/>
      <c r="AC40" s="24"/>
      <c r="AD40" s="24"/>
      <c r="AE40" s="42"/>
      <c r="AG40" s="139">
        <v>1</v>
      </c>
      <c r="AH40" s="140"/>
      <c r="AI40" s="140"/>
      <c r="AJ40" s="141">
        <v>1</v>
      </c>
      <c r="AO40" s="453"/>
    </row>
    <row r="41" spans="2:41" s="29" customFormat="1" ht="61.5" customHeight="1" thickBot="1" x14ac:dyDescent="0.25">
      <c r="B41" s="24"/>
      <c r="C41" s="83"/>
      <c r="D41" s="83"/>
      <c r="J41" s="24"/>
      <c r="K41" s="24"/>
      <c r="L41" s="24"/>
      <c r="M41" s="24"/>
      <c r="N41" s="24"/>
      <c r="O41" s="24"/>
      <c r="P41" s="24"/>
      <c r="Q41" s="24"/>
      <c r="R41" s="24"/>
      <c r="S41" s="24"/>
      <c r="T41" s="24"/>
      <c r="U41" s="24"/>
      <c r="V41" s="24"/>
      <c r="W41" s="24"/>
      <c r="X41" s="24"/>
      <c r="Y41" s="24"/>
      <c r="Z41" s="24"/>
      <c r="AA41" s="24"/>
      <c r="AB41" s="24"/>
      <c r="AC41" s="24"/>
      <c r="AD41" s="24"/>
      <c r="AE41" s="42"/>
      <c r="AG41" s="454"/>
      <c r="AH41" s="455"/>
      <c r="AI41" s="455">
        <v>1</v>
      </c>
      <c r="AJ41" s="456">
        <v>1</v>
      </c>
      <c r="AO41" s="452"/>
    </row>
    <row r="42" spans="2:41" s="29" customFormat="1" ht="70.5" customHeight="1" x14ac:dyDescent="0.2">
      <c r="B42" s="24"/>
      <c r="C42" s="83"/>
      <c r="D42" s="83"/>
      <c r="E42" s="24"/>
      <c r="F42" s="24"/>
      <c r="G42" s="24"/>
      <c r="H42" s="24"/>
      <c r="I42" s="24"/>
      <c r="J42" s="24"/>
      <c r="K42" s="24"/>
      <c r="L42" s="24"/>
      <c r="M42" s="24"/>
      <c r="N42" s="24"/>
      <c r="O42" s="24"/>
      <c r="P42" s="24"/>
      <c r="Q42" s="24"/>
      <c r="R42" s="24"/>
      <c r="S42" s="24"/>
      <c r="T42" s="24"/>
      <c r="U42" s="24"/>
      <c r="V42" s="24"/>
      <c r="W42" s="24"/>
      <c r="X42" s="24"/>
      <c r="Y42" s="24"/>
      <c r="Z42" s="24"/>
      <c r="AA42" s="24"/>
      <c r="AB42" s="24"/>
      <c r="AC42" s="24"/>
      <c r="AD42" s="24"/>
      <c r="AE42" s="42"/>
      <c r="AG42" s="454"/>
      <c r="AH42" s="455"/>
      <c r="AI42" s="455"/>
      <c r="AJ42" s="456"/>
      <c r="AO42" s="448" t="s">
        <v>81</v>
      </c>
    </row>
    <row r="43" spans="2:41" s="29" customFormat="1" ht="59.25" customHeight="1" x14ac:dyDescent="0.2">
      <c r="B43" s="24"/>
      <c r="C43" s="83"/>
      <c r="D43" s="83"/>
      <c r="E43" s="24"/>
      <c r="F43" s="24"/>
      <c r="G43" s="24"/>
      <c r="H43" s="24"/>
      <c r="I43" s="24"/>
      <c r="J43" s="24"/>
      <c r="K43" s="24"/>
      <c r="L43" s="24"/>
      <c r="M43" s="24"/>
      <c r="N43" s="24"/>
      <c r="O43" s="24"/>
      <c r="P43" s="24"/>
      <c r="Q43" s="24"/>
      <c r="R43" s="24"/>
      <c r="S43" s="24"/>
      <c r="T43" s="24"/>
      <c r="U43" s="24"/>
      <c r="V43" s="24"/>
      <c r="W43" s="24"/>
      <c r="X43" s="24"/>
      <c r="Y43" s="24"/>
      <c r="Z43" s="24"/>
      <c r="AA43" s="24"/>
      <c r="AB43" s="24"/>
      <c r="AC43" s="24"/>
      <c r="AD43" s="24"/>
      <c r="AE43" s="42"/>
      <c r="AG43" s="139">
        <v>1</v>
      </c>
      <c r="AH43" s="140"/>
      <c r="AI43" s="140"/>
      <c r="AJ43" s="141">
        <v>1</v>
      </c>
      <c r="AO43" s="449"/>
    </row>
    <row r="44" spans="2:41" s="29" customFormat="1" ht="122.25" customHeight="1" x14ac:dyDescent="0.2">
      <c r="B44" s="24"/>
      <c r="C44" s="83"/>
      <c r="D44" s="83"/>
      <c r="E44" s="24"/>
      <c r="F44" s="24"/>
      <c r="G44" s="24"/>
      <c r="H44" s="24"/>
      <c r="I44" s="24"/>
      <c r="J44" s="24"/>
      <c r="K44" s="24"/>
      <c r="L44" s="24"/>
      <c r="M44" s="24"/>
      <c r="N44" s="24"/>
      <c r="O44" s="24"/>
      <c r="P44" s="24"/>
      <c r="Q44" s="24"/>
      <c r="R44" s="24"/>
      <c r="S44" s="24"/>
      <c r="T44" s="24"/>
      <c r="U44" s="24"/>
      <c r="V44" s="24"/>
      <c r="W44" s="24"/>
      <c r="X44" s="24"/>
      <c r="Y44" s="24"/>
      <c r="Z44" s="24"/>
      <c r="AA44" s="24"/>
      <c r="AB44" s="24"/>
      <c r="AC44" s="24"/>
      <c r="AD44" s="24"/>
      <c r="AE44" s="42"/>
      <c r="AG44" s="139">
        <v>1</v>
      </c>
      <c r="AH44" s="140"/>
      <c r="AI44" s="140"/>
      <c r="AJ44" s="141">
        <v>1</v>
      </c>
      <c r="AO44" s="449"/>
    </row>
    <row r="45" spans="2:41" s="29" customFormat="1" ht="97.5" customHeight="1" x14ac:dyDescent="0.2">
      <c r="B45" s="24"/>
      <c r="C45" s="83"/>
      <c r="D45" s="83"/>
      <c r="E45" s="24"/>
      <c r="F45" s="24"/>
      <c r="G45" s="24"/>
      <c r="H45" s="24"/>
      <c r="I45" s="24"/>
      <c r="J45" s="24"/>
      <c r="K45" s="24"/>
      <c r="L45" s="24"/>
      <c r="M45" s="24"/>
      <c r="N45" s="24"/>
      <c r="O45" s="24"/>
      <c r="P45" s="24"/>
      <c r="Q45" s="24"/>
      <c r="R45" s="24"/>
      <c r="S45" s="24"/>
      <c r="T45" s="24"/>
      <c r="U45" s="24"/>
      <c r="V45" s="24"/>
      <c r="W45" s="24"/>
      <c r="X45" s="24"/>
      <c r="Y45" s="24"/>
      <c r="Z45" s="24"/>
      <c r="AA45" s="24"/>
      <c r="AB45" s="24"/>
      <c r="AC45" s="24"/>
      <c r="AD45" s="24"/>
      <c r="AE45" s="42"/>
      <c r="AG45" s="139">
        <v>1</v>
      </c>
      <c r="AH45" s="140"/>
      <c r="AI45" s="140"/>
      <c r="AJ45" s="141">
        <v>1</v>
      </c>
      <c r="AO45" s="449"/>
    </row>
    <row r="46" spans="2:41" s="29" customFormat="1" ht="49.5" customHeight="1" thickBot="1" x14ac:dyDescent="0.25">
      <c r="B46" s="24"/>
      <c r="C46" s="83"/>
      <c r="D46" s="83"/>
      <c r="E46" s="24"/>
      <c r="F46" s="24"/>
      <c r="G46" s="24"/>
      <c r="H46" s="24"/>
      <c r="I46" s="24"/>
      <c r="J46" s="24"/>
      <c r="K46" s="24"/>
      <c r="L46" s="24"/>
      <c r="M46" s="24"/>
      <c r="N46" s="24"/>
      <c r="O46" s="24"/>
      <c r="P46" s="24"/>
      <c r="Q46" s="24"/>
      <c r="R46" s="24"/>
      <c r="S46" s="24"/>
      <c r="T46" s="24"/>
      <c r="U46" s="24"/>
      <c r="V46" s="24"/>
      <c r="W46" s="24"/>
      <c r="X46" s="24"/>
      <c r="Y46" s="24"/>
      <c r="Z46" s="24"/>
      <c r="AA46" s="24"/>
      <c r="AB46" s="24"/>
      <c r="AC46" s="24"/>
      <c r="AD46" s="24"/>
      <c r="AE46" s="42"/>
      <c r="AG46" s="139">
        <v>1</v>
      </c>
      <c r="AH46" s="140"/>
      <c r="AI46" s="140"/>
      <c r="AJ46" s="141">
        <v>1</v>
      </c>
      <c r="AO46" s="450"/>
    </row>
    <row r="47" spans="2:41" s="29" customFormat="1" ht="61.5" customHeight="1" x14ac:dyDescent="0.2">
      <c r="B47" s="24"/>
      <c r="C47" s="83"/>
      <c r="D47" s="83"/>
      <c r="E47" s="24"/>
      <c r="F47" s="24"/>
      <c r="G47" s="24"/>
      <c r="H47" s="24"/>
      <c r="I47" s="24"/>
      <c r="J47" s="24"/>
      <c r="K47" s="24"/>
      <c r="L47" s="24"/>
      <c r="M47" s="24"/>
      <c r="N47" s="24"/>
      <c r="O47" s="24"/>
      <c r="P47" s="24"/>
      <c r="Q47" s="24"/>
      <c r="R47" s="24"/>
      <c r="S47" s="24"/>
      <c r="T47" s="24"/>
      <c r="U47" s="24"/>
      <c r="V47" s="24"/>
      <c r="W47" s="24"/>
      <c r="X47" s="24"/>
      <c r="Y47" s="24"/>
      <c r="Z47" s="24"/>
      <c r="AA47" s="24"/>
      <c r="AB47" s="24"/>
      <c r="AC47" s="24"/>
      <c r="AD47" s="24"/>
      <c r="AE47" s="42"/>
      <c r="AG47" s="139"/>
      <c r="AH47" s="140">
        <v>1</v>
      </c>
      <c r="AI47" s="140"/>
      <c r="AJ47" s="141">
        <v>1</v>
      </c>
      <c r="AO47" s="448" t="s">
        <v>82</v>
      </c>
    </row>
    <row r="48" spans="2:41" s="29" customFormat="1" ht="44.25" customHeight="1" x14ac:dyDescent="0.2">
      <c r="B48" s="24"/>
      <c r="C48" s="83"/>
      <c r="D48" s="83"/>
      <c r="E48" s="24"/>
      <c r="F48" s="24"/>
      <c r="G48" s="24"/>
      <c r="H48" s="24"/>
      <c r="I48" s="24"/>
      <c r="J48" s="24"/>
      <c r="K48" s="24"/>
      <c r="L48" s="24"/>
      <c r="M48" s="24"/>
      <c r="N48" s="24"/>
      <c r="O48" s="24"/>
      <c r="P48" s="24"/>
      <c r="Q48" s="24"/>
      <c r="R48" s="24"/>
      <c r="S48" s="24"/>
      <c r="T48" s="24"/>
      <c r="U48" s="24"/>
      <c r="V48" s="24"/>
      <c r="W48" s="24"/>
      <c r="X48" s="24"/>
      <c r="Y48" s="24"/>
      <c r="Z48" s="24"/>
      <c r="AA48" s="24"/>
      <c r="AB48" s="24"/>
      <c r="AC48" s="24"/>
      <c r="AD48" s="24"/>
      <c r="AE48" s="42"/>
      <c r="AG48" s="139">
        <v>1</v>
      </c>
      <c r="AH48" s="140"/>
      <c r="AI48" s="140"/>
      <c r="AJ48" s="141">
        <v>1</v>
      </c>
      <c r="AO48" s="449"/>
    </row>
    <row r="49" spans="2:41" s="29" customFormat="1" ht="97.5" customHeight="1" x14ac:dyDescent="0.2">
      <c r="B49" s="24"/>
      <c r="C49" s="83"/>
      <c r="D49" s="83"/>
      <c r="J49" s="24"/>
      <c r="K49" s="24"/>
      <c r="L49" s="24"/>
      <c r="M49" s="24"/>
      <c r="N49" s="24"/>
      <c r="O49" s="24"/>
      <c r="P49" s="24"/>
      <c r="Q49" s="24"/>
      <c r="R49" s="24"/>
      <c r="S49" s="24"/>
      <c r="T49" s="24"/>
      <c r="U49" s="24"/>
      <c r="V49" s="24"/>
      <c r="W49" s="24"/>
      <c r="X49" s="24"/>
      <c r="Y49" s="24"/>
      <c r="Z49" s="24"/>
      <c r="AA49" s="24"/>
      <c r="AB49" s="24"/>
      <c r="AC49" s="24"/>
      <c r="AD49" s="24"/>
      <c r="AE49" s="42"/>
      <c r="AG49" s="139">
        <v>1</v>
      </c>
      <c r="AH49" s="140"/>
      <c r="AI49" s="140"/>
      <c r="AJ49" s="141">
        <v>1</v>
      </c>
      <c r="AO49" s="449"/>
    </row>
    <row r="50" spans="2:41" s="29" customFormat="1" ht="54.75" customHeight="1" thickBot="1" x14ac:dyDescent="0.25">
      <c r="B50" s="24"/>
      <c r="C50" s="83"/>
      <c r="D50" s="83"/>
      <c r="E50" s="24"/>
      <c r="F50" s="24"/>
      <c r="G50" s="24"/>
      <c r="H50" s="24"/>
      <c r="I50" s="24"/>
      <c r="J50" s="24"/>
      <c r="K50" s="24"/>
      <c r="L50" s="24"/>
      <c r="M50" s="24"/>
      <c r="N50" s="24"/>
      <c r="O50" s="24"/>
      <c r="P50" s="24"/>
      <c r="Q50" s="24"/>
      <c r="R50" s="24"/>
      <c r="S50" s="24"/>
      <c r="T50" s="24"/>
      <c r="U50" s="24"/>
      <c r="V50" s="24"/>
      <c r="W50" s="24"/>
      <c r="X50" s="24"/>
      <c r="Y50" s="24"/>
      <c r="Z50" s="24"/>
      <c r="AA50" s="24"/>
      <c r="AB50" s="24"/>
      <c r="AC50" s="24"/>
      <c r="AD50" s="24"/>
      <c r="AE50" s="42"/>
      <c r="AG50" s="139">
        <v>1</v>
      </c>
      <c r="AH50" s="140"/>
      <c r="AI50" s="140"/>
      <c r="AJ50" s="141">
        <v>1</v>
      </c>
      <c r="AO50" s="450"/>
    </row>
    <row r="51" spans="2:41" s="29" customFormat="1" ht="83.25" customHeight="1" x14ac:dyDescent="0.2">
      <c r="B51" s="24"/>
      <c r="C51" s="83"/>
      <c r="D51" s="83"/>
      <c r="E51" s="24"/>
      <c r="F51" s="24"/>
      <c r="G51" s="24"/>
      <c r="H51" s="24"/>
      <c r="I51" s="24"/>
      <c r="J51" s="24"/>
      <c r="K51" s="24"/>
      <c r="L51" s="24"/>
      <c r="M51" s="24"/>
      <c r="N51" s="24"/>
      <c r="O51" s="24"/>
      <c r="P51" s="24"/>
      <c r="Q51" s="24"/>
      <c r="R51" s="24"/>
      <c r="S51" s="24"/>
      <c r="T51" s="24"/>
      <c r="U51" s="24"/>
      <c r="V51" s="24"/>
      <c r="W51" s="24"/>
      <c r="X51" s="24"/>
      <c r="Y51" s="24"/>
      <c r="Z51" s="24"/>
      <c r="AA51" s="24"/>
      <c r="AB51" s="24"/>
      <c r="AC51" s="24"/>
      <c r="AD51" s="24"/>
      <c r="AE51" s="42"/>
      <c r="AG51" s="139">
        <v>1</v>
      </c>
      <c r="AH51" s="140"/>
      <c r="AI51" s="140"/>
      <c r="AJ51" s="141">
        <v>1</v>
      </c>
      <c r="AO51" s="448" t="s">
        <v>73</v>
      </c>
    </row>
    <row r="52" spans="2:41" s="29" customFormat="1" ht="82.5" customHeight="1" x14ac:dyDescent="0.2">
      <c r="B52" s="24"/>
      <c r="C52" s="83"/>
      <c r="D52" s="83"/>
      <c r="E52" s="24"/>
      <c r="F52" s="24"/>
      <c r="G52" s="24"/>
      <c r="H52" s="24"/>
      <c r="I52" s="24"/>
      <c r="J52" s="24"/>
      <c r="K52" s="24"/>
      <c r="L52" s="24"/>
      <c r="M52" s="24"/>
      <c r="N52" s="24"/>
      <c r="O52" s="24"/>
      <c r="P52" s="24"/>
      <c r="Q52" s="24"/>
      <c r="R52" s="24"/>
      <c r="S52" s="24"/>
      <c r="T52" s="24"/>
      <c r="U52" s="24"/>
      <c r="V52" s="24"/>
      <c r="W52" s="24"/>
      <c r="X52" s="24"/>
      <c r="Y52" s="24"/>
      <c r="Z52" s="24"/>
      <c r="AA52" s="24"/>
      <c r="AB52" s="24"/>
      <c r="AC52" s="24"/>
      <c r="AD52" s="24"/>
      <c r="AE52" s="42"/>
      <c r="AG52" s="139"/>
      <c r="AH52" s="140"/>
      <c r="AI52" s="140">
        <v>1</v>
      </c>
      <c r="AJ52" s="141">
        <v>1</v>
      </c>
      <c r="AO52" s="449"/>
    </row>
    <row r="53" spans="2:41" s="29" customFormat="1" ht="67.5" customHeight="1" x14ac:dyDescent="0.2">
      <c r="B53" s="24"/>
      <c r="C53" s="83"/>
      <c r="D53" s="83"/>
      <c r="E53" s="24"/>
      <c r="F53" s="24"/>
      <c r="G53" s="24"/>
      <c r="H53" s="24"/>
      <c r="I53" s="24"/>
      <c r="J53" s="24"/>
      <c r="K53" s="24"/>
      <c r="L53" s="24"/>
      <c r="M53" s="24"/>
      <c r="N53" s="24"/>
      <c r="O53" s="24"/>
      <c r="P53" s="24"/>
      <c r="Q53" s="24"/>
      <c r="R53" s="24"/>
      <c r="S53" s="24"/>
      <c r="T53" s="24"/>
      <c r="U53" s="24"/>
      <c r="V53" s="24"/>
      <c r="W53" s="24"/>
      <c r="X53" s="24"/>
      <c r="Y53" s="24"/>
      <c r="Z53" s="24"/>
      <c r="AA53" s="24"/>
      <c r="AB53" s="24"/>
      <c r="AC53" s="24"/>
      <c r="AD53" s="24"/>
      <c r="AE53" s="42"/>
      <c r="AG53" s="139"/>
      <c r="AH53" s="140">
        <v>1</v>
      </c>
      <c r="AI53" s="140"/>
      <c r="AJ53" s="141">
        <v>1</v>
      </c>
      <c r="AO53" s="449"/>
    </row>
    <row r="54" spans="2:41" s="29" customFormat="1" ht="65.25" customHeight="1" thickBot="1" x14ac:dyDescent="0.25">
      <c r="B54" s="24"/>
      <c r="C54" s="83"/>
      <c r="D54" s="83"/>
      <c r="E54" s="24"/>
      <c r="F54" s="24"/>
      <c r="G54" s="24"/>
      <c r="H54" s="24"/>
      <c r="I54" s="24"/>
      <c r="J54" s="24"/>
      <c r="K54" s="24"/>
      <c r="L54" s="24"/>
      <c r="M54" s="24"/>
      <c r="N54" s="24"/>
      <c r="O54" s="24"/>
      <c r="P54" s="24"/>
      <c r="Q54" s="24"/>
      <c r="R54" s="24"/>
      <c r="S54" s="24"/>
      <c r="T54" s="24"/>
      <c r="U54" s="24"/>
      <c r="V54" s="24"/>
      <c r="W54" s="24"/>
      <c r="X54" s="24"/>
      <c r="Y54" s="24"/>
      <c r="Z54" s="24"/>
      <c r="AA54" s="24"/>
      <c r="AB54" s="24"/>
      <c r="AC54" s="24"/>
      <c r="AD54" s="24"/>
      <c r="AE54" s="42"/>
      <c r="AG54" s="139">
        <v>1</v>
      </c>
      <c r="AH54" s="140"/>
      <c r="AI54" s="140"/>
      <c r="AJ54" s="141">
        <v>1</v>
      </c>
      <c r="AO54" s="450"/>
    </row>
    <row r="55" spans="2:41" s="29" customFormat="1" ht="36.75" customHeight="1" x14ac:dyDescent="0.2">
      <c r="B55" s="24"/>
      <c r="C55" s="83"/>
      <c r="D55" s="83"/>
      <c r="E55" s="24"/>
      <c r="F55" s="24"/>
      <c r="G55" s="24"/>
      <c r="H55" s="24"/>
      <c r="I55" s="24"/>
      <c r="J55" s="24"/>
      <c r="K55" s="24"/>
      <c r="L55" s="24"/>
      <c r="M55" s="24"/>
      <c r="N55" s="24"/>
      <c r="O55" s="24"/>
      <c r="P55" s="24"/>
      <c r="Q55" s="24"/>
      <c r="R55" s="24"/>
      <c r="S55" s="24"/>
      <c r="T55" s="24"/>
      <c r="U55" s="24"/>
      <c r="V55" s="24"/>
      <c r="W55" s="24"/>
      <c r="X55" s="24"/>
      <c r="Y55" s="24"/>
      <c r="Z55" s="24"/>
      <c r="AA55" s="24"/>
      <c r="AB55" s="24"/>
      <c r="AC55" s="24"/>
      <c r="AD55" s="24"/>
      <c r="AE55" s="42"/>
      <c r="AG55" s="139"/>
      <c r="AH55" s="140"/>
      <c r="AI55" s="140"/>
      <c r="AJ55" s="141"/>
    </row>
    <row r="56" spans="2:41" s="29" customFormat="1" ht="151.5" customHeight="1" x14ac:dyDescent="0.2">
      <c r="B56" s="24"/>
      <c r="C56" s="83"/>
      <c r="D56" s="83"/>
      <c r="I56" s="24"/>
      <c r="J56" s="24"/>
      <c r="K56" s="24"/>
      <c r="L56" s="24"/>
      <c r="M56" s="24"/>
      <c r="N56" s="24"/>
      <c r="O56" s="24"/>
      <c r="P56" s="24"/>
      <c r="Q56" s="24"/>
      <c r="R56" s="24"/>
      <c r="S56" s="24"/>
      <c r="T56" s="24"/>
      <c r="U56" s="24"/>
      <c r="V56" s="24"/>
      <c r="W56" s="24"/>
      <c r="X56" s="24"/>
      <c r="Y56" s="24"/>
      <c r="Z56" s="24"/>
      <c r="AA56" s="24"/>
      <c r="AB56" s="24"/>
      <c r="AC56" s="24"/>
      <c r="AD56" s="24"/>
      <c r="AE56" s="42"/>
      <c r="AG56" s="139"/>
      <c r="AH56" s="140"/>
      <c r="AI56" s="140">
        <v>1</v>
      </c>
      <c r="AJ56" s="141">
        <v>1</v>
      </c>
    </row>
    <row r="57" spans="2:41" s="29" customFormat="1" ht="100.5" customHeight="1" x14ac:dyDescent="0.2">
      <c r="B57" s="24"/>
      <c r="C57" s="83"/>
      <c r="D57" s="83"/>
      <c r="E57" s="24"/>
      <c r="F57" s="24"/>
      <c r="G57" s="24"/>
      <c r="H57" s="24"/>
      <c r="I57" s="24"/>
      <c r="J57" s="24"/>
      <c r="K57" s="24"/>
      <c r="L57" s="24"/>
      <c r="M57" s="24"/>
      <c r="N57" s="24"/>
      <c r="O57" s="24"/>
      <c r="P57" s="24"/>
      <c r="Q57" s="24"/>
      <c r="R57" s="24"/>
      <c r="S57" s="24"/>
      <c r="T57" s="24"/>
      <c r="U57" s="24"/>
      <c r="V57" s="24"/>
      <c r="W57" s="24"/>
      <c r="X57" s="24"/>
      <c r="Y57" s="24"/>
      <c r="Z57" s="24"/>
      <c r="AA57" s="24"/>
      <c r="AB57" s="24"/>
      <c r="AC57" s="24"/>
      <c r="AD57" s="24"/>
      <c r="AE57" s="42"/>
      <c r="AG57" s="139"/>
      <c r="AH57" s="140"/>
      <c r="AI57" s="140">
        <v>1</v>
      </c>
      <c r="AJ57" s="141">
        <v>1</v>
      </c>
    </row>
    <row r="58" spans="2:41" s="29" customFormat="1" ht="113.25" customHeight="1" x14ac:dyDescent="0.2">
      <c r="B58" s="24"/>
      <c r="C58" s="83"/>
      <c r="D58" s="83"/>
      <c r="E58" s="24"/>
      <c r="F58" s="24"/>
      <c r="G58" s="24"/>
      <c r="H58" s="24"/>
      <c r="I58" s="24"/>
      <c r="J58" s="24"/>
      <c r="K58" s="24"/>
      <c r="L58" s="24"/>
      <c r="M58" s="24"/>
      <c r="N58" s="24"/>
      <c r="O58" s="24"/>
      <c r="P58" s="24"/>
      <c r="Q58" s="24"/>
      <c r="R58" s="24"/>
      <c r="S58" s="24"/>
      <c r="T58" s="24"/>
      <c r="U58" s="24"/>
      <c r="V58" s="24"/>
      <c r="W58" s="24"/>
      <c r="X58" s="24"/>
      <c r="Y58" s="24"/>
      <c r="Z58" s="24"/>
      <c r="AA58" s="24"/>
      <c r="AB58" s="24"/>
      <c r="AC58" s="24"/>
      <c r="AD58" s="24"/>
      <c r="AE58" s="42"/>
      <c r="AG58" s="139"/>
      <c r="AH58" s="140">
        <v>1</v>
      </c>
      <c r="AI58" s="140"/>
      <c r="AJ58" s="141">
        <v>1</v>
      </c>
    </row>
    <row r="59" spans="2:41" ht="54.75" customHeight="1" x14ac:dyDescent="0.2">
      <c r="C59" s="83"/>
      <c r="D59" s="83"/>
      <c r="AE59" s="42"/>
      <c r="AF59" s="29"/>
      <c r="AG59" s="34"/>
      <c r="AH59" s="30">
        <v>1</v>
      </c>
      <c r="AI59" s="30"/>
      <c r="AJ59" s="35">
        <v>1</v>
      </c>
    </row>
    <row r="60" spans="2:41" ht="45.75" customHeight="1" x14ac:dyDescent="0.2">
      <c r="C60" s="83"/>
      <c r="D60" s="83"/>
      <c r="AE60" s="42"/>
      <c r="AF60" s="29"/>
      <c r="AG60" s="34"/>
      <c r="AH60" s="30">
        <v>1</v>
      </c>
      <c r="AI60" s="30"/>
      <c r="AJ60" s="35">
        <v>1</v>
      </c>
    </row>
    <row r="61" spans="2:41" ht="54.75" customHeight="1" x14ac:dyDescent="0.2">
      <c r="C61" s="83"/>
      <c r="D61" s="83"/>
      <c r="AE61" s="42"/>
      <c r="AF61" s="29"/>
      <c r="AG61" s="34"/>
      <c r="AH61" s="30">
        <v>1</v>
      </c>
      <c r="AI61" s="30"/>
      <c r="AJ61" s="35">
        <v>1</v>
      </c>
    </row>
    <row r="62" spans="2:41" ht="201.75" customHeight="1" x14ac:dyDescent="0.2">
      <c r="C62" s="83"/>
      <c r="D62" s="83"/>
      <c r="AE62" s="42"/>
      <c r="AF62" s="29"/>
      <c r="AG62" s="34"/>
      <c r="AH62" s="30">
        <v>1</v>
      </c>
      <c r="AI62" s="30"/>
      <c r="AJ62" s="35">
        <v>1</v>
      </c>
    </row>
    <row r="63" spans="2:41" ht="125.25" customHeight="1" x14ac:dyDescent="0.2">
      <c r="C63" s="83"/>
      <c r="D63" s="83"/>
      <c r="AE63" s="42"/>
      <c r="AF63" s="29"/>
      <c r="AG63" s="34"/>
      <c r="AH63" s="30">
        <v>1</v>
      </c>
      <c r="AI63" s="30"/>
      <c r="AJ63" s="35">
        <v>1</v>
      </c>
    </row>
    <row r="64" spans="2:41" ht="112.5" customHeight="1" thickBot="1" x14ac:dyDescent="0.25">
      <c r="C64" s="83"/>
      <c r="D64" s="83"/>
      <c r="AE64" s="42"/>
      <c r="AG64" s="36">
        <f>SUM(AG9:AG59)</f>
        <v>23</v>
      </c>
      <c r="AH64" s="37">
        <f>SUM(AH9:AH63)</f>
        <v>18</v>
      </c>
      <c r="AI64" s="37">
        <f>SUM(AI9:AI63)</f>
        <v>5</v>
      </c>
      <c r="AJ64" s="38">
        <f>SUM(AJ9:AJ63)</f>
        <v>46</v>
      </c>
    </row>
    <row r="65" spans="3:31" ht="94.5" customHeight="1" x14ac:dyDescent="0.2">
      <c r="C65" s="83"/>
      <c r="D65" s="83"/>
      <c r="AE65" s="42"/>
    </row>
    <row r="66" spans="3:31" ht="100.5" customHeight="1" x14ac:dyDescent="0.2">
      <c r="C66" s="83"/>
      <c r="D66" s="83"/>
      <c r="AE66" s="42"/>
    </row>
    <row r="67" spans="3:31" ht="226.5" customHeight="1" x14ac:dyDescent="0.2">
      <c r="C67" s="83"/>
      <c r="D67" s="83"/>
      <c r="AE67" s="42"/>
    </row>
    <row r="68" spans="3:31" ht="67.5" customHeight="1" x14ac:dyDescent="0.2">
      <c r="C68" s="83"/>
      <c r="D68" s="83"/>
      <c r="AE68" s="42"/>
    </row>
    <row r="69" spans="3:31" ht="90.75" customHeight="1" x14ac:dyDescent="0.2">
      <c r="C69" s="83"/>
      <c r="D69" s="83"/>
      <c r="AE69" s="42"/>
    </row>
    <row r="70" spans="3:31" ht="75" customHeight="1" x14ac:dyDescent="0.2">
      <c r="C70" s="83"/>
      <c r="D70" s="83"/>
      <c r="AE70" s="42"/>
    </row>
    <row r="71" spans="3:31" x14ac:dyDescent="0.2">
      <c r="C71" s="83"/>
      <c r="D71" s="83"/>
      <c r="AE71" s="42"/>
    </row>
    <row r="72" spans="3:31" ht="43.5" customHeight="1" x14ac:dyDescent="0.2">
      <c r="C72" s="83"/>
      <c r="D72" s="83"/>
      <c r="AE72" s="42"/>
    </row>
    <row r="73" spans="3:31" ht="49.5" customHeight="1" x14ac:dyDescent="0.2">
      <c r="C73" s="83"/>
      <c r="D73" s="83"/>
      <c r="AE73" s="42"/>
    </row>
    <row r="74" spans="3:31" ht="232.5" customHeight="1" x14ac:dyDescent="0.2">
      <c r="C74" s="83"/>
      <c r="D74" s="83"/>
      <c r="H74" s="83"/>
      <c r="I74" s="83"/>
      <c r="AE74" s="42"/>
    </row>
    <row r="75" spans="3:31" x14ac:dyDescent="0.2">
      <c r="C75" s="83"/>
      <c r="D75" s="83"/>
      <c r="AE75" s="42"/>
    </row>
    <row r="76" spans="3:31" ht="241.5" customHeight="1" x14ac:dyDescent="0.2">
      <c r="C76" s="83"/>
      <c r="D76" s="83"/>
      <c r="AE76" s="42"/>
    </row>
    <row r="77" spans="3:31" x14ac:dyDescent="0.2">
      <c r="AE77" s="42"/>
    </row>
    <row r="78" spans="3:31" x14ac:dyDescent="0.2">
      <c r="AE78" s="42"/>
    </row>
    <row r="79" spans="3:31" x14ac:dyDescent="0.2">
      <c r="AE79" s="42"/>
    </row>
    <row r="80" spans="3:31" x14ac:dyDescent="0.2">
      <c r="AE80" s="42"/>
    </row>
  </sheetData>
  <autoFilter ref="B8:AC16"/>
  <mergeCells count="56">
    <mergeCell ref="AO47:AO50"/>
    <mergeCell ref="AO51:AO54"/>
    <mergeCell ref="AO32:AO35"/>
    <mergeCell ref="AO36:AO37"/>
    <mergeCell ref="AO38:AO41"/>
    <mergeCell ref="AG41:AG42"/>
    <mergeCell ref="AH41:AH42"/>
    <mergeCell ref="AI41:AI42"/>
    <mergeCell ref="AJ41:AJ42"/>
    <mergeCell ref="AO42:AO46"/>
    <mergeCell ref="H21:I21"/>
    <mergeCell ref="M21:N21"/>
    <mergeCell ref="O21:P21"/>
    <mergeCell ref="F22:G22"/>
    <mergeCell ref="H22:I22"/>
    <mergeCell ref="AG7:AJ7"/>
    <mergeCell ref="B9:B16"/>
    <mergeCell ref="AE9:AE16"/>
    <mergeCell ref="AO26:AO31"/>
    <mergeCell ref="AO18:AO25"/>
    <mergeCell ref="F19:G19"/>
    <mergeCell ref="H19:I19"/>
    <mergeCell ref="M19:N19"/>
    <mergeCell ref="O19:P19"/>
    <mergeCell ref="F20:G20"/>
    <mergeCell ref="H20:I20"/>
    <mergeCell ref="M20:N20"/>
    <mergeCell ref="O20:P20"/>
    <mergeCell ref="F21:G21"/>
    <mergeCell ref="H18:K18"/>
    <mergeCell ref="M18:P18"/>
    <mergeCell ref="Q6:U7"/>
    <mergeCell ref="V6:AE6"/>
    <mergeCell ref="B7:B8"/>
    <mergeCell ref="C7:C8"/>
    <mergeCell ref="D7:D8"/>
    <mergeCell ref="O7:P7"/>
    <mergeCell ref="V7:Y7"/>
    <mergeCell ref="Z7:AD7"/>
    <mergeCell ref="AE7:AE8"/>
    <mergeCell ref="H23:I23"/>
    <mergeCell ref="B5:AE5"/>
    <mergeCell ref="B2:AE2"/>
    <mergeCell ref="B3:F3"/>
    <mergeCell ref="G3:N3"/>
    <mergeCell ref="O3:T3"/>
    <mergeCell ref="U3:AA3"/>
    <mergeCell ref="AB3:AE3"/>
    <mergeCell ref="B4:F4"/>
    <mergeCell ref="G4:N4"/>
    <mergeCell ref="O4:T4"/>
    <mergeCell ref="U4:AA4"/>
    <mergeCell ref="AB4:AE4"/>
    <mergeCell ref="B6:I6"/>
    <mergeCell ref="J6:N7"/>
    <mergeCell ref="O6:P6"/>
  </mergeCells>
  <conditionalFormatting sqref="N9:P13 U9:U13">
    <cfRule type="cellIs" dxfId="264" priority="64" operator="equal">
      <formula>5</formula>
    </cfRule>
    <cfRule type="cellIs" priority="65" operator="equal">
      <formula>5</formula>
    </cfRule>
    <cfRule type="cellIs" dxfId="263" priority="66" operator="between">
      <formula>6</formula>
      <formula>30</formula>
    </cfRule>
    <cfRule type="cellIs" dxfId="262" priority="67" operator="between">
      <formula>31</formula>
      <formula>60</formula>
    </cfRule>
  </conditionalFormatting>
  <conditionalFormatting sqref="N9:P13 U9:Y13 V15:Y15">
    <cfRule type="containsErrors" dxfId="261" priority="63">
      <formula>ISERROR(N9)</formula>
    </cfRule>
  </conditionalFormatting>
  <conditionalFormatting sqref="J9:J13 L9:L13 Q9:Q13 S9:S13 S15 Q15 L15 J15">
    <cfRule type="containsText" dxfId="260" priority="62" operator="containsText" text="N/A">
      <formula>NOT(ISERROR(SEARCH("N/A",J9)))</formula>
    </cfRule>
  </conditionalFormatting>
  <conditionalFormatting sqref="M20 O20">
    <cfRule type="cellIs" dxfId="259" priority="49" operator="equal">
      <formula>5</formula>
    </cfRule>
    <cfRule type="cellIs" priority="50" operator="equal">
      <formula>5</formula>
    </cfRule>
    <cfRule type="cellIs" dxfId="258" priority="51" operator="between">
      <formula>6</formula>
      <formula>30</formula>
    </cfRule>
    <cfRule type="cellIs" dxfId="257" priority="52" operator="between">
      <formula>31</formula>
      <formula>60</formula>
    </cfRule>
  </conditionalFormatting>
  <conditionalFormatting sqref="M20 O20">
    <cfRule type="containsErrors" dxfId="256" priority="48">
      <formula>ISERROR(M20)</formula>
    </cfRule>
  </conditionalFormatting>
  <conditionalFormatting sqref="K9:K13">
    <cfRule type="containsText" dxfId="255" priority="47" operator="containsText" text="N/A">
      <formula>NOT(ISERROR(SEARCH("N/A",K9)))</formula>
    </cfRule>
  </conditionalFormatting>
  <conditionalFormatting sqref="M9:M13">
    <cfRule type="containsText" dxfId="254" priority="46" operator="containsText" text="N/A">
      <formula>NOT(ISERROR(SEARCH("N/A",M9)))</formula>
    </cfRule>
  </conditionalFormatting>
  <conditionalFormatting sqref="R9:R13">
    <cfRule type="containsText" dxfId="253" priority="45" operator="containsText" text="N/A">
      <formula>NOT(ISERROR(SEARCH("N/A",R9)))</formula>
    </cfRule>
  </conditionalFormatting>
  <conditionalFormatting sqref="T9:T13">
    <cfRule type="containsText" dxfId="252" priority="44" operator="containsText" text="N/A">
      <formula>NOT(ISERROR(SEARCH("N/A",T9)))</formula>
    </cfRule>
  </conditionalFormatting>
  <conditionalFormatting sqref="N14:P14 N15">
    <cfRule type="cellIs" dxfId="251" priority="40" operator="equal">
      <formula>5</formula>
    </cfRule>
    <cfRule type="cellIs" priority="41" operator="equal">
      <formula>5</formula>
    </cfRule>
    <cfRule type="cellIs" dxfId="250" priority="42" operator="between">
      <formula>6</formula>
      <formula>30</formula>
    </cfRule>
    <cfRule type="cellIs" dxfId="249" priority="43" operator="between">
      <formula>31</formula>
      <formula>60</formula>
    </cfRule>
  </conditionalFormatting>
  <conditionalFormatting sqref="N14:P14 N15">
    <cfRule type="containsErrors" dxfId="248" priority="39">
      <formula>ISERROR(N14)</formula>
    </cfRule>
  </conditionalFormatting>
  <conditionalFormatting sqref="J14">
    <cfRule type="containsText" dxfId="247" priority="38" operator="containsText" text="N/A">
      <formula>NOT(ISERROR(SEARCH("N/A",J14)))</formula>
    </cfRule>
  </conditionalFormatting>
  <conditionalFormatting sqref="L14">
    <cfRule type="containsText" dxfId="246" priority="29" operator="containsText" text="N/A">
      <formula>NOT(ISERROR(SEARCH("N/A",L14)))</formula>
    </cfRule>
    <cfRule type="containsText" dxfId="245" priority="37" operator="containsText" text="N/A">
      <formula>NOT(ISERROR(SEARCH("N/A",L14)))</formula>
    </cfRule>
  </conditionalFormatting>
  <conditionalFormatting sqref="V14:Y14">
    <cfRule type="containsErrors" dxfId="244" priority="36">
      <formula>ISERROR(V14)</formula>
    </cfRule>
  </conditionalFormatting>
  <conditionalFormatting sqref="Q14">
    <cfRule type="containsText" dxfId="243" priority="35" operator="containsText" text="N/A">
      <formula>NOT(ISERROR(SEARCH("N/A",Q14)))</formula>
    </cfRule>
  </conditionalFormatting>
  <conditionalFormatting sqref="S14">
    <cfRule type="containsText" dxfId="242" priority="34" operator="containsText" text="N/A">
      <formula>NOT(ISERROR(SEARCH("N/A",S14)))</formula>
    </cfRule>
  </conditionalFormatting>
  <conditionalFormatting sqref="U14:U15">
    <cfRule type="containsErrors" dxfId="241" priority="25">
      <formula>ISERROR(U14)</formula>
    </cfRule>
    <cfRule type="cellIs" dxfId="240" priority="31" operator="between">
      <formula>31</formula>
      <formula>60</formula>
    </cfRule>
    <cfRule type="cellIs" dxfId="239" priority="32" operator="between">
      <formula>6</formula>
      <formula>30</formula>
    </cfRule>
    <cfRule type="cellIs" dxfId="238" priority="33" operator="equal">
      <formula>5</formula>
    </cfRule>
  </conditionalFormatting>
  <conditionalFormatting sqref="K14:K15">
    <cfRule type="containsText" dxfId="237" priority="30" operator="containsText" text="N/A">
      <formula>NOT(ISERROR(SEARCH("N/A",K14)))</formula>
    </cfRule>
  </conditionalFormatting>
  <conditionalFormatting sqref="M14:M15">
    <cfRule type="containsText" dxfId="236" priority="28" operator="containsText" text="N/A">
      <formula>NOT(ISERROR(SEARCH("N/A",M14)))</formula>
    </cfRule>
  </conditionalFormatting>
  <conditionalFormatting sqref="R14:R15">
    <cfRule type="containsText" dxfId="235" priority="27" operator="containsText" text="N/A">
      <formula>NOT(ISERROR(SEARCH("N/A",R14)))</formula>
    </cfRule>
  </conditionalFormatting>
  <conditionalFormatting sqref="T14:T15">
    <cfRule type="containsText" dxfId="234" priority="26" operator="containsText" text="N/A">
      <formula>NOT(ISERROR(SEARCH("N/A",T14)))</formula>
    </cfRule>
  </conditionalFormatting>
  <conditionalFormatting sqref="O16:P16">
    <cfRule type="cellIs" dxfId="233" priority="21" operator="equal">
      <formula>5</formula>
    </cfRule>
    <cfRule type="cellIs" priority="22" operator="equal">
      <formula>5</formula>
    </cfRule>
    <cfRule type="cellIs" dxfId="232" priority="23" operator="between">
      <formula>6</formula>
      <formula>30</formula>
    </cfRule>
    <cfRule type="cellIs" dxfId="231" priority="24" operator="between">
      <formula>31</formula>
      <formula>60</formula>
    </cfRule>
  </conditionalFormatting>
  <conditionalFormatting sqref="O16:P16 V16:Y16">
    <cfRule type="containsErrors" dxfId="230" priority="20">
      <formula>ISERROR(O16)</formula>
    </cfRule>
  </conditionalFormatting>
  <conditionalFormatting sqref="S16 Q16 L16 J16">
    <cfRule type="containsText" dxfId="229" priority="19" operator="containsText" text="N/A">
      <formula>NOT(ISERROR(SEARCH("N/A",J16)))</formula>
    </cfRule>
  </conditionalFormatting>
  <conditionalFormatting sqref="N16">
    <cfRule type="cellIs" dxfId="228" priority="15" operator="equal">
      <formula>5</formula>
    </cfRule>
    <cfRule type="cellIs" priority="16" operator="equal">
      <formula>5</formula>
    </cfRule>
    <cfRule type="cellIs" dxfId="227" priority="17" operator="between">
      <formula>6</formula>
      <formula>30</formula>
    </cfRule>
    <cfRule type="cellIs" dxfId="226" priority="18" operator="between">
      <formula>31</formula>
      <formula>60</formula>
    </cfRule>
  </conditionalFormatting>
  <conditionalFormatting sqref="N16">
    <cfRule type="containsErrors" dxfId="225" priority="14">
      <formula>ISERROR(N16)</formula>
    </cfRule>
  </conditionalFormatting>
  <conditionalFormatting sqref="U16">
    <cfRule type="containsErrors" dxfId="224" priority="6">
      <formula>ISERROR(U16)</formula>
    </cfRule>
    <cfRule type="cellIs" dxfId="223" priority="11" operator="between">
      <formula>31</formula>
      <formula>60</formula>
    </cfRule>
    <cfRule type="cellIs" dxfId="222" priority="12" operator="between">
      <formula>6</formula>
      <formula>30</formula>
    </cfRule>
    <cfRule type="cellIs" dxfId="221" priority="13" operator="equal">
      <formula>5</formula>
    </cfRule>
  </conditionalFormatting>
  <conditionalFormatting sqref="K16">
    <cfRule type="containsText" dxfId="220" priority="10" operator="containsText" text="N/A">
      <formula>NOT(ISERROR(SEARCH("N/A",K16)))</formula>
    </cfRule>
  </conditionalFormatting>
  <conditionalFormatting sqref="M16">
    <cfRule type="containsText" dxfId="219" priority="9" operator="containsText" text="N/A">
      <formula>NOT(ISERROR(SEARCH("N/A",M16)))</formula>
    </cfRule>
  </conditionalFormatting>
  <conditionalFormatting sqref="R16">
    <cfRule type="containsText" dxfId="218" priority="8" operator="containsText" text="N/A">
      <formula>NOT(ISERROR(SEARCH("N/A",R16)))</formula>
    </cfRule>
  </conditionalFormatting>
  <conditionalFormatting sqref="T16">
    <cfRule type="containsText" dxfId="217" priority="7" operator="containsText" text="N/A">
      <formula>NOT(ISERROR(SEARCH("N/A",T16)))</formula>
    </cfRule>
  </conditionalFormatting>
  <conditionalFormatting sqref="O15:P15">
    <cfRule type="cellIs" dxfId="216" priority="2" operator="equal">
      <formula>5</formula>
    </cfRule>
    <cfRule type="cellIs" priority="3" operator="equal">
      <formula>5</formula>
    </cfRule>
    <cfRule type="cellIs" dxfId="215" priority="4" operator="between">
      <formula>6</formula>
      <formula>30</formula>
    </cfRule>
    <cfRule type="cellIs" dxfId="214" priority="5" operator="between">
      <formula>31</formula>
      <formula>60</formula>
    </cfRule>
  </conditionalFormatting>
  <conditionalFormatting sqref="O15:P15">
    <cfRule type="containsErrors" dxfId="213" priority="1">
      <formula>ISERROR(O15)</formula>
    </cfRule>
  </conditionalFormatting>
  <dataValidations count="3">
    <dataValidation type="list" allowBlank="1" showInputMessage="1" showErrorMessage="1" sqref="C9:C16">
      <formula1>$AM$8:$AM$9</formula1>
    </dataValidation>
    <dataValidation type="list" allowBlank="1" showInputMessage="1" showErrorMessage="1" sqref="L9:L16 S9:S16">
      <formula1>$AL$8:$AL$11</formula1>
    </dataValidation>
    <dataValidation type="list" allowBlank="1" showInputMessage="1" showErrorMessage="1" sqref="Q9:Q16 J9:J16">
      <formula1>$AK$8:$AK$11</formula1>
    </dataValidation>
  </dataValidations>
  <printOptions verticalCentered="1"/>
  <pageMargins left="0.19685039370078741" right="0.59055118110236227" top="0.39370078740157483" bottom="0.47244094488188981" header="0" footer="0"/>
  <pageSetup scale="16" fitToHeight="0" orientation="landscape" r:id="rId1"/>
  <headerFooter alignWithMargins="0">
    <oddFooter>&amp;C&amp;8Página &amp;P de &amp;N</oddFooter>
  </headerFooter>
  <colBreaks count="1" manualBreakCount="1">
    <brk id="31" max="1048575" man="1"/>
  </colBreak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pageSetUpPr fitToPage="1"/>
  </sheetPr>
  <dimension ref="B1:AO79"/>
  <sheetViews>
    <sheetView showGridLines="0" view="pageBreakPreview" topLeftCell="T10" zoomScale="60" zoomScaleNormal="25" zoomScalePageLayoutView="75" workbookViewId="0">
      <selection activeCell="AA15" sqref="AA15"/>
    </sheetView>
  </sheetViews>
  <sheetFormatPr baseColWidth="10" defaultColWidth="33.85546875" defaultRowHeight="23.25" x14ac:dyDescent="0.2"/>
  <cols>
    <col min="1" max="1" width="2.140625" style="24" customWidth="1"/>
    <col min="2" max="2" width="17.42578125" style="24" customWidth="1"/>
    <col min="3" max="3" width="23.140625" style="24" customWidth="1"/>
    <col min="4" max="4" width="27.7109375" style="24" customWidth="1"/>
    <col min="5" max="5" width="62.28515625" style="24" bestFit="1" customWidth="1"/>
    <col min="6" max="7" width="28.28515625" style="24" customWidth="1"/>
    <col min="8" max="8" width="32.5703125" style="24" customWidth="1"/>
    <col min="9" max="9" width="32.28515625" style="24" customWidth="1"/>
    <col min="10" max="13" width="15.7109375" style="24" customWidth="1"/>
    <col min="14" max="14" width="29" style="24" customWidth="1"/>
    <col min="15" max="16" width="61.28515625" style="24" customWidth="1"/>
    <col min="17" max="18" width="14.85546875" style="24" customWidth="1"/>
    <col min="19" max="19" width="18.28515625" style="24" customWidth="1"/>
    <col min="20" max="25" width="16.28515625" style="24" customWidth="1"/>
    <col min="26" max="26" width="39.5703125" style="24" customWidth="1"/>
    <col min="27" max="28" width="28" style="24" customWidth="1"/>
    <col min="29" max="29" width="29.42578125" style="24" customWidth="1"/>
    <col min="30" max="30" width="49.42578125" style="24" customWidth="1"/>
    <col min="31" max="31" width="23.140625" style="41" customWidth="1"/>
    <col min="32" max="32" width="17.7109375" style="24" customWidth="1"/>
    <col min="33" max="36" width="33.85546875" style="24" customWidth="1"/>
    <col min="37" max="16384" width="33.85546875" style="24"/>
  </cols>
  <sheetData>
    <row r="1" spans="2:41" ht="9" customHeight="1" x14ac:dyDescent="0.2"/>
    <row r="2" spans="2:41" s="28" customFormat="1" ht="125.25" customHeight="1" thickBot="1" x14ac:dyDescent="0.25">
      <c r="B2" s="385" t="s">
        <v>109</v>
      </c>
      <c r="C2" s="386"/>
      <c r="D2" s="386"/>
      <c r="E2" s="386"/>
      <c r="F2" s="386"/>
      <c r="G2" s="386"/>
      <c r="H2" s="386"/>
      <c r="I2" s="386"/>
      <c r="J2" s="386"/>
      <c r="K2" s="386"/>
      <c r="L2" s="386"/>
      <c r="M2" s="386"/>
      <c r="N2" s="386"/>
      <c r="O2" s="386"/>
      <c r="P2" s="386"/>
      <c r="Q2" s="386"/>
      <c r="R2" s="386"/>
      <c r="S2" s="386"/>
      <c r="T2" s="386"/>
      <c r="U2" s="386"/>
      <c r="V2" s="386"/>
      <c r="W2" s="386"/>
      <c r="X2" s="386"/>
      <c r="Y2" s="386"/>
      <c r="Z2" s="386"/>
      <c r="AA2" s="386"/>
      <c r="AB2" s="386"/>
      <c r="AC2" s="386"/>
      <c r="AD2" s="386"/>
      <c r="AE2" s="386"/>
      <c r="AF2" s="31"/>
    </row>
    <row r="3" spans="2:41" s="29" customFormat="1" ht="66" customHeight="1" thickBot="1" x14ac:dyDescent="0.25">
      <c r="B3" s="387" t="s">
        <v>37</v>
      </c>
      <c r="C3" s="388"/>
      <c r="D3" s="388"/>
      <c r="E3" s="388"/>
      <c r="F3" s="388"/>
      <c r="G3" s="387" t="s">
        <v>108</v>
      </c>
      <c r="H3" s="388"/>
      <c r="I3" s="388"/>
      <c r="J3" s="388"/>
      <c r="K3" s="388"/>
      <c r="L3" s="388"/>
      <c r="M3" s="388"/>
      <c r="N3" s="389"/>
      <c r="O3" s="387" t="s">
        <v>107</v>
      </c>
      <c r="P3" s="388"/>
      <c r="Q3" s="388"/>
      <c r="R3" s="388"/>
      <c r="S3" s="388"/>
      <c r="T3" s="389"/>
      <c r="U3" s="387" t="s">
        <v>38</v>
      </c>
      <c r="V3" s="388"/>
      <c r="W3" s="388"/>
      <c r="X3" s="388"/>
      <c r="Y3" s="388"/>
      <c r="Z3" s="388"/>
      <c r="AA3" s="389"/>
      <c r="AB3" s="387" t="s">
        <v>35</v>
      </c>
      <c r="AC3" s="388"/>
      <c r="AD3" s="388"/>
      <c r="AE3" s="389"/>
      <c r="AF3" s="32"/>
    </row>
    <row r="4" spans="2:41" s="29" customFormat="1" ht="72" customHeight="1" thickBot="1" x14ac:dyDescent="0.25">
      <c r="B4" s="390" t="s">
        <v>36</v>
      </c>
      <c r="C4" s="391"/>
      <c r="D4" s="391"/>
      <c r="E4" s="391"/>
      <c r="F4" s="391"/>
      <c r="G4" s="392">
        <v>42874</v>
      </c>
      <c r="H4" s="393"/>
      <c r="I4" s="393"/>
      <c r="J4" s="393"/>
      <c r="K4" s="393"/>
      <c r="L4" s="393"/>
      <c r="M4" s="393"/>
      <c r="N4" s="394"/>
      <c r="O4" s="395">
        <v>43700</v>
      </c>
      <c r="P4" s="396"/>
      <c r="Q4" s="396"/>
      <c r="R4" s="396"/>
      <c r="S4" s="396"/>
      <c r="T4" s="397"/>
      <c r="U4" s="390">
        <v>4</v>
      </c>
      <c r="V4" s="391"/>
      <c r="W4" s="391"/>
      <c r="X4" s="391"/>
      <c r="Y4" s="391"/>
      <c r="Z4" s="391"/>
      <c r="AA4" s="398"/>
      <c r="AB4" s="390" t="s">
        <v>50</v>
      </c>
      <c r="AC4" s="391"/>
      <c r="AD4" s="391"/>
      <c r="AE4" s="398"/>
      <c r="AF4" s="147"/>
    </row>
    <row r="5" spans="2:41" s="29" customFormat="1" ht="32.1" customHeight="1" thickBot="1" x14ac:dyDescent="0.25">
      <c r="B5" s="383" t="s">
        <v>690</v>
      </c>
      <c r="C5" s="384"/>
      <c r="D5" s="384"/>
      <c r="E5" s="384"/>
      <c r="F5" s="384"/>
      <c r="G5" s="384"/>
      <c r="H5" s="384"/>
      <c r="I5" s="384"/>
      <c r="J5" s="384"/>
      <c r="K5" s="384"/>
      <c r="L5" s="384"/>
      <c r="M5" s="384"/>
      <c r="N5" s="384"/>
      <c r="O5" s="384"/>
      <c r="P5" s="384"/>
      <c r="Q5" s="384"/>
      <c r="R5" s="384"/>
      <c r="S5" s="384"/>
      <c r="T5" s="384"/>
      <c r="U5" s="384"/>
      <c r="V5" s="384"/>
      <c r="W5" s="384"/>
      <c r="X5" s="384"/>
      <c r="Y5" s="384"/>
      <c r="Z5" s="384"/>
      <c r="AA5" s="384"/>
      <c r="AB5" s="384"/>
      <c r="AC5" s="384"/>
      <c r="AD5" s="384"/>
      <c r="AE5" s="384"/>
      <c r="AF5" s="147"/>
    </row>
    <row r="6" spans="2:41" s="29" customFormat="1" ht="54.95" customHeight="1" thickBot="1" x14ac:dyDescent="0.25">
      <c r="B6" s="409" t="s">
        <v>0</v>
      </c>
      <c r="C6" s="410"/>
      <c r="D6" s="410"/>
      <c r="E6" s="410"/>
      <c r="F6" s="410"/>
      <c r="G6" s="410"/>
      <c r="H6" s="410"/>
      <c r="I6" s="411"/>
      <c r="J6" s="412" t="s">
        <v>60</v>
      </c>
      <c r="K6" s="413"/>
      <c r="L6" s="413"/>
      <c r="M6" s="413"/>
      <c r="N6" s="414"/>
      <c r="O6" s="418" t="s">
        <v>92</v>
      </c>
      <c r="P6" s="419"/>
      <c r="Q6" s="420" t="s">
        <v>61</v>
      </c>
      <c r="R6" s="421"/>
      <c r="S6" s="421"/>
      <c r="T6" s="421"/>
      <c r="U6" s="422"/>
      <c r="V6" s="426" t="s">
        <v>56</v>
      </c>
      <c r="W6" s="427"/>
      <c r="X6" s="427"/>
      <c r="Y6" s="427"/>
      <c r="Z6" s="427"/>
      <c r="AA6" s="427"/>
      <c r="AB6" s="427"/>
      <c r="AC6" s="427"/>
      <c r="AD6" s="427"/>
      <c r="AE6" s="428"/>
    </row>
    <row r="7" spans="2:41" s="29" customFormat="1" ht="90" customHeight="1" thickBot="1" x14ac:dyDescent="0.25">
      <c r="B7" s="429" t="s">
        <v>8</v>
      </c>
      <c r="C7" s="430" t="s">
        <v>58</v>
      </c>
      <c r="D7" s="432" t="s">
        <v>89</v>
      </c>
      <c r="E7" s="76" t="s">
        <v>59</v>
      </c>
      <c r="F7" s="43" t="s">
        <v>9</v>
      </c>
      <c r="G7" s="43" t="s">
        <v>102</v>
      </c>
      <c r="H7" s="43" t="s">
        <v>10</v>
      </c>
      <c r="I7" s="95" t="s">
        <v>57</v>
      </c>
      <c r="J7" s="415"/>
      <c r="K7" s="416"/>
      <c r="L7" s="416"/>
      <c r="M7" s="416"/>
      <c r="N7" s="417"/>
      <c r="O7" s="433" t="s">
        <v>101</v>
      </c>
      <c r="P7" s="434"/>
      <c r="Q7" s="423"/>
      <c r="R7" s="424"/>
      <c r="S7" s="424"/>
      <c r="T7" s="424"/>
      <c r="U7" s="425"/>
      <c r="V7" s="435" t="s">
        <v>94</v>
      </c>
      <c r="W7" s="436"/>
      <c r="X7" s="436"/>
      <c r="Y7" s="437"/>
      <c r="Z7" s="475" t="s">
        <v>51</v>
      </c>
      <c r="AA7" s="476"/>
      <c r="AB7" s="476"/>
      <c r="AC7" s="476"/>
      <c r="AD7" s="477"/>
      <c r="AE7" s="445" t="s">
        <v>25</v>
      </c>
      <c r="AG7" s="399" t="s">
        <v>43</v>
      </c>
      <c r="AH7" s="399"/>
      <c r="AI7" s="399"/>
      <c r="AJ7" s="399"/>
      <c r="AK7" s="29" t="s">
        <v>65</v>
      </c>
      <c r="AL7" s="29" t="s">
        <v>66</v>
      </c>
    </row>
    <row r="8" spans="2:41" s="29" customFormat="1" ht="202.5" customHeight="1" thickBot="1" x14ac:dyDescent="0.25">
      <c r="B8" s="474"/>
      <c r="C8" s="431"/>
      <c r="D8" s="431"/>
      <c r="E8" s="254" t="s">
        <v>7</v>
      </c>
      <c r="F8" s="255" t="s">
        <v>62</v>
      </c>
      <c r="G8" s="255" t="s">
        <v>13</v>
      </c>
      <c r="H8" s="255" t="s">
        <v>63</v>
      </c>
      <c r="I8" s="255" t="s">
        <v>64</v>
      </c>
      <c r="J8" s="96" t="s">
        <v>11</v>
      </c>
      <c r="K8" s="102" t="s">
        <v>12</v>
      </c>
      <c r="L8" s="96" t="s">
        <v>1</v>
      </c>
      <c r="M8" s="96" t="s">
        <v>2</v>
      </c>
      <c r="N8" s="256" t="s">
        <v>93</v>
      </c>
      <c r="O8" s="257" t="s">
        <v>90</v>
      </c>
      <c r="P8" s="258" t="s">
        <v>91</v>
      </c>
      <c r="Q8" s="101" t="s">
        <v>11</v>
      </c>
      <c r="R8" s="102" t="s">
        <v>12</v>
      </c>
      <c r="S8" s="102" t="s">
        <v>1</v>
      </c>
      <c r="T8" s="102" t="s">
        <v>2</v>
      </c>
      <c r="U8" s="103" t="s">
        <v>100</v>
      </c>
      <c r="V8" s="98" t="s">
        <v>95</v>
      </c>
      <c r="W8" s="99" t="s">
        <v>96</v>
      </c>
      <c r="X8" s="99" t="s">
        <v>97</v>
      </c>
      <c r="Y8" s="100" t="s">
        <v>98</v>
      </c>
      <c r="Z8" s="53" t="s">
        <v>52</v>
      </c>
      <c r="AA8" s="54" t="s">
        <v>53</v>
      </c>
      <c r="AB8" s="55" t="s">
        <v>54</v>
      </c>
      <c r="AC8" s="54" t="s">
        <v>55</v>
      </c>
      <c r="AD8" s="108" t="s">
        <v>99</v>
      </c>
      <c r="AE8" s="446"/>
      <c r="AG8" s="73" t="s">
        <v>39</v>
      </c>
      <c r="AH8" s="74" t="s">
        <v>40</v>
      </c>
      <c r="AI8" s="74" t="s">
        <v>41</v>
      </c>
      <c r="AJ8" s="75" t="s">
        <v>42</v>
      </c>
      <c r="AK8" s="86" t="s">
        <v>83</v>
      </c>
      <c r="AL8" s="86" t="s">
        <v>83</v>
      </c>
      <c r="AM8" s="29" t="s">
        <v>69</v>
      </c>
      <c r="AN8" s="29" t="s">
        <v>70</v>
      </c>
      <c r="AO8" s="91"/>
    </row>
    <row r="9" spans="2:41" s="29" customFormat="1" ht="365.25" customHeight="1" x14ac:dyDescent="0.2">
      <c r="B9" s="492" t="s">
        <v>266</v>
      </c>
      <c r="C9" s="78" t="s">
        <v>69</v>
      </c>
      <c r="D9" s="207" t="s">
        <v>720</v>
      </c>
      <c r="E9" s="251" t="s">
        <v>267</v>
      </c>
      <c r="F9" s="252" t="s">
        <v>268</v>
      </c>
      <c r="G9" s="252" t="s">
        <v>269</v>
      </c>
      <c r="H9" s="252" t="s">
        <v>816</v>
      </c>
      <c r="I9" s="252" t="s">
        <v>270</v>
      </c>
      <c r="J9" s="87">
        <v>2</v>
      </c>
      <c r="K9" s="87" t="str">
        <f>IF(J9=3,"ALTO",IF(J9=2,"MEDIO",IF(J9="N/A","N/A","BAJO")))</f>
        <v>MEDIO</v>
      </c>
      <c r="L9" s="87">
        <v>10</v>
      </c>
      <c r="M9" s="87" t="str">
        <f>IF(L9=20,"ALTO",IF(L9=10,"MEDIO",IF(L9="N/A","N/A","BAJO")))</f>
        <v>MEDIO</v>
      </c>
      <c r="N9" s="107">
        <f>J9*L9</f>
        <v>20</v>
      </c>
      <c r="O9" s="253" t="s">
        <v>397</v>
      </c>
      <c r="P9" s="253" t="s">
        <v>817</v>
      </c>
      <c r="Q9" s="87">
        <v>1</v>
      </c>
      <c r="R9" s="87" t="str">
        <f>IF(Q9=3,"ALTO",IF(Q9=2,"MEDIO",IF(Q9="N/A","N/A","BAJO")))</f>
        <v>BAJO</v>
      </c>
      <c r="S9" s="87">
        <v>10</v>
      </c>
      <c r="T9" s="87" t="str">
        <f>IF(S9=20,"ALTO",IF(S9=10,"MEDIO",IF(S9="N/A","N/A","BAJO")))</f>
        <v>MEDIO</v>
      </c>
      <c r="U9" s="107">
        <f>Q9*S9</f>
        <v>10</v>
      </c>
      <c r="V9" s="58"/>
      <c r="W9" s="58" t="s">
        <v>116</v>
      </c>
      <c r="X9" s="58"/>
      <c r="Y9" s="58"/>
      <c r="Z9" s="121" t="s">
        <v>993</v>
      </c>
      <c r="AA9" s="122" t="s">
        <v>541</v>
      </c>
      <c r="AB9" s="123" t="s">
        <v>542</v>
      </c>
      <c r="AC9" s="123" t="s">
        <v>398</v>
      </c>
      <c r="AD9" s="252" t="s">
        <v>994</v>
      </c>
      <c r="AE9" s="495">
        <v>44047</v>
      </c>
      <c r="AG9" s="51">
        <v>1</v>
      </c>
      <c r="AH9" s="52"/>
      <c r="AI9" s="52"/>
      <c r="AJ9" s="50">
        <f>SUM(AG9:AI9)</f>
        <v>1</v>
      </c>
      <c r="AK9" s="29">
        <v>1</v>
      </c>
      <c r="AL9" s="29">
        <v>5</v>
      </c>
      <c r="AM9" s="29" t="s">
        <v>72</v>
      </c>
      <c r="AN9" s="29" t="s">
        <v>74</v>
      </c>
      <c r="AO9" s="92"/>
    </row>
    <row r="10" spans="2:41" s="29" customFormat="1" ht="134.25" customHeight="1" x14ac:dyDescent="0.2">
      <c r="B10" s="493"/>
      <c r="C10" s="79" t="s">
        <v>69</v>
      </c>
      <c r="D10" s="241" t="s">
        <v>75</v>
      </c>
      <c r="E10" s="45" t="s">
        <v>271</v>
      </c>
      <c r="F10" s="117" t="s">
        <v>272</v>
      </c>
      <c r="G10" s="117" t="s">
        <v>273</v>
      </c>
      <c r="H10" s="117" t="s">
        <v>274</v>
      </c>
      <c r="I10" s="181" t="s">
        <v>543</v>
      </c>
      <c r="J10" s="87">
        <v>2</v>
      </c>
      <c r="K10" s="56" t="str">
        <f t="shared" ref="K10:K15" si="0">IF(J10=3,"ALTO",IF(J10=2,"MEDIO",IF(J10="N/A","N/A","BAJO")))</f>
        <v>MEDIO</v>
      </c>
      <c r="L10" s="56">
        <v>20</v>
      </c>
      <c r="M10" s="56" t="str">
        <f t="shared" ref="M10:M15" si="1">IF(L10=20,"ALTO",IF(L10=10,"MEDIO",IF(L10="N/A","N/A","BAJO")))</f>
        <v>ALTO</v>
      </c>
      <c r="N10" s="88">
        <f t="shared" ref="N10:N15" si="2">J10*L10</f>
        <v>40</v>
      </c>
      <c r="O10" s="127" t="s">
        <v>544</v>
      </c>
      <c r="P10" s="245" t="s">
        <v>818</v>
      </c>
      <c r="Q10" s="87">
        <v>1</v>
      </c>
      <c r="R10" s="87" t="str">
        <f t="shared" ref="R10:R15" si="3">IF(Q10=3,"ALTO",IF(Q10=2,"MEDIO",IF(Q10="N/A","N/A","BAJO")))</f>
        <v>BAJO</v>
      </c>
      <c r="S10" s="56">
        <v>20</v>
      </c>
      <c r="T10" s="87" t="str">
        <f t="shared" ref="T10:T15" si="4">IF(S10=20,"ALTO",IF(S10=10,"MEDIO",IF(S10="N/A","N/A","BAJO")))</f>
        <v>ALTO</v>
      </c>
      <c r="U10" s="88">
        <f t="shared" ref="U10:U15" si="5">Q10*S10</f>
        <v>20</v>
      </c>
      <c r="V10" s="58"/>
      <c r="W10" s="58" t="s">
        <v>116</v>
      </c>
      <c r="X10" s="58"/>
      <c r="Y10" s="58"/>
      <c r="Z10" s="124" t="s">
        <v>545</v>
      </c>
      <c r="AA10" s="124" t="s">
        <v>634</v>
      </c>
      <c r="AB10" s="126" t="s">
        <v>546</v>
      </c>
      <c r="AC10" s="126" t="s">
        <v>83</v>
      </c>
      <c r="AD10" s="127" t="s">
        <v>992</v>
      </c>
      <c r="AE10" s="496"/>
      <c r="AG10" s="148"/>
      <c r="AH10" s="149">
        <v>1</v>
      </c>
      <c r="AI10" s="149"/>
      <c r="AJ10" s="150">
        <f t="shared" ref="AJ10:AJ27" si="6">SUM(AG10:AI10)</f>
        <v>1</v>
      </c>
      <c r="AK10" s="29">
        <v>2</v>
      </c>
      <c r="AL10" s="29">
        <v>10</v>
      </c>
      <c r="AN10" s="29" t="s">
        <v>75</v>
      </c>
      <c r="AO10" s="92"/>
    </row>
    <row r="11" spans="2:41" s="29" customFormat="1" ht="228" customHeight="1" x14ac:dyDescent="0.2">
      <c r="B11" s="493"/>
      <c r="C11" s="79" t="s">
        <v>69</v>
      </c>
      <c r="D11" s="241" t="s">
        <v>75</v>
      </c>
      <c r="E11" s="45" t="s">
        <v>275</v>
      </c>
      <c r="F11" s="117" t="s">
        <v>276</v>
      </c>
      <c r="G11" s="117" t="s">
        <v>277</v>
      </c>
      <c r="H11" s="117" t="s">
        <v>400</v>
      </c>
      <c r="I11" s="117" t="s">
        <v>278</v>
      </c>
      <c r="J11" s="87">
        <v>2</v>
      </c>
      <c r="K11" s="56" t="str">
        <f t="shared" si="0"/>
        <v>MEDIO</v>
      </c>
      <c r="L11" s="56">
        <v>20</v>
      </c>
      <c r="M11" s="56" t="str">
        <f t="shared" si="1"/>
        <v>ALTO</v>
      </c>
      <c r="N11" s="88">
        <f t="shared" si="2"/>
        <v>40</v>
      </c>
      <c r="O11" s="131" t="s">
        <v>399</v>
      </c>
      <c r="P11" s="131" t="s">
        <v>819</v>
      </c>
      <c r="Q11" s="87">
        <v>1</v>
      </c>
      <c r="R11" s="87" t="str">
        <f t="shared" si="3"/>
        <v>BAJO</v>
      </c>
      <c r="S11" s="56">
        <v>20</v>
      </c>
      <c r="T11" s="87" t="str">
        <f t="shared" si="4"/>
        <v>ALTO</v>
      </c>
      <c r="U11" s="88">
        <f t="shared" si="5"/>
        <v>20</v>
      </c>
      <c r="V11" s="58"/>
      <c r="W11" s="58" t="s">
        <v>116</v>
      </c>
      <c r="X11" s="58"/>
      <c r="Y11" s="58"/>
      <c r="Z11" s="124" t="s">
        <v>545</v>
      </c>
      <c r="AA11" s="124" t="s">
        <v>634</v>
      </c>
      <c r="AB11" s="126" t="s">
        <v>546</v>
      </c>
      <c r="AC11" s="126" t="s">
        <v>83</v>
      </c>
      <c r="AD11" s="127" t="s">
        <v>992</v>
      </c>
      <c r="AE11" s="496"/>
      <c r="AG11" s="148">
        <v>1</v>
      </c>
      <c r="AH11" s="149"/>
      <c r="AI11" s="149"/>
      <c r="AJ11" s="150">
        <f t="shared" si="6"/>
        <v>1</v>
      </c>
      <c r="AK11" s="29">
        <v>3</v>
      </c>
      <c r="AL11" s="29">
        <v>20</v>
      </c>
      <c r="AN11" s="29" t="s">
        <v>86</v>
      </c>
      <c r="AO11" s="92"/>
    </row>
    <row r="12" spans="2:41" s="29" customFormat="1" ht="174" customHeight="1" x14ac:dyDescent="0.2">
      <c r="B12" s="493"/>
      <c r="C12" s="155" t="s">
        <v>69</v>
      </c>
      <c r="D12" s="156" t="s">
        <v>75</v>
      </c>
      <c r="E12" s="157" t="s">
        <v>279</v>
      </c>
      <c r="F12" s="158" t="s">
        <v>280</v>
      </c>
      <c r="G12" s="158" t="s">
        <v>281</v>
      </c>
      <c r="H12" s="158" t="s">
        <v>547</v>
      </c>
      <c r="I12" s="158" t="s">
        <v>282</v>
      </c>
      <c r="J12" s="56">
        <v>3</v>
      </c>
      <c r="K12" s="56" t="str">
        <f t="shared" si="0"/>
        <v>ALTO</v>
      </c>
      <c r="L12" s="159">
        <v>20</v>
      </c>
      <c r="M12" s="56" t="str">
        <f t="shared" si="1"/>
        <v>ALTO</v>
      </c>
      <c r="N12" s="88">
        <f t="shared" si="2"/>
        <v>60</v>
      </c>
      <c r="O12" s="160" t="s">
        <v>820</v>
      </c>
      <c r="P12" s="160" t="s">
        <v>821</v>
      </c>
      <c r="Q12" s="56">
        <v>2</v>
      </c>
      <c r="R12" s="87" t="str">
        <f t="shared" si="3"/>
        <v>MEDIO</v>
      </c>
      <c r="S12" s="56">
        <v>10</v>
      </c>
      <c r="T12" s="87" t="str">
        <f t="shared" si="4"/>
        <v>MEDIO</v>
      </c>
      <c r="U12" s="88">
        <f t="shared" si="5"/>
        <v>20</v>
      </c>
      <c r="V12" s="164" t="s">
        <v>116</v>
      </c>
      <c r="W12" s="164"/>
      <c r="X12" s="164"/>
      <c r="Y12" s="164"/>
      <c r="Z12" s="161" t="s">
        <v>548</v>
      </c>
      <c r="AA12" s="161" t="s">
        <v>549</v>
      </c>
      <c r="AB12" s="193" t="s">
        <v>550</v>
      </c>
      <c r="AC12" s="193" t="s">
        <v>83</v>
      </c>
      <c r="AD12" s="163" t="s">
        <v>551</v>
      </c>
      <c r="AE12" s="496"/>
      <c r="AG12" s="240"/>
      <c r="AH12" s="241"/>
      <c r="AI12" s="241"/>
      <c r="AJ12" s="242"/>
      <c r="AN12" s="29" t="s">
        <v>87</v>
      </c>
      <c r="AO12" s="92"/>
    </row>
    <row r="13" spans="2:41" s="29" customFormat="1" ht="224.25" customHeight="1" x14ac:dyDescent="0.2">
      <c r="B13" s="493"/>
      <c r="C13" s="79" t="s">
        <v>69</v>
      </c>
      <c r="D13" s="336" t="s">
        <v>720</v>
      </c>
      <c r="E13" s="45" t="s">
        <v>283</v>
      </c>
      <c r="F13" s="117" t="s">
        <v>284</v>
      </c>
      <c r="G13" s="348" t="s">
        <v>285</v>
      </c>
      <c r="H13" s="348" t="s">
        <v>822</v>
      </c>
      <c r="I13" s="349" t="s">
        <v>286</v>
      </c>
      <c r="J13" s="56">
        <v>2</v>
      </c>
      <c r="K13" s="56" t="str">
        <f t="shared" si="0"/>
        <v>MEDIO</v>
      </c>
      <c r="L13" s="56">
        <v>20</v>
      </c>
      <c r="M13" s="56" t="str">
        <f t="shared" si="1"/>
        <v>ALTO</v>
      </c>
      <c r="N13" s="88">
        <f t="shared" si="2"/>
        <v>40</v>
      </c>
      <c r="O13" s="131" t="s">
        <v>287</v>
      </c>
      <c r="P13" s="131" t="s">
        <v>823</v>
      </c>
      <c r="Q13" s="56">
        <v>1</v>
      </c>
      <c r="R13" s="56" t="str">
        <f t="shared" si="3"/>
        <v>BAJO</v>
      </c>
      <c r="S13" s="56">
        <v>20</v>
      </c>
      <c r="T13" s="56" t="str">
        <f t="shared" si="4"/>
        <v>ALTO</v>
      </c>
      <c r="U13" s="88">
        <f t="shared" si="5"/>
        <v>20</v>
      </c>
      <c r="V13" s="164"/>
      <c r="W13" s="164" t="s">
        <v>116</v>
      </c>
      <c r="X13" s="164"/>
      <c r="Y13" s="164"/>
      <c r="Z13" s="124" t="s">
        <v>288</v>
      </c>
      <c r="AA13" s="125" t="s">
        <v>289</v>
      </c>
      <c r="AB13" s="126" t="s">
        <v>290</v>
      </c>
      <c r="AC13" s="126" t="s">
        <v>291</v>
      </c>
      <c r="AD13" s="127" t="s">
        <v>824</v>
      </c>
      <c r="AE13" s="496"/>
      <c r="AG13" s="240"/>
      <c r="AH13" s="241"/>
      <c r="AI13" s="241"/>
      <c r="AJ13" s="242"/>
      <c r="AN13" s="29" t="s">
        <v>88</v>
      </c>
      <c r="AO13" s="92"/>
    </row>
    <row r="14" spans="2:41" s="29" customFormat="1" ht="224.25" customHeight="1" x14ac:dyDescent="0.2">
      <c r="B14" s="493"/>
      <c r="C14" s="155" t="s">
        <v>69</v>
      </c>
      <c r="D14" s="156" t="s">
        <v>719</v>
      </c>
      <c r="E14" s="157" t="s">
        <v>597</v>
      </c>
      <c r="F14" s="158" t="s">
        <v>827</v>
      </c>
      <c r="G14" s="356" t="s">
        <v>681</v>
      </c>
      <c r="H14" s="356" t="s">
        <v>682</v>
      </c>
      <c r="I14" s="357" t="s">
        <v>683</v>
      </c>
      <c r="J14" s="159">
        <v>2</v>
      </c>
      <c r="K14" s="56" t="str">
        <f t="shared" si="0"/>
        <v>MEDIO</v>
      </c>
      <c r="L14" s="159">
        <v>20</v>
      </c>
      <c r="M14" s="56" t="str">
        <f t="shared" si="1"/>
        <v>ALTO</v>
      </c>
      <c r="N14" s="88">
        <f t="shared" si="2"/>
        <v>40</v>
      </c>
      <c r="O14" s="160" t="s">
        <v>684</v>
      </c>
      <c r="P14" s="160" t="s">
        <v>685</v>
      </c>
      <c r="Q14" s="159">
        <v>1</v>
      </c>
      <c r="R14" s="56" t="str">
        <f t="shared" si="3"/>
        <v>BAJO</v>
      </c>
      <c r="S14" s="159">
        <v>20</v>
      </c>
      <c r="T14" s="56" t="str">
        <f t="shared" si="4"/>
        <v>ALTO</v>
      </c>
      <c r="U14" s="88">
        <f t="shared" si="5"/>
        <v>20</v>
      </c>
      <c r="V14" s="358"/>
      <c r="W14" s="358" t="s">
        <v>116</v>
      </c>
      <c r="X14" s="358"/>
      <c r="Y14" s="358"/>
      <c r="Z14" s="161" t="s">
        <v>686</v>
      </c>
      <c r="AA14" s="359" t="s">
        <v>688</v>
      </c>
      <c r="AB14" s="193" t="s">
        <v>542</v>
      </c>
      <c r="AC14" s="193" t="s">
        <v>83</v>
      </c>
      <c r="AD14" s="163" t="s">
        <v>687</v>
      </c>
      <c r="AE14" s="496"/>
      <c r="AG14" s="338"/>
      <c r="AH14" s="339"/>
      <c r="AI14" s="339"/>
      <c r="AJ14" s="340"/>
      <c r="AO14" s="92"/>
    </row>
    <row r="15" spans="2:41" s="29" customFormat="1" ht="348" customHeight="1" thickBot="1" x14ac:dyDescent="0.25">
      <c r="B15" s="494"/>
      <c r="C15" s="378" t="s">
        <v>69</v>
      </c>
      <c r="D15" s="81" t="s">
        <v>721</v>
      </c>
      <c r="E15" s="33" t="s">
        <v>709</v>
      </c>
      <c r="F15" s="118" t="s">
        <v>825</v>
      </c>
      <c r="G15" s="118" t="s">
        <v>710</v>
      </c>
      <c r="H15" s="118" t="s">
        <v>711</v>
      </c>
      <c r="I15" s="118" t="s">
        <v>991</v>
      </c>
      <c r="J15" s="57">
        <v>3</v>
      </c>
      <c r="K15" s="57" t="str">
        <f t="shared" si="0"/>
        <v>ALTO</v>
      </c>
      <c r="L15" s="57">
        <v>20</v>
      </c>
      <c r="M15" s="57" t="str">
        <f t="shared" si="1"/>
        <v>ALTO</v>
      </c>
      <c r="N15" s="90">
        <f t="shared" si="2"/>
        <v>60</v>
      </c>
      <c r="O15" s="350" t="s">
        <v>712</v>
      </c>
      <c r="P15" s="350" t="s">
        <v>713</v>
      </c>
      <c r="Q15" s="57">
        <v>3</v>
      </c>
      <c r="R15" s="57" t="str">
        <f t="shared" si="3"/>
        <v>ALTO</v>
      </c>
      <c r="S15" s="57">
        <v>10</v>
      </c>
      <c r="T15" s="57" t="str">
        <f t="shared" si="4"/>
        <v>MEDIO</v>
      </c>
      <c r="U15" s="90">
        <f t="shared" si="5"/>
        <v>30</v>
      </c>
      <c r="V15" s="59" t="s">
        <v>116</v>
      </c>
      <c r="W15" s="59"/>
      <c r="X15" s="59"/>
      <c r="Y15" s="59"/>
      <c r="Z15" s="128" t="s">
        <v>714</v>
      </c>
      <c r="AA15" s="129" t="s">
        <v>634</v>
      </c>
      <c r="AB15" s="129" t="s">
        <v>715</v>
      </c>
      <c r="AC15" s="129" t="s">
        <v>83</v>
      </c>
      <c r="AD15" s="128" t="s">
        <v>826</v>
      </c>
      <c r="AE15" s="497"/>
      <c r="AG15" s="335"/>
      <c r="AH15" s="336"/>
      <c r="AI15" s="336"/>
      <c r="AJ15" s="337"/>
      <c r="AO15" s="92"/>
    </row>
    <row r="16" spans="2:41" s="29" customFormat="1" ht="31.5" customHeight="1" thickBot="1" x14ac:dyDescent="0.25">
      <c r="B16" s="24"/>
      <c r="C16" s="24"/>
      <c r="D16" s="24"/>
      <c r="E16" s="24"/>
      <c r="F16" s="24"/>
      <c r="G16" s="24"/>
      <c r="H16" s="24"/>
      <c r="I16" s="24"/>
      <c r="J16" s="24"/>
      <c r="K16" s="24"/>
      <c r="L16" s="24"/>
      <c r="M16" s="24"/>
      <c r="N16" s="368">
        <f>AVERAGE(N9:N15)</f>
        <v>42.857142857142854</v>
      </c>
      <c r="O16" s="24"/>
      <c r="P16" s="24"/>
      <c r="Q16" s="24"/>
      <c r="R16" s="24"/>
      <c r="S16" s="24"/>
      <c r="T16" s="24"/>
      <c r="U16" s="368">
        <f>AVERAGE(U9:U15)</f>
        <v>20</v>
      </c>
      <c r="V16" s="24"/>
      <c r="W16" s="24"/>
      <c r="X16" s="24"/>
      <c r="Y16" s="24"/>
      <c r="Z16" s="24"/>
      <c r="AA16" s="24"/>
      <c r="AB16" s="24"/>
      <c r="AC16" s="24"/>
      <c r="AD16" s="85"/>
      <c r="AE16" s="47"/>
      <c r="AG16" s="148"/>
      <c r="AH16" s="149">
        <v>1</v>
      </c>
      <c r="AI16" s="149"/>
      <c r="AJ16" s="150">
        <f t="shared" si="6"/>
        <v>1</v>
      </c>
      <c r="AO16" s="93"/>
    </row>
    <row r="17" spans="2:41" s="29" customFormat="1" ht="129" customHeight="1" thickBot="1" x14ac:dyDescent="0.25">
      <c r="B17" s="24"/>
      <c r="C17" s="24"/>
      <c r="D17" s="24"/>
      <c r="E17" s="24"/>
      <c r="F17" s="109"/>
      <c r="G17" s="109"/>
      <c r="H17" s="462" t="s">
        <v>209</v>
      </c>
      <c r="I17" s="463"/>
      <c r="J17" s="463"/>
      <c r="K17" s="464"/>
      <c r="L17" s="24"/>
      <c r="M17" s="406" t="s">
        <v>446</v>
      </c>
      <c r="N17" s="407"/>
      <c r="O17" s="407"/>
      <c r="P17" s="408"/>
      <c r="Q17" s="110"/>
      <c r="R17" s="24"/>
      <c r="S17" s="24"/>
      <c r="T17" s="24"/>
      <c r="U17" s="24"/>
      <c r="V17" s="24"/>
      <c r="W17" s="24"/>
      <c r="X17" s="24"/>
      <c r="Y17" s="24"/>
      <c r="Z17" s="24"/>
      <c r="AA17" s="24"/>
      <c r="AB17" s="24"/>
      <c r="AC17" s="24"/>
      <c r="AD17" s="24"/>
      <c r="AE17" s="42"/>
      <c r="AG17" s="148">
        <v>1</v>
      </c>
      <c r="AH17" s="149"/>
      <c r="AI17" s="149"/>
      <c r="AJ17" s="150">
        <f t="shared" si="6"/>
        <v>1</v>
      </c>
      <c r="AK17" s="29" t="s">
        <v>84</v>
      </c>
      <c r="AO17" s="448" t="s">
        <v>76</v>
      </c>
    </row>
    <row r="18" spans="2:41" s="29" customFormat="1" ht="46.5" customHeight="1" x14ac:dyDescent="0.2">
      <c r="B18" s="24"/>
      <c r="C18" s="24"/>
      <c r="D18" s="24"/>
      <c r="E18" s="24"/>
      <c r="F18" s="438"/>
      <c r="G18" s="438"/>
      <c r="H18" s="465" t="s">
        <v>139</v>
      </c>
      <c r="I18" s="466"/>
      <c r="J18" s="26">
        <f>COUNTIF(U9:U15,"=5")</f>
        <v>0</v>
      </c>
      <c r="K18" s="27">
        <f>J18*100%/J21</f>
        <v>0</v>
      </c>
      <c r="L18" s="24"/>
      <c r="M18" s="485" t="s">
        <v>104</v>
      </c>
      <c r="N18" s="486"/>
      <c r="O18" s="486" t="s">
        <v>47</v>
      </c>
      <c r="P18" s="487"/>
      <c r="Q18" s="111"/>
      <c r="R18" s="24"/>
      <c r="S18" s="24"/>
      <c r="T18" s="24"/>
      <c r="U18" s="24"/>
      <c r="V18" s="24"/>
      <c r="W18" s="24"/>
      <c r="X18" s="24"/>
      <c r="Y18" s="24"/>
      <c r="Z18" s="24"/>
      <c r="AA18" s="24"/>
      <c r="AB18" s="24"/>
      <c r="AC18" s="24"/>
      <c r="AD18" s="24"/>
      <c r="AE18" s="42"/>
      <c r="AG18" s="148">
        <v>1</v>
      </c>
      <c r="AH18" s="149"/>
      <c r="AI18" s="149"/>
      <c r="AJ18" s="150">
        <f t="shared" si="6"/>
        <v>1</v>
      </c>
      <c r="AK18" s="29" t="s">
        <v>85</v>
      </c>
      <c r="AO18" s="449"/>
    </row>
    <row r="19" spans="2:41" s="29" customFormat="1" ht="46.5" customHeight="1" x14ac:dyDescent="0.2">
      <c r="B19" s="24"/>
      <c r="C19" s="24"/>
      <c r="D19" s="24"/>
      <c r="E19" s="24"/>
      <c r="F19" s="438"/>
      <c r="G19" s="438"/>
      <c r="H19" s="465" t="s">
        <v>140</v>
      </c>
      <c r="I19" s="466"/>
      <c r="J19" s="26">
        <f>COUNTIFS(U9:U15,"&gt;=6",U9:U15,"&lt;=30")</f>
        <v>7</v>
      </c>
      <c r="K19" s="27">
        <f>J19*100%/J21</f>
        <v>1</v>
      </c>
      <c r="L19" s="24"/>
      <c r="M19" s="478" t="s">
        <v>105</v>
      </c>
      <c r="N19" s="479"/>
      <c r="O19" s="480" t="s">
        <v>48</v>
      </c>
      <c r="P19" s="481"/>
      <c r="Q19" s="111"/>
      <c r="R19" s="24"/>
      <c r="S19" s="24"/>
      <c r="T19" s="24"/>
      <c r="U19" s="24"/>
      <c r="V19" s="24"/>
      <c r="W19" s="24"/>
      <c r="X19" s="24"/>
      <c r="Y19" s="24"/>
      <c r="Z19" s="24"/>
      <c r="AA19" s="24"/>
      <c r="AB19" s="24"/>
      <c r="AC19" s="24"/>
      <c r="AD19" s="24"/>
      <c r="AE19" s="42"/>
      <c r="AG19" s="148">
        <v>1</v>
      </c>
      <c r="AH19" s="149"/>
      <c r="AI19" s="149"/>
      <c r="AJ19" s="150">
        <f t="shared" si="6"/>
        <v>1</v>
      </c>
      <c r="AO19" s="449"/>
    </row>
    <row r="20" spans="2:41" s="29" customFormat="1" ht="46.5" customHeight="1" thickBot="1" x14ac:dyDescent="0.25">
      <c r="B20" s="24"/>
      <c r="C20" s="24"/>
      <c r="D20" s="24"/>
      <c r="E20" s="24"/>
      <c r="F20" s="438"/>
      <c r="G20" s="438"/>
      <c r="H20" s="465" t="s">
        <v>141</v>
      </c>
      <c r="I20" s="466"/>
      <c r="J20" s="26">
        <f>COUNTIFS(U9:U15,"&gt;=40",U9:U15,"&lt;=60")</f>
        <v>0</v>
      </c>
      <c r="K20" s="27">
        <f>J20*100%/J21</f>
        <v>0</v>
      </c>
      <c r="L20" s="24"/>
      <c r="M20" s="482" t="s">
        <v>106</v>
      </c>
      <c r="N20" s="483"/>
      <c r="O20" s="483" t="s">
        <v>20</v>
      </c>
      <c r="P20" s="484"/>
      <c r="Q20" s="111"/>
      <c r="R20" s="24"/>
      <c r="S20" s="24"/>
      <c r="T20" s="24"/>
      <c r="U20" s="24"/>
      <c r="V20" s="24"/>
      <c r="W20" s="24"/>
      <c r="X20" s="24"/>
      <c r="Y20" s="24"/>
      <c r="Z20" s="24"/>
      <c r="AA20" s="24"/>
      <c r="AB20" s="24"/>
      <c r="AC20" s="24"/>
      <c r="AD20" s="24"/>
      <c r="AE20" s="42"/>
      <c r="AG20" s="148">
        <v>1</v>
      </c>
      <c r="AH20" s="149"/>
      <c r="AI20" s="149"/>
      <c r="AJ20" s="150">
        <f t="shared" si="6"/>
        <v>1</v>
      </c>
      <c r="AO20" s="449"/>
    </row>
    <row r="21" spans="2:41" s="29" customFormat="1" ht="46.5" customHeight="1" thickBot="1" x14ac:dyDescent="0.25">
      <c r="B21" s="24"/>
      <c r="C21" s="24"/>
      <c r="D21" s="24"/>
      <c r="E21" s="24"/>
      <c r="F21" s="447"/>
      <c r="G21" s="447"/>
      <c r="H21" s="472" t="s">
        <v>142</v>
      </c>
      <c r="I21" s="473"/>
      <c r="J21" s="151">
        <f>+J18+J20+J19</f>
        <v>7</v>
      </c>
      <c r="K21" s="137">
        <f>K18+K19+K20</f>
        <v>1</v>
      </c>
      <c r="L21" s="24"/>
      <c r="M21" s="24"/>
      <c r="N21" s="24"/>
      <c r="O21" s="24"/>
      <c r="P21" s="24"/>
      <c r="Q21" s="24"/>
      <c r="R21" s="24"/>
      <c r="S21" s="24"/>
      <c r="T21" s="24"/>
      <c r="U21" s="24"/>
      <c r="V21" s="24"/>
      <c r="W21" s="24"/>
      <c r="X21" s="24"/>
      <c r="Y21" s="24"/>
      <c r="Z21" s="24"/>
      <c r="AA21" s="24"/>
      <c r="AB21" s="24"/>
      <c r="AC21" s="24"/>
      <c r="AD21" s="24"/>
      <c r="AE21" s="42"/>
      <c r="AG21" s="148">
        <v>1</v>
      </c>
      <c r="AH21" s="149"/>
      <c r="AI21" s="149"/>
      <c r="AJ21" s="150">
        <f t="shared" si="6"/>
        <v>1</v>
      </c>
      <c r="AO21" s="449"/>
    </row>
    <row r="22" spans="2:41" s="29" customFormat="1" ht="75" customHeight="1" thickBot="1" x14ac:dyDescent="0.25">
      <c r="B22" s="24"/>
      <c r="C22" s="24"/>
      <c r="D22" s="24"/>
      <c r="E22" s="24"/>
      <c r="F22" s="24"/>
      <c r="G22" s="24"/>
      <c r="H22" s="470" t="s">
        <v>208</v>
      </c>
      <c r="I22" s="471"/>
      <c r="J22" s="226">
        <f>COUNTIF(Q9:Q15,"N/A")</f>
        <v>0</v>
      </c>
      <c r="K22" s="227">
        <f>IF(J22&gt;=1,"100%",0)</f>
        <v>0</v>
      </c>
      <c r="L22" s="24"/>
      <c r="M22" s="24"/>
      <c r="N22" s="24"/>
      <c r="O22" s="24"/>
      <c r="P22" s="24"/>
      <c r="Q22" s="24"/>
      <c r="R22" s="24"/>
      <c r="S22" s="24"/>
      <c r="T22" s="24"/>
      <c r="U22" s="24"/>
      <c r="V22" s="24"/>
      <c r="W22" s="24"/>
      <c r="X22" s="24"/>
      <c r="Y22" s="24"/>
      <c r="Z22" s="24"/>
      <c r="AA22" s="24"/>
      <c r="AB22" s="24"/>
      <c r="AC22" s="24"/>
      <c r="AD22" s="24"/>
      <c r="AE22" s="42"/>
      <c r="AG22" s="148"/>
      <c r="AH22" s="149">
        <v>1</v>
      </c>
      <c r="AI22" s="149"/>
      <c r="AJ22" s="150">
        <f t="shared" si="6"/>
        <v>1</v>
      </c>
      <c r="AO22" s="449"/>
    </row>
    <row r="23" spans="2:41" s="29" customFormat="1" ht="97.5" customHeight="1" x14ac:dyDescent="0.2">
      <c r="B23" s="24"/>
      <c r="C23" s="82"/>
      <c r="D23" s="82"/>
      <c r="E23" s="82"/>
      <c r="F23" s="82"/>
      <c r="G23" s="83"/>
      <c r="H23" s="83"/>
      <c r="I23" s="82"/>
      <c r="J23" s="24"/>
      <c r="K23" s="24"/>
      <c r="L23" s="24"/>
      <c r="M23" s="24"/>
      <c r="N23" s="24"/>
      <c r="O23" s="24"/>
      <c r="P23" s="24"/>
      <c r="Q23" s="24"/>
      <c r="R23" s="24"/>
      <c r="S23" s="24"/>
      <c r="T23" s="24"/>
      <c r="U23" s="24"/>
      <c r="V23" s="24"/>
      <c r="W23" s="24"/>
      <c r="X23" s="24"/>
      <c r="Y23" s="24"/>
      <c r="Z23" s="24"/>
      <c r="AA23" s="24"/>
      <c r="AB23" s="24"/>
      <c r="AC23" s="24"/>
      <c r="AD23" s="24"/>
      <c r="AE23" s="42"/>
      <c r="AG23" s="148"/>
      <c r="AH23" s="149">
        <v>1</v>
      </c>
      <c r="AI23" s="149"/>
      <c r="AJ23" s="150">
        <f t="shared" si="6"/>
        <v>1</v>
      </c>
      <c r="AO23" s="449"/>
    </row>
    <row r="24" spans="2:41" s="29" customFormat="1" ht="107.25" customHeight="1" thickBot="1" x14ac:dyDescent="0.25">
      <c r="B24" s="24"/>
      <c r="C24" s="82"/>
      <c r="D24" s="82"/>
      <c r="E24" s="82"/>
      <c r="F24" s="83"/>
      <c r="G24" s="83"/>
      <c r="H24" s="83"/>
      <c r="I24" s="83"/>
      <c r="J24" s="24"/>
      <c r="K24" s="24"/>
      <c r="L24" s="24"/>
      <c r="M24" s="24"/>
      <c r="N24" s="24"/>
      <c r="O24" s="24"/>
      <c r="P24" s="24"/>
      <c r="Q24" s="24"/>
      <c r="R24" s="24"/>
      <c r="S24" s="24"/>
      <c r="T24" s="24"/>
      <c r="U24" s="24"/>
      <c r="V24" s="24"/>
      <c r="W24" s="24"/>
      <c r="X24" s="24"/>
      <c r="Y24" s="24"/>
      <c r="Z24" s="24"/>
      <c r="AA24" s="24"/>
      <c r="AB24" s="24"/>
      <c r="AC24" s="24"/>
      <c r="AD24" s="24"/>
      <c r="AE24" s="42"/>
      <c r="AG24" s="148">
        <v>1</v>
      </c>
      <c r="AH24" s="149"/>
      <c r="AI24" s="149"/>
      <c r="AJ24" s="150">
        <f t="shared" si="6"/>
        <v>1</v>
      </c>
      <c r="AO24" s="450"/>
    </row>
    <row r="25" spans="2:41" s="28" customFormat="1" ht="80.25" customHeight="1" x14ac:dyDescent="0.2">
      <c r="B25" s="24"/>
      <c r="C25" s="82"/>
      <c r="D25" s="82"/>
      <c r="E25" s="84"/>
      <c r="F25" s="84"/>
      <c r="G25" s="84"/>
      <c r="H25" s="84"/>
      <c r="I25" s="84"/>
      <c r="J25" s="24"/>
      <c r="K25" s="24"/>
      <c r="L25" s="24"/>
      <c r="M25" s="24"/>
      <c r="N25" s="24"/>
      <c r="O25" s="24"/>
      <c r="P25" s="24"/>
      <c r="Q25" s="24"/>
      <c r="R25" s="24"/>
      <c r="S25" s="24"/>
      <c r="T25" s="24"/>
      <c r="U25" s="24"/>
      <c r="V25" s="24"/>
      <c r="W25" s="24"/>
      <c r="X25" s="24"/>
      <c r="Y25" s="24"/>
      <c r="Z25" s="24"/>
      <c r="AA25" s="24"/>
      <c r="AB25" s="24"/>
      <c r="AC25" s="24"/>
      <c r="AD25" s="24"/>
      <c r="AE25" s="42"/>
      <c r="AG25" s="39"/>
      <c r="AH25" s="49"/>
      <c r="AI25" s="49"/>
      <c r="AJ25" s="40"/>
      <c r="AO25" s="448" t="s">
        <v>77</v>
      </c>
    </row>
    <row r="26" spans="2:41" s="29" customFormat="1" ht="101.25" customHeight="1" x14ac:dyDescent="0.2">
      <c r="B26" s="24"/>
      <c r="C26" s="83"/>
      <c r="D26" s="83"/>
      <c r="E26" s="48"/>
      <c r="F26" s="48"/>
      <c r="G26" s="48"/>
      <c r="H26" s="48"/>
      <c r="I26" s="48"/>
      <c r="J26" s="24"/>
      <c r="K26" s="24"/>
      <c r="L26" s="24"/>
      <c r="M26" s="24"/>
      <c r="N26" s="24"/>
      <c r="O26" s="24"/>
      <c r="P26" s="24"/>
      <c r="Q26" s="24"/>
      <c r="R26" s="24"/>
      <c r="S26" s="24"/>
      <c r="T26" s="24"/>
      <c r="U26" s="24"/>
      <c r="V26" s="24"/>
      <c r="W26" s="24"/>
      <c r="X26" s="24"/>
      <c r="Y26" s="24"/>
      <c r="Z26" s="24"/>
      <c r="AA26" s="24"/>
      <c r="AB26" s="24"/>
      <c r="AC26" s="24"/>
      <c r="AD26" s="24"/>
      <c r="AE26" s="42"/>
      <c r="AG26" s="148">
        <v>1</v>
      </c>
      <c r="AH26" s="149"/>
      <c r="AI26" s="149"/>
      <c r="AJ26" s="150">
        <f t="shared" si="6"/>
        <v>1</v>
      </c>
      <c r="AO26" s="449"/>
    </row>
    <row r="27" spans="2:41" s="29" customFormat="1" ht="109.5" customHeight="1" x14ac:dyDescent="0.2">
      <c r="B27" s="24"/>
      <c r="C27" s="83"/>
      <c r="D27" s="83"/>
      <c r="I27" s="24"/>
      <c r="J27" s="24"/>
      <c r="K27" s="24"/>
      <c r="L27" s="24"/>
      <c r="M27" s="24"/>
      <c r="N27" s="24"/>
      <c r="O27" s="24"/>
      <c r="P27" s="24"/>
      <c r="Q27" s="24"/>
      <c r="R27" s="24"/>
      <c r="S27" s="24"/>
      <c r="T27" s="24"/>
      <c r="U27" s="24"/>
      <c r="V27" s="24"/>
      <c r="W27" s="24"/>
      <c r="X27" s="24"/>
      <c r="Y27" s="24"/>
      <c r="Z27" s="24"/>
      <c r="AA27" s="24"/>
      <c r="AB27" s="24"/>
      <c r="AC27" s="24"/>
      <c r="AD27" s="24"/>
      <c r="AE27" s="42"/>
      <c r="AG27" s="148"/>
      <c r="AH27" s="149">
        <v>1</v>
      </c>
      <c r="AI27" s="149"/>
      <c r="AJ27" s="150">
        <f t="shared" si="6"/>
        <v>1</v>
      </c>
      <c r="AO27" s="449"/>
    </row>
    <row r="28" spans="2:41" s="29" customFormat="1" ht="67.5" customHeight="1" x14ac:dyDescent="0.2">
      <c r="B28" s="24"/>
      <c r="C28" s="83"/>
      <c r="D28" s="83"/>
      <c r="H28" s="24"/>
      <c r="I28" s="24"/>
      <c r="J28" s="24"/>
      <c r="K28" s="24"/>
      <c r="L28" s="24"/>
      <c r="M28" s="24"/>
      <c r="N28" s="24"/>
      <c r="O28" s="24"/>
      <c r="P28" s="24"/>
      <c r="Q28" s="24"/>
      <c r="R28" s="24"/>
      <c r="S28" s="24"/>
      <c r="T28" s="24"/>
      <c r="U28" s="24"/>
      <c r="V28" s="24"/>
      <c r="W28" s="24"/>
      <c r="X28" s="24"/>
      <c r="Y28" s="24"/>
      <c r="Z28" s="24"/>
      <c r="AA28" s="24"/>
      <c r="AB28" s="24"/>
      <c r="AC28" s="24"/>
      <c r="AD28" s="24"/>
      <c r="AE28" s="42"/>
      <c r="AG28" s="148"/>
      <c r="AH28" s="149">
        <v>1</v>
      </c>
      <c r="AI28" s="149"/>
      <c r="AJ28" s="150">
        <v>1</v>
      </c>
      <c r="AO28" s="449"/>
    </row>
    <row r="29" spans="2:41" s="29" customFormat="1" ht="83.25" customHeight="1" x14ac:dyDescent="0.2">
      <c r="B29" s="24"/>
      <c r="C29" s="82"/>
      <c r="D29" s="82"/>
      <c r="G29" s="24"/>
      <c r="H29" s="24"/>
      <c r="I29" s="24"/>
      <c r="J29" s="24"/>
      <c r="K29" s="24"/>
      <c r="L29" s="24"/>
      <c r="M29" s="24"/>
      <c r="N29" s="24"/>
      <c r="O29" s="24"/>
      <c r="P29" s="24"/>
      <c r="Q29" s="24"/>
      <c r="R29" s="24"/>
      <c r="S29" s="24"/>
      <c r="T29" s="24"/>
      <c r="U29" s="24"/>
      <c r="V29" s="24"/>
      <c r="W29" s="24"/>
      <c r="X29" s="24"/>
      <c r="Y29" s="24"/>
      <c r="Z29" s="24"/>
      <c r="AA29" s="24"/>
      <c r="AB29" s="24"/>
      <c r="AC29" s="24"/>
      <c r="AD29" s="24"/>
      <c r="AE29" s="42"/>
      <c r="AG29" s="148"/>
      <c r="AH29" s="149">
        <v>1</v>
      </c>
      <c r="AI29" s="149"/>
      <c r="AJ29" s="150">
        <v>1</v>
      </c>
      <c r="AO29" s="449"/>
    </row>
    <row r="30" spans="2:41" s="29" customFormat="1" ht="75.75" customHeight="1" thickBot="1" x14ac:dyDescent="0.25">
      <c r="B30" s="24"/>
      <c r="C30" s="82"/>
      <c r="D30" s="82"/>
      <c r="G30" s="24"/>
      <c r="H30" s="24"/>
      <c r="I30" s="24"/>
      <c r="J30" s="24"/>
      <c r="K30" s="24"/>
      <c r="L30" s="24"/>
      <c r="M30" s="24"/>
      <c r="N30" s="24"/>
      <c r="O30" s="24"/>
      <c r="P30" s="24"/>
      <c r="Q30" s="24"/>
      <c r="R30" s="24"/>
      <c r="S30" s="24"/>
      <c r="T30" s="24"/>
      <c r="U30" s="24"/>
      <c r="V30" s="24"/>
      <c r="W30" s="24"/>
      <c r="X30" s="24"/>
      <c r="Y30" s="24"/>
      <c r="Z30" s="24"/>
      <c r="AA30" s="24"/>
      <c r="AB30" s="24"/>
      <c r="AC30" s="24"/>
      <c r="AD30" s="24"/>
      <c r="AE30" s="42"/>
      <c r="AG30" s="148"/>
      <c r="AH30" s="149"/>
      <c r="AI30" s="149"/>
      <c r="AJ30" s="150"/>
      <c r="AO30" s="450"/>
    </row>
    <row r="31" spans="2:41" s="29" customFormat="1" ht="73.5" customHeight="1" x14ac:dyDescent="0.2">
      <c r="B31" s="24"/>
      <c r="C31" s="82"/>
      <c r="D31" s="82"/>
      <c r="F31" s="24"/>
      <c r="G31" s="24"/>
      <c r="H31" s="24"/>
      <c r="I31" s="24"/>
      <c r="J31" s="24"/>
      <c r="K31" s="24"/>
      <c r="L31" s="24"/>
      <c r="M31" s="24"/>
      <c r="N31" s="24"/>
      <c r="O31" s="24"/>
      <c r="P31" s="24"/>
      <c r="Q31" s="24"/>
      <c r="R31" s="24"/>
      <c r="S31" s="24"/>
      <c r="T31" s="24"/>
      <c r="U31" s="24"/>
      <c r="V31" s="24"/>
      <c r="W31" s="24"/>
      <c r="X31" s="24"/>
      <c r="Y31" s="24"/>
      <c r="Z31" s="24"/>
      <c r="AA31" s="24"/>
      <c r="AB31" s="24"/>
      <c r="AC31" s="24"/>
      <c r="AD31" s="24"/>
      <c r="AE31" s="42"/>
      <c r="AG31" s="148"/>
      <c r="AH31" s="149">
        <v>1</v>
      </c>
      <c r="AI31" s="149"/>
      <c r="AJ31" s="150">
        <v>1</v>
      </c>
      <c r="AO31" s="448" t="s">
        <v>78</v>
      </c>
    </row>
    <row r="32" spans="2:41" s="29" customFormat="1" ht="58.5" customHeight="1" x14ac:dyDescent="0.2">
      <c r="B32" s="24"/>
      <c r="C32" s="83"/>
      <c r="D32" s="83"/>
      <c r="J32" s="24"/>
      <c r="K32" s="24"/>
      <c r="L32" s="24"/>
      <c r="M32" s="24"/>
      <c r="N32" s="24"/>
      <c r="O32" s="24"/>
      <c r="P32" s="24"/>
      <c r="Q32" s="24"/>
      <c r="R32" s="24"/>
      <c r="S32" s="24"/>
      <c r="T32" s="24"/>
      <c r="U32" s="24"/>
      <c r="V32" s="24"/>
      <c r="W32" s="24"/>
      <c r="X32" s="24"/>
      <c r="Y32" s="24"/>
      <c r="Z32" s="24"/>
      <c r="AA32" s="24"/>
      <c r="AB32" s="24"/>
      <c r="AC32" s="24"/>
      <c r="AD32" s="24"/>
      <c r="AE32" s="42"/>
      <c r="AG32" s="148">
        <v>1</v>
      </c>
      <c r="AH32" s="149"/>
      <c r="AI32" s="149"/>
      <c r="AJ32" s="150">
        <v>1</v>
      </c>
      <c r="AO32" s="449"/>
    </row>
    <row r="33" spans="2:41" s="29" customFormat="1" ht="73.5" customHeight="1" x14ac:dyDescent="0.2">
      <c r="B33" s="24"/>
      <c r="C33" s="83"/>
      <c r="D33" s="83"/>
      <c r="E33" s="24"/>
      <c r="F33" s="24"/>
      <c r="G33" s="24"/>
      <c r="H33" s="24"/>
      <c r="I33" s="24"/>
      <c r="J33" s="24"/>
      <c r="K33" s="24"/>
      <c r="L33" s="24"/>
      <c r="M33" s="24"/>
      <c r="N33" s="24"/>
      <c r="O33" s="24"/>
      <c r="P33" s="24"/>
      <c r="Q33" s="24"/>
      <c r="R33" s="24"/>
      <c r="S33" s="24"/>
      <c r="T33" s="24"/>
      <c r="U33" s="24"/>
      <c r="V33" s="24"/>
      <c r="W33" s="24"/>
      <c r="X33" s="24"/>
      <c r="Y33" s="24"/>
      <c r="Z33" s="24"/>
      <c r="AA33" s="24"/>
      <c r="AB33" s="24"/>
      <c r="AC33" s="24"/>
      <c r="AD33" s="24"/>
      <c r="AE33" s="42"/>
      <c r="AG33" s="148"/>
      <c r="AH33" s="149">
        <v>1</v>
      </c>
      <c r="AI33" s="149"/>
      <c r="AJ33" s="150">
        <v>1</v>
      </c>
      <c r="AO33" s="449"/>
    </row>
    <row r="34" spans="2:41" s="29" customFormat="1" ht="102" customHeight="1" thickBot="1" x14ac:dyDescent="0.25">
      <c r="B34" s="24"/>
      <c r="C34" s="83"/>
      <c r="D34" s="83"/>
      <c r="E34" s="24"/>
      <c r="F34" s="24"/>
      <c r="G34" s="24"/>
      <c r="H34" s="24"/>
      <c r="I34" s="24"/>
      <c r="J34" s="24"/>
      <c r="K34" s="24"/>
      <c r="L34" s="24"/>
      <c r="M34" s="24"/>
      <c r="N34" s="24"/>
      <c r="O34" s="24"/>
      <c r="P34" s="24"/>
      <c r="Q34" s="24"/>
      <c r="R34" s="24"/>
      <c r="S34" s="24"/>
      <c r="T34" s="24"/>
      <c r="U34" s="24"/>
      <c r="V34" s="24"/>
      <c r="W34" s="24"/>
      <c r="X34" s="24"/>
      <c r="Y34" s="24"/>
      <c r="Z34" s="24"/>
      <c r="AA34" s="24"/>
      <c r="AB34" s="24"/>
      <c r="AC34" s="24"/>
      <c r="AD34" s="24"/>
      <c r="AE34" s="42"/>
      <c r="AG34" s="148">
        <v>1</v>
      </c>
      <c r="AH34" s="149"/>
      <c r="AI34" s="149"/>
      <c r="AJ34" s="150">
        <v>1</v>
      </c>
      <c r="AO34" s="449"/>
    </row>
    <row r="35" spans="2:41" s="29" customFormat="1" ht="86.25" customHeight="1" x14ac:dyDescent="0.2">
      <c r="B35" s="24"/>
      <c r="C35" s="83"/>
      <c r="D35" s="83"/>
      <c r="E35" s="24"/>
      <c r="F35" s="24"/>
      <c r="G35" s="24"/>
      <c r="H35" s="24"/>
      <c r="I35" s="24"/>
      <c r="J35" s="24"/>
      <c r="K35" s="24"/>
      <c r="L35" s="24"/>
      <c r="M35" s="24"/>
      <c r="N35" s="24"/>
      <c r="O35" s="24"/>
      <c r="P35" s="24"/>
      <c r="Q35" s="24"/>
      <c r="R35" s="24"/>
      <c r="S35" s="24"/>
      <c r="T35" s="24"/>
      <c r="U35" s="24"/>
      <c r="V35" s="24"/>
      <c r="W35" s="24"/>
      <c r="X35" s="24"/>
      <c r="Y35" s="24"/>
      <c r="Z35" s="24"/>
      <c r="AA35" s="24"/>
      <c r="AB35" s="24"/>
      <c r="AC35" s="24"/>
      <c r="AD35" s="24"/>
      <c r="AE35" s="42"/>
      <c r="AG35" s="148"/>
      <c r="AH35" s="149">
        <v>1</v>
      </c>
      <c r="AI35" s="149"/>
      <c r="AJ35" s="150">
        <v>1</v>
      </c>
      <c r="AO35" s="451" t="s">
        <v>79</v>
      </c>
    </row>
    <row r="36" spans="2:41" s="29" customFormat="1" ht="70.5" customHeight="1" thickBot="1" x14ac:dyDescent="0.25">
      <c r="B36" s="24"/>
      <c r="C36" s="83"/>
      <c r="D36" s="83"/>
      <c r="E36" s="24"/>
      <c r="F36" s="24"/>
      <c r="G36" s="24"/>
      <c r="H36" s="24"/>
      <c r="I36" s="24"/>
      <c r="J36" s="24"/>
      <c r="K36" s="24"/>
      <c r="L36" s="24"/>
      <c r="M36" s="24"/>
      <c r="N36" s="24"/>
      <c r="O36" s="24"/>
      <c r="P36" s="24"/>
      <c r="Q36" s="24"/>
      <c r="R36" s="24"/>
      <c r="S36" s="24"/>
      <c r="T36" s="24"/>
      <c r="U36" s="24"/>
      <c r="V36" s="24"/>
      <c r="W36" s="24"/>
      <c r="X36" s="24"/>
      <c r="Y36" s="24"/>
      <c r="Z36" s="24"/>
      <c r="AA36" s="24"/>
      <c r="AB36" s="24"/>
      <c r="AC36" s="24"/>
      <c r="AD36" s="24"/>
      <c r="AE36" s="42"/>
      <c r="AG36" s="148">
        <v>1</v>
      </c>
      <c r="AH36" s="149"/>
      <c r="AI36" s="149"/>
      <c r="AJ36" s="150">
        <v>1</v>
      </c>
      <c r="AO36" s="452"/>
    </row>
    <row r="37" spans="2:41" s="29" customFormat="1" ht="62.25" customHeight="1" x14ac:dyDescent="0.2">
      <c r="B37" s="24"/>
      <c r="C37" s="83"/>
      <c r="D37" s="83"/>
      <c r="E37" s="24"/>
      <c r="F37" s="24"/>
      <c r="G37" s="24"/>
      <c r="H37" s="24"/>
      <c r="I37" s="24"/>
      <c r="J37" s="24"/>
      <c r="K37" s="24"/>
      <c r="L37" s="24"/>
      <c r="M37" s="24"/>
      <c r="N37" s="24"/>
      <c r="O37" s="24"/>
      <c r="P37" s="24"/>
      <c r="Q37" s="24"/>
      <c r="R37" s="24"/>
      <c r="S37" s="24"/>
      <c r="T37" s="24"/>
      <c r="U37" s="24"/>
      <c r="V37" s="24"/>
      <c r="W37" s="24"/>
      <c r="X37" s="24"/>
      <c r="Y37" s="24"/>
      <c r="Z37" s="24"/>
      <c r="AA37" s="24"/>
      <c r="AB37" s="24"/>
      <c r="AC37" s="24"/>
      <c r="AD37" s="24"/>
      <c r="AE37" s="42"/>
      <c r="AG37" s="148">
        <v>1</v>
      </c>
      <c r="AH37" s="149"/>
      <c r="AI37" s="149"/>
      <c r="AJ37" s="150">
        <v>1</v>
      </c>
      <c r="AO37" s="451" t="s">
        <v>80</v>
      </c>
    </row>
    <row r="38" spans="2:41" s="29" customFormat="1" ht="45.75" customHeight="1" x14ac:dyDescent="0.2">
      <c r="B38" s="24"/>
      <c r="C38" s="83"/>
      <c r="D38" s="83"/>
      <c r="E38" s="24"/>
      <c r="F38" s="24"/>
      <c r="G38" s="24"/>
      <c r="H38" s="24"/>
      <c r="I38" s="24"/>
      <c r="J38" s="24"/>
      <c r="K38" s="24"/>
      <c r="L38" s="24"/>
      <c r="M38" s="24"/>
      <c r="N38" s="24"/>
      <c r="O38" s="24"/>
      <c r="P38" s="24"/>
      <c r="Q38" s="24"/>
      <c r="R38" s="24"/>
      <c r="S38" s="24"/>
      <c r="T38" s="24"/>
      <c r="U38" s="24"/>
      <c r="V38" s="24"/>
      <c r="W38" s="24"/>
      <c r="X38" s="24"/>
      <c r="Y38" s="24"/>
      <c r="Z38" s="24"/>
      <c r="AA38" s="24"/>
      <c r="AB38" s="24"/>
      <c r="AC38" s="24"/>
      <c r="AD38" s="24"/>
      <c r="AE38" s="42"/>
      <c r="AG38" s="148"/>
      <c r="AH38" s="149"/>
      <c r="AI38" s="149">
        <v>1</v>
      </c>
      <c r="AJ38" s="150">
        <v>1</v>
      </c>
      <c r="AO38" s="453"/>
    </row>
    <row r="39" spans="2:41" s="29" customFormat="1" ht="43.5" customHeight="1" x14ac:dyDescent="0.2">
      <c r="B39" s="24"/>
      <c r="C39" s="83"/>
      <c r="D39" s="83"/>
      <c r="E39" s="24"/>
      <c r="F39" s="24"/>
      <c r="G39" s="24"/>
      <c r="H39" s="24"/>
      <c r="I39" s="24"/>
      <c r="J39" s="24"/>
      <c r="K39" s="24"/>
      <c r="L39" s="24"/>
      <c r="M39" s="24"/>
      <c r="N39" s="24"/>
      <c r="O39" s="24"/>
      <c r="P39" s="24"/>
      <c r="Q39" s="24"/>
      <c r="R39" s="24"/>
      <c r="S39" s="24"/>
      <c r="T39" s="24"/>
      <c r="U39" s="24"/>
      <c r="V39" s="24"/>
      <c r="W39" s="24"/>
      <c r="X39" s="24"/>
      <c r="Y39" s="24"/>
      <c r="Z39" s="24"/>
      <c r="AA39" s="24"/>
      <c r="AB39" s="24"/>
      <c r="AC39" s="24"/>
      <c r="AD39" s="24"/>
      <c r="AE39" s="42"/>
      <c r="AG39" s="148">
        <v>1</v>
      </c>
      <c r="AH39" s="149"/>
      <c r="AI39" s="149"/>
      <c r="AJ39" s="150">
        <v>1</v>
      </c>
      <c r="AO39" s="453"/>
    </row>
    <row r="40" spans="2:41" s="29" customFormat="1" ht="61.5" customHeight="1" thickBot="1" x14ac:dyDescent="0.25">
      <c r="B40" s="24"/>
      <c r="C40" s="83"/>
      <c r="D40" s="83"/>
      <c r="J40" s="24"/>
      <c r="K40" s="24"/>
      <c r="L40" s="24"/>
      <c r="M40" s="24"/>
      <c r="N40" s="24"/>
      <c r="O40" s="24"/>
      <c r="P40" s="24"/>
      <c r="Q40" s="24"/>
      <c r="R40" s="24"/>
      <c r="S40" s="24"/>
      <c r="T40" s="24"/>
      <c r="U40" s="24"/>
      <c r="V40" s="24"/>
      <c r="W40" s="24"/>
      <c r="X40" s="24"/>
      <c r="Y40" s="24"/>
      <c r="Z40" s="24"/>
      <c r="AA40" s="24"/>
      <c r="AB40" s="24"/>
      <c r="AC40" s="24"/>
      <c r="AD40" s="24"/>
      <c r="AE40" s="42"/>
      <c r="AG40" s="454"/>
      <c r="AH40" s="455"/>
      <c r="AI40" s="455">
        <v>1</v>
      </c>
      <c r="AJ40" s="456">
        <v>1</v>
      </c>
      <c r="AO40" s="452"/>
    </row>
    <row r="41" spans="2:41" s="29" customFormat="1" ht="70.5" customHeight="1" x14ac:dyDescent="0.2">
      <c r="B41" s="24"/>
      <c r="C41" s="83"/>
      <c r="D41" s="83"/>
      <c r="E41" s="24"/>
      <c r="F41" s="24"/>
      <c r="G41" s="24"/>
      <c r="H41" s="24"/>
      <c r="I41" s="24"/>
      <c r="J41" s="24"/>
      <c r="K41" s="24"/>
      <c r="L41" s="24"/>
      <c r="M41" s="24"/>
      <c r="N41" s="24"/>
      <c r="O41" s="24"/>
      <c r="P41" s="24"/>
      <c r="Q41" s="24"/>
      <c r="R41" s="24"/>
      <c r="S41" s="24"/>
      <c r="T41" s="24"/>
      <c r="U41" s="24"/>
      <c r="V41" s="24"/>
      <c r="W41" s="24"/>
      <c r="X41" s="24"/>
      <c r="Y41" s="24"/>
      <c r="Z41" s="24"/>
      <c r="AA41" s="24"/>
      <c r="AB41" s="24"/>
      <c r="AC41" s="24"/>
      <c r="AD41" s="24"/>
      <c r="AE41" s="42"/>
      <c r="AG41" s="454"/>
      <c r="AH41" s="455"/>
      <c r="AI41" s="455"/>
      <c r="AJ41" s="456"/>
      <c r="AO41" s="448" t="s">
        <v>81</v>
      </c>
    </row>
    <row r="42" spans="2:41" s="29" customFormat="1" ht="59.25" customHeight="1" x14ac:dyDescent="0.2">
      <c r="B42" s="24"/>
      <c r="C42" s="83"/>
      <c r="D42" s="83"/>
      <c r="E42" s="24"/>
      <c r="F42" s="24"/>
      <c r="G42" s="24"/>
      <c r="H42" s="24"/>
      <c r="I42" s="24"/>
      <c r="J42" s="24"/>
      <c r="K42" s="24"/>
      <c r="L42" s="24"/>
      <c r="M42" s="24"/>
      <c r="N42" s="24"/>
      <c r="O42" s="24"/>
      <c r="P42" s="24"/>
      <c r="Q42" s="24"/>
      <c r="R42" s="24"/>
      <c r="S42" s="24"/>
      <c r="T42" s="24"/>
      <c r="U42" s="24"/>
      <c r="V42" s="24"/>
      <c r="W42" s="24"/>
      <c r="X42" s="24"/>
      <c r="Y42" s="24"/>
      <c r="Z42" s="24"/>
      <c r="AA42" s="24"/>
      <c r="AB42" s="24"/>
      <c r="AC42" s="24"/>
      <c r="AD42" s="24"/>
      <c r="AE42" s="42"/>
      <c r="AG42" s="148">
        <v>1</v>
      </c>
      <c r="AH42" s="149"/>
      <c r="AI42" s="149"/>
      <c r="AJ42" s="150">
        <v>1</v>
      </c>
      <c r="AO42" s="449"/>
    </row>
    <row r="43" spans="2:41" s="29" customFormat="1" ht="122.25" customHeight="1" x14ac:dyDescent="0.2">
      <c r="B43" s="24"/>
      <c r="C43" s="83"/>
      <c r="D43" s="83"/>
      <c r="E43" s="24"/>
      <c r="F43" s="24"/>
      <c r="G43" s="24"/>
      <c r="H43" s="24"/>
      <c r="I43" s="24"/>
      <c r="J43" s="24"/>
      <c r="K43" s="24"/>
      <c r="L43" s="24"/>
      <c r="M43" s="24"/>
      <c r="N43" s="24"/>
      <c r="O43" s="24"/>
      <c r="P43" s="24"/>
      <c r="Q43" s="24"/>
      <c r="R43" s="24"/>
      <c r="S43" s="24"/>
      <c r="T43" s="24"/>
      <c r="U43" s="24"/>
      <c r="V43" s="24"/>
      <c r="W43" s="24"/>
      <c r="X43" s="24"/>
      <c r="Y43" s="24"/>
      <c r="Z43" s="24"/>
      <c r="AA43" s="24"/>
      <c r="AB43" s="24"/>
      <c r="AC43" s="24"/>
      <c r="AD43" s="24"/>
      <c r="AE43" s="42"/>
      <c r="AG43" s="148">
        <v>1</v>
      </c>
      <c r="AH43" s="149"/>
      <c r="AI43" s="149"/>
      <c r="AJ43" s="150">
        <v>1</v>
      </c>
      <c r="AO43" s="449"/>
    </row>
    <row r="44" spans="2:41" s="29" customFormat="1" ht="97.5" customHeight="1" x14ac:dyDescent="0.2">
      <c r="B44" s="24"/>
      <c r="C44" s="83"/>
      <c r="D44" s="83"/>
      <c r="E44" s="24"/>
      <c r="F44" s="24"/>
      <c r="G44" s="24"/>
      <c r="H44" s="24"/>
      <c r="I44" s="24"/>
      <c r="J44" s="24"/>
      <c r="K44" s="24"/>
      <c r="L44" s="24"/>
      <c r="M44" s="24"/>
      <c r="N44" s="24"/>
      <c r="O44" s="24"/>
      <c r="P44" s="24"/>
      <c r="Q44" s="24"/>
      <c r="R44" s="24"/>
      <c r="S44" s="24"/>
      <c r="T44" s="24"/>
      <c r="U44" s="24"/>
      <c r="V44" s="24"/>
      <c r="W44" s="24"/>
      <c r="X44" s="24"/>
      <c r="Y44" s="24"/>
      <c r="Z44" s="24"/>
      <c r="AA44" s="24"/>
      <c r="AB44" s="24"/>
      <c r="AC44" s="24"/>
      <c r="AD44" s="24"/>
      <c r="AE44" s="42"/>
      <c r="AG44" s="148">
        <v>1</v>
      </c>
      <c r="AH44" s="149"/>
      <c r="AI44" s="149"/>
      <c r="AJ44" s="150">
        <v>1</v>
      </c>
      <c r="AO44" s="449"/>
    </row>
    <row r="45" spans="2:41" s="29" customFormat="1" ht="49.5" customHeight="1" thickBot="1" x14ac:dyDescent="0.25">
      <c r="B45" s="24"/>
      <c r="C45" s="83"/>
      <c r="D45" s="83"/>
      <c r="E45" s="24"/>
      <c r="F45" s="24"/>
      <c r="G45" s="24"/>
      <c r="H45" s="24"/>
      <c r="I45" s="24"/>
      <c r="J45" s="24"/>
      <c r="K45" s="24"/>
      <c r="L45" s="24"/>
      <c r="M45" s="24"/>
      <c r="N45" s="24"/>
      <c r="O45" s="24"/>
      <c r="P45" s="24"/>
      <c r="Q45" s="24"/>
      <c r="R45" s="24"/>
      <c r="S45" s="24"/>
      <c r="T45" s="24"/>
      <c r="U45" s="24"/>
      <c r="V45" s="24"/>
      <c r="W45" s="24"/>
      <c r="X45" s="24"/>
      <c r="Y45" s="24"/>
      <c r="Z45" s="24"/>
      <c r="AA45" s="24"/>
      <c r="AB45" s="24"/>
      <c r="AC45" s="24"/>
      <c r="AD45" s="24"/>
      <c r="AE45" s="42"/>
      <c r="AG45" s="148">
        <v>1</v>
      </c>
      <c r="AH45" s="149"/>
      <c r="AI45" s="149"/>
      <c r="AJ45" s="150">
        <v>1</v>
      </c>
      <c r="AO45" s="450"/>
    </row>
    <row r="46" spans="2:41" s="29" customFormat="1" ht="61.5" customHeight="1" x14ac:dyDescent="0.2">
      <c r="B46" s="24"/>
      <c r="C46" s="83"/>
      <c r="D46" s="83"/>
      <c r="E46" s="24"/>
      <c r="F46" s="24"/>
      <c r="G46" s="24"/>
      <c r="H46" s="24"/>
      <c r="I46" s="24"/>
      <c r="J46" s="24"/>
      <c r="K46" s="24"/>
      <c r="L46" s="24"/>
      <c r="M46" s="24"/>
      <c r="N46" s="24"/>
      <c r="O46" s="24"/>
      <c r="P46" s="24"/>
      <c r="Q46" s="24"/>
      <c r="R46" s="24"/>
      <c r="S46" s="24"/>
      <c r="T46" s="24"/>
      <c r="U46" s="24"/>
      <c r="V46" s="24"/>
      <c r="W46" s="24"/>
      <c r="X46" s="24"/>
      <c r="Y46" s="24"/>
      <c r="Z46" s="24"/>
      <c r="AA46" s="24"/>
      <c r="AB46" s="24"/>
      <c r="AC46" s="24"/>
      <c r="AD46" s="24"/>
      <c r="AE46" s="42"/>
      <c r="AG46" s="148"/>
      <c r="AH46" s="149">
        <v>1</v>
      </c>
      <c r="AI46" s="149"/>
      <c r="AJ46" s="150">
        <v>1</v>
      </c>
      <c r="AO46" s="448" t="s">
        <v>82</v>
      </c>
    </row>
    <row r="47" spans="2:41" s="29" customFormat="1" ht="44.25" customHeight="1" x14ac:dyDescent="0.2">
      <c r="B47" s="24"/>
      <c r="C47" s="83"/>
      <c r="D47" s="83"/>
      <c r="E47" s="24"/>
      <c r="F47" s="24"/>
      <c r="G47" s="24"/>
      <c r="H47" s="24"/>
      <c r="I47" s="24"/>
      <c r="J47" s="24"/>
      <c r="K47" s="24"/>
      <c r="L47" s="24"/>
      <c r="M47" s="24"/>
      <c r="N47" s="24"/>
      <c r="O47" s="24"/>
      <c r="P47" s="24"/>
      <c r="Q47" s="24"/>
      <c r="R47" s="24"/>
      <c r="S47" s="24"/>
      <c r="T47" s="24"/>
      <c r="U47" s="24"/>
      <c r="V47" s="24"/>
      <c r="W47" s="24"/>
      <c r="X47" s="24"/>
      <c r="Y47" s="24"/>
      <c r="Z47" s="24"/>
      <c r="AA47" s="24"/>
      <c r="AB47" s="24"/>
      <c r="AC47" s="24"/>
      <c r="AD47" s="24"/>
      <c r="AE47" s="42"/>
      <c r="AG47" s="148">
        <v>1</v>
      </c>
      <c r="AH47" s="149"/>
      <c r="AI47" s="149"/>
      <c r="AJ47" s="150">
        <v>1</v>
      </c>
      <c r="AO47" s="449"/>
    </row>
    <row r="48" spans="2:41" s="29" customFormat="1" ht="97.5" customHeight="1" x14ac:dyDescent="0.2">
      <c r="B48" s="24"/>
      <c r="C48" s="83"/>
      <c r="D48" s="83"/>
      <c r="J48" s="24"/>
      <c r="K48" s="24"/>
      <c r="L48" s="24"/>
      <c r="M48" s="24"/>
      <c r="N48" s="24"/>
      <c r="O48" s="24"/>
      <c r="P48" s="24"/>
      <c r="Q48" s="24"/>
      <c r="R48" s="24"/>
      <c r="S48" s="24"/>
      <c r="T48" s="24"/>
      <c r="U48" s="24"/>
      <c r="V48" s="24"/>
      <c r="W48" s="24"/>
      <c r="X48" s="24"/>
      <c r="Y48" s="24"/>
      <c r="Z48" s="24"/>
      <c r="AA48" s="24"/>
      <c r="AB48" s="24"/>
      <c r="AC48" s="24"/>
      <c r="AD48" s="24"/>
      <c r="AE48" s="42"/>
      <c r="AG48" s="148">
        <v>1</v>
      </c>
      <c r="AH48" s="149"/>
      <c r="AI48" s="149"/>
      <c r="AJ48" s="150">
        <v>1</v>
      </c>
      <c r="AO48" s="449"/>
    </row>
    <row r="49" spans="2:41" s="29" customFormat="1" ht="54.75" customHeight="1" thickBot="1" x14ac:dyDescent="0.25">
      <c r="B49" s="24"/>
      <c r="C49" s="83"/>
      <c r="D49" s="83"/>
      <c r="E49" s="24"/>
      <c r="F49" s="24"/>
      <c r="G49" s="24"/>
      <c r="H49" s="24"/>
      <c r="I49" s="24"/>
      <c r="J49" s="24"/>
      <c r="K49" s="24"/>
      <c r="L49" s="24"/>
      <c r="M49" s="24"/>
      <c r="N49" s="24"/>
      <c r="O49" s="24"/>
      <c r="P49" s="24"/>
      <c r="Q49" s="24"/>
      <c r="R49" s="24"/>
      <c r="S49" s="24"/>
      <c r="T49" s="24"/>
      <c r="U49" s="24"/>
      <c r="V49" s="24"/>
      <c r="W49" s="24"/>
      <c r="X49" s="24"/>
      <c r="Y49" s="24"/>
      <c r="Z49" s="24"/>
      <c r="AA49" s="24"/>
      <c r="AB49" s="24"/>
      <c r="AC49" s="24"/>
      <c r="AD49" s="24"/>
      <c r="AE49" s="42"/>
      <c r="AG49" s="148">
        <v>1</v>
      </c>
      <c r="AH49" s="149"/>
      <c r="AI49" s="149"/>
      <c r="AJ49" s="150">
        <v>1</v>
      </c>
      <c r="AO49" s="450"/>
    </row>
    <row r="50" spans="2:41" s="29" customFormat="1" ht="83.25" customHeight="1" x14ac:dyDescent="0.2">
      <c r="B50" s="24"/>
      <c r="C50" s="83"/>
      <c r="D50" s="83"/>
      <c r="E50" s="24"/>
      <c r="F50" s="24"/>
      <c r="G50" s="24"/>
      <c r="H50" s="24"/>
      <c r="I50" s="24"/>
      <c r="J50" s="24"/>
      <c r="K50" s="24"/>
      <c r="L50" s="24"/>
      <c r="M50" s="24"/>
      <c r="N50" s="24"/>
      <c r="O50" s="24"/>
      <c r="P50" s="24"/>
      <c r="Q50" s="24"/>
      <c r="R50" s="24"/>
      <c r="S50" s="24"/>
      <c r="T50" s="24"/>
      <c r="U50" s="24"/>
      <c r="V50" s="24"/>
      <c r="W50" s="24"/>
      <c r="X50" s="24"/>
      <c r="Y50" s="24"/>
      <c r="Z50" s="24"/>
      <c r="AA50" s="24"/>
      <c r="AB50" s="24"/>
      <c r="AC50" s="24"/>
      <c r="AD50" s="24"/>
      <c r="AE50" s="42"/>
      <c r="AG50" s="148">
        <v>1</v>
      </c>
      <c r="AH50" s="149"/>
      <c r="AI50" s="149"/>
      <c r="AJ50" s="150">
        <v>1</v>
      </c>
      <c r="AO50" s="448" t="s">
        <v>73</v>
      </c>
    </row>
    <row r="51" spans="2:41" s="29" customFormat="1" ht="82.5" customHeight="1" x14ac:dyDescent="0.2">
      <c r="B51" s="24"/>
      <c r="C51" s="83"/>
      <c r="D51" s="83"/>
      <c r="E51" s="24"/>
      <c r="F51" s="24"/>
      <c r="G51" s="24"/>
      <c r="H51" s="24"/>
      <c r="I51" s="24"/>
      <c r="J51" s="24"/>
      <c r="K51" s="24"/>
      <c r="L51" s="24"/>
      <c r="M51" s="24"/>
      <c r="N51" s="24"/>
      <c r="O51" s="24"/>
      <c r="P51" s="24"/>
      <c r="Q51" s="24"/>
      <c r="R51" s="24"/>
      <c r="S51" s="24"/>
      <c r="T51" s="24"/>
      <c r="U51" s="24"/>
      <c r="V51" s="24"/>
      <c r="W51" s="24"/>
      <c r="X51" s="24"/>
      <c r="Y51" s="24"/>
      <c r="Z51" s="24"/>
      <c r="AA51" s="24"/>
      <c r="AB51" s="24"/>
      <c r="AC51" s="24"/>
      <c r="AD51" s="24"/>
      <c r="AE51" s="42"/>
      <c r="AG51" s="148"/>
      <c r="AH51" s="149"/>
      <c r="AI51" s="149">
        <v>1</v>
      </c>
      <c r="AJ51" s="150">
        <v>1</v>
      </c>
      <c r="AO51" s="449"/>
    </row>
    <row r="52" spans="2:41" s="29" customFormat="1" ht="67.5" customHeight="1" x14ac:dyDescent="0.2">
      <c r="B52" s="24"/>
      <c r="C52" s="83"/>
      <c r="D52" s="83"/>
      <c r="E52" s="24"/>
      <c r="F52" s="24"/>
      <c r="G52" s="24"/>
      <c r="H52" s="24"/>
      <c r="I52" s="24"/>
      <c r="J52" s="24"/>
      <c r="K52" s="24"/>
      <c r="L52" s="24"/>
      <c r="M52" s="24"/>
      <c r="N52" s="24"/>
      <c r="O52" s="24"/>
      <c r="P52" s="24"/>
      <c r="Q52" s="24"/>
      <c r="R52" s="24"/>
      <c r="S52" s="24"/>
      <c r="T52" s="24"/>
      <c r="U52" s="24"/>
      <c r="V52" s="24"/>
      <c r="W52" s="24"/>
      <c r="X52" s="24"/>
      <c r="Y52" s="24"/>
      <c r="Z52" s="24"/>
      <c r="AA52" s="24"/>
      <c r="AB52" s="24"/>
      <c r="AC52" s="24"/>
      <c r="AD52" s="24"/>
      <c r="AE52" s="42"/>
      <c r="AG52" s="148"/>
      <c r="AH52" s="149">
        <v>1</v>
      </c>
      <c r="AI52" s="149"/>
      <c r="AJ52" s="150">
        <v>1</v>
      </c>
      <c r="AO52" s="449"/>
    </row>
    <row r="53" spans="2:41" s="29" customFormat="1" ht="65.25" customHeight="1" thickBot="1" x14ac:dyDescent="0.25">
      <c r="B53" s="24"/>
      <c r="C53" s="83"/>
      <c r="D53" s="83"/>
      <c r="E53" s="24"/>
      <c r="F53" s="24"/>
      <c r="G53" s="24"/>
      <c r="H53" s="24"/>
      <c r="I53" s="24"/>
      <c r="J53" s="24"/>
      <c r="K53" s="24"/>
      <c r="L53" s="24"/>
      <c r="M53" s="24"/>
      <c r="N53" s="24"/>
      <c r="O53" s="24"/>
      <c r="P53" s="24"/>
      <c r="Q53" s="24"/>
      <c r="R53" s="24"/>
      <c r="S53" s="24"/>
      <c r="T53" s="24"/>
      <c r="U53" s="24"/>
      <c r="V53" s="24"/>
      <c r="W53" s="24"/>
      <c r="X53" s="24"/>
      <c r="Y53" s="24"/>
      <c r="Z53" s="24"/>
      <c r="AA53" s="24"/>
      <c r="AB53" s="24"/>
      <c r="AC53" s="24"/>
      <c r="AD53" s="24"/>
      <c r="AE53" s="42"/>
      <c r="AG53" s="148">
        <v>1</v>
      </c>
      <c r="AH53" s="149"/>
      <c r="AI53" s="149"/>
      <c r="AJ53" s="150">
        <v>1</v>
      </c>
      <c r="AO53" s="450"/>
    </row>
    <row r="54" spans="2:41" s="29" customFormat="1" ht="36.75" customHeight="1" x14ac:dyDescent="0.2">
      <c r="B54" s="24"/>
      <c r="C54" s="83"/>
      <c r="D54" s="83"/>
      <c r="E54" s="24"/>
      <c r="F54" s="24"/>
      <c r="G54" s="24"/>
      <c r="H54" s="24"/>
      <c r="I54" s="24"/>
      <c r="J54" s="24"/>
      <c r="K54" s="24"/>
      <c r="L54" s="24"/>
      <c r="M54" s="24"/>
      <c r="N54" s="24"/>
      <c r="O54" s="24"/>
      <c r="P54" s="24"/>
      <c r="Q54" s="24"/>
      <c r="R54" s="24"/>
      <c r="S54" s="24"/>
      <c r="T54" s="24"/>
      <c r="U54" s="24"/>
      <c r="V54" s="24"/>
      <c r="W54" s="24"/>
      <c r="X54" s="24"/>
      <c r="Y54" s="24"/>
      <c r="Z54" s="24"/>
      <c r="AA54" s="24"/>
      <c r="AB54" s="24"/>
      <c r="AC54" s="24"/>
      <c r="AD54" s="24"/>
      <c r="AE54" s="42"/>
      <c r="AG54" s="148"/>
      <c r="AH54" s="149"/>
      <c r="AI54" s="149"/>
      <c r="AJ54" s="150"/>
    </row>
    <row r="55" spans="2:41" s="29" customFormat="1" ht="151.5" customHeight="1" x14ac:dyDescent="0.2">
      <c r="B55" s="24"/>
      <c r="C55" s="83"/>
      <c r="D55" s="83"/>
      <c r="I55" s="24"/>
      <c r="J55" s="24"/>
      <c r="K55" s="24"/>
      <c r="L55" s="24"/>
      <c r="M55" s="24"/>
      <c r="N55" s="24"/>
      <c r="O55" s="24"/>
      <c r="P55" s="24"/>
      <c r="Q55" s="24"/>
      <c r="R55" s="24"/>
      <c r="S55" s="24"/>
      <c r="T55" s="24"/>
      <c r="U55" s="24"/>
      <c r="V55" s="24"/>
      <c r="W55" s="24"/>
      <c r="X55" s="24"/>
      <c r="Y55" s="24"/>
      <c r="Z55" s="24"/>
      <c r="AA55" s="24"/>
      <c r="AB55" s="24"/>
      <c r="AC55" s="24"/>
      <c r="AD55" s="24"/>
      <c r="AE55" s="42"/>
      <c r="AG55" s="148"/>
      <c r="AH55" s="149"/>
      <c r="AI55" s="149">
        <v>1</v>
      </c>
      <c r="AJ55" s="150">
        <v>1</v>
      </c>
    </row>
    <row r="56" spans="2:41" s="29" customFormat="1" ht="100.5" customHeight="1" x14ac:dyDescent="0.2">
      <c r="B56" s="24"/>
      <c r="C56" s="83"/>
      <c r="D56" s="83"/>
      <c r="E56" s="24"/>
      <c r="F56" s="24"/>
      <c r="G56" s="24"/>
      <c r="H56" s="24"/>
      <c r="I56" s="24"/>
      <c r="J56" s="24"/>
      <c r="K56" s="24"/>
      <c r="L56" s="24"/>
      <c r="M56" s="24"/>
      <c r="N56" s="24"/>
      <c r="O56" s="24"/>
      <c r="P56" s="24"/>
      <c r="Q56" s="24"/>
      <c r="R56" s="24"/>
      <c r="S56" s="24"/>
      <c r="T56" s="24"/>
      <c r="U56" s="24"/>
      <c r="V56" s="24"/>
      <c r="W56" s="24"/>
      <c r="X56" s="24"/>
      <c r="Y56" s="24"/>
      <c r="Z56" s="24"/>
      <c r="AA56" s="24"/>
      <c r="AB56" s="24"/>
      <c r="AC56" s="24"/>
      <c r="AD56" s="24"/>
      <c r="AE56" s="42"/>
      <c r="AG56" s="148"/>
      <c r="AH56" s="149"/>
      <c r="AI56" s="149">
        <v>1</v>
      </c>
      <c r="AJ56" s="150">
        <v>1</v>
      </c>
    </row>
    <row r="57" spans="2:41" s="29" customFormat="1" ht="113.25" customHeight="1" x14ac:dyDescent="0.2">
      <c r="B57" s="24"/>
      <c r="C57" s="83"/>
      <c r="D57" s="83"/>
      <c r="E57" s="24"/>
      <c r="F57" s="24"/>
      <c r="G57" s="24"/>
      <c r="H57" s="24"/>
      <c r="I57" s="24"/>
      <c r="J57" s="24"/>
      <c r="K57" s="24"/>
      <c r="L57" s="24"/>
      <c r="M57" s="24"/>
      <c r="N57" s="24"/>
      <c r="O57" s="24"/>
      <c r="P57" s="24"/>
      <c r="Q57" s="24"/>
      <c r="R57" s="24"/>
      <c r="S57" s="24"/>
      <c r="T57" s="24"/>
      <c r="U57" s="24"/>
      <c r="V57" s="24"/>
      <c r="W57" s="24"/>
      <c r="X57" s="24"/>
      <c r="Y57" s="24"/>
      <c r="Z57" s="24"/>
      <c r="AA57" s="24"/>
      <c r="AB57" s="24"/>
      <c r="AC57" s="24"/>
      <c r="AD57" s="24"/>
      <c r="AE57" s="42"/>
      <c r="AG57" s="148"/>
      <c r="AH57" s="149">
        <v>1</v>
      </c>
      <c r="AI57" s="149"/>
      <c r="AJ57" s="150">
        <v>1</v>
      </c>
    </row>
    <row r="58" spans="2:41" ht="54.75" customHeight="1" x14ac:dyDescent="0.2">
      <c r="C58" s="83"/>
      <c r="D58" s="83"/>
      <c r="AE58" s="42"/>
      <c r="AF58" s="29"/>
      <c r="AG58" s="34"/>
      <c r="AH58" s="30">
        <v>1</v>
      </c>
      <c r="AI58" s="30"/>
      <c r="AJ58" s="35">
        <v>1</v>
      </c>
    </row>
    <row r="59" spans="2:41" ht="45.75" customHeight="1" x14ac:dyDescent="0.2">
      <c r="C59" s="83"/>
      <c r="D59" s="83"/>
      <c r="AE59" s="42"/>
      <c r="AF59" s="29"/>
      <c r="AG59" s="34"/>
      <c r="AH59" s="30">
        <v>1</v>
      </c>
      <c r="AI59" s="30"/>
      <c r="AJ59" s="35">
        <v>1</v>
      </c>
    </row>
    <row r="60" spans="2:41" ht="54.75" customHeight="1" x14ac:dyDescent="0.2">
      <c r="C60" s="83"/>
      <c r="D60" s="83"/>
      <c r="AE60" s="42"/>
      <c r="AF60" s="29"/>
      <c r="AG60" s="34"/>
      <c r="AH60" s="30">
        <v>1</v>
      </c>
      <c r="AI60" s="30"/>
      <c r="AJ60" s="35">
        <v>1</v>
      </c>
    </row>
    <row r="61" spans="2:41" ht="201.75" customHeight="1" x14ac:dyDescent="0.2">
      <c r="C61" s="83"/>
      <c r="D61" s="83"/>
      <c r="AE61" s="42"/>
      <c r="AF61" s="29"/>
      <c r="AG61" s="34"/>
      <c r="AH61" s="30">
        <v>1</v>
      </c>
      <c r="AI61" s="30"/>
      <c r="AJ61" s="35">
        <v>1</v>
      </c>
    </row>
    <row r="62" spans="2:41" ht="125.25" customHeight="1" x14ac:dyDescent="0.2">
      <c r="C62" s="83"/>
      <c r="D62" s="83"/>
      <c r="AE62" s="42"/>
      <c r="AF62" s="29"/>
      <c r="AG62" s="34"/>
      <c r="AH62" s="30">
        <v>1</v>
      </c>
      <c r="AI62" s="30"/>
      <c r="AJ62" s="35">
        <v>1</v>
      </c>
    </row>
    <row r="63" spans="2:41" ht="112.5" customHeight="1" thickBot="1" x14ac:dyDescent="0.25">
      <c r="C63" s="83"/>
      <c r="D63" s="83"/>
      <c r="AE63" s="42"/>
      <c r="AG63" s="36">
        <f>SUM(AG9:AG58)</f>
        <v>23</v>
      </c>
      <c r="AH63" s="37">
        <f>SUM(AH9:AH62)</f>
        <v>18</v>
      </c>
      <c r="AI63" s="37">
        <f>SUM(AI9:AI62)</f>
        <v>5</v>
      </c>
      <c r="AJ63" s="38">
        <f>SUM(AJ9:AJ62)</f>
        <v>46</v>
      </c>
    </row>
    <row r="64" spans="2:41" ht="94.5" customHeight="1" x14ac:dyDescent="0.2">
      <c r="C64" s="83"/>
      <c r="D64" s="83"/>
      <c r="AE64" s="42"/>
    </row>
    <row r="65" spans="3:31" ht="100.5" customHeight="1" x14ac:dyDescent="0.2">
      <c r="C65" s="83"/>
      <c r="D65" s="83"/>
      <c r="AE65" s="42"/>
    </row>
    <row r="66" spans="3:31" ht="226.5" customHeight="1" x14ac:dyDescent="0.2">
      <c r="C66" s="83"/>
      <c r="D66" s="83"/>
      <c r="AE66" s="42"/>
    </row>
    <row r="67" spans="3:31" ht="67.5" customHeight="1" x14ac:dyDescent="0.2">
      <c r="C67" s="83"/>
      <c r="D67" s="83"/>
      <c r="AE67" s="42"/>
    </row>
    <row r="68" spans="3:31" ht="90.75" customHeight="1" x14ac:dyDescent="0.2">
      <c r="C68" s="83"/>
      <c r="D68" s="83"/>
      <c r="AE68" s="42"/>
    </row>
    <row r="69" spans="3:31" ht="75" customHeight="1" x14ac:dyDescent="0.2">
      <c r="C69" s="83"/>
      <c r="D69" s="83"/>
      <c r="AE69" s="42"/>
    </row>
    <row r="70" spans="3:31" x14ac:dyDescent="0.2">
      <c r="C70" s="83"/>
      <c r="D70" s="83"/>
      <c r="AE70" s="42"/>
    </row>
    <row r="71" spans="3:31" ht="43.5" customHeight="1" x14ac:dyDescent="0.2">
      <c r="C71" s="83"/>
      <c r="D71" s="83"/>
      <c r="AE71" s="42"/>
    </row>
    <row r="72" spans="3:31" ht="49.5" customHeight="1" x14ac:dyDescent="0.2">
      <c r="C72" s="83"/>
      <c r="D72" s="83"/>
      <c r="AE72" s="42"/>
    </row>
    <row r="73" spans="3:31" ht="232.5" customHeight="1" x14ac:dyDescent="0.2">
      <c r="C73" s="83"/>
      <c r="D73" s="83"/>
      <c r="H73" s="83"/>
      <c r="I73" s="83"/>
      <c r="AE73" s="42"/>
    </row>
    <row r="74" spans="3:31" x14ac:dyDescent="0.2">
      <c r="C74" s="83"/>
      <c r="D74" s="83"/>
      <c r="AE74" s="42"/>
    </row>
    <row r="75" spans="3:31" ht="241.5" customHeight="1" x14ac:dyDescent="0.2">
      <c r="C75" s="83"/>
      <c r="D75" s="83"/>
      <c r="AE75" s="42"/>
    </row>
    <row r="76" spans="3:31" x14ac:dyDescent="0.2">
      <c r="AE76" s="42"/>
    </row>
    <row r="77" spans="3:31" x14ac:dyDescent="0.2">
      <c r="AE77" s="42"/>
    </row>
    <row r="78" spans="3:31" x14ac:dyDescent="0.2">
      <c r="AE78" s="42"/>
    </row>
    <row r="79" spans="3:31" x14ac:dyDescent="0.2">
      <c r="AE79" s="42"/>
    </row>
  </sheetData>
  <autoFilter ref="B8:AC13"/>
  <mergeCells count="56">
    <mergeCell ref="B9:B15"/>
    <mergeCell ref="AE9:AE15"/>
    <mergeCell ref="B5:AE5"/>
    <mergeCell ref="B2:AE2"/>
    <mergeCell ref="B3:F3"/>
    <mergeCell ref="G3:N3"/>
    <mergeCell ref="O3:T3"/>
    <mergeCell ref="U3:AA3"/>
    <mergeCell ref="AB3:AE3"/>
    <mergeCell ref="B4:F4"/>
    <mergeCell ref="G4:N4"/>
    <mergeCell ref="O4:T4"/>
    <mergeCell ref="U4:AA4"/>
    <mergeCell ref="AB4:AE4"/>
    <mergeCell ref="B6:I6"/>
    <mergeCell ref="J6:N7"/>
    <mergeCell ref="O6:P6"/>
    <mergeCell ref="Q6:U7"/>
    <mergeCell ref="V6:AE6"/>
    <mergeCell ref="B7:B8"/>
    <mergeCell ref="C7:C8"/>
    <mergeCell ref="D7:D8"/>
    <mergeCell ref="O7:P7"/>
    <mergeCell ref="V7:Y7"/>
    <mergeCell ref="Z7:AD7"/>
    <mergeCell ref="AE7:AE8"/>
    <mergeCell ref="AG7:AJ7"/>
    <mergeCell ref="AO25:AO30"/>
    <mergeCell ref="AO17:AO24"/>
    <mergeCell ref="F18:G18"/>
    <mergeCell ref="H18:I18"/>
    <mergeCell ref="M18:N18"/>
    <mergeCell ref="O18:P18"/>
    <mergeCell ref="F19:G19"/>
    <mergeCell ref="H19:I19"/>
    <mergeCell ref="M19:N19"/>
    <mergeCell ref="O19:P19"/>
    <mergeCell ref="F20:G20"/>
    <mergeCell ref="H17:K17"/>
    <mergeCell ref="M17:P17"/>
    <mergeCell ref="H20:I20"/>
    <mergeCell ref="M20:N20"/>
    <mergeCell ref="O20:P20"/>
    <mergeCell ref="F21:G21"/>
    <mergeCell ref="H21:I21"/>
    <mergeCell ref="H22:I22"/>
    <mergeCell ref="AO46:AO49"/>
    <mergeCell ref="AO50:AO53"/>
    <mergeCell ref="AO31:AO34"/>
    <mergeCell ref="AO35:AO36"/>
    <mergeCell ref="AO37:AO40"/>
    <mergeCell ref="AG40:AG41"/>
    <mergeCell ref="AH40:AH41"/>
    <mergeCell ref="AI40:AI41"/>
    <mergeCell ref="AJ40:AJ41"/>
    <mergeCell ref="AO41:AO45"/>
  </mergeCells>
  <conditionalFormatting sqref="N9:P9 N10 P10 N11:P14">
    <cfRule type="cellIs" dxfId="191" priority="59" operator="equal">
      <formula>5</formula>
    </cfRule>
    <cfRule type="cellIs" priority="60" operator="equal">
      <formula>5</formula>
    </cfRule>
    <cfRule type="cellIs" dxfId="190" priority="61" operator="between">
      <formula>6</formula>
      <formula>30</formula>
    </cfRule>
    <cfRule type="cellIs" dxfId="189" priority="62" operator="between">
      <formula>31</formula>
      <formula>60</formula>
    </cfRule>
  </conditionalFormatting>
  <conditionalFormatting sqref="N9:P9 N10 P10 N11:P14">
    <cfRule type="containsErrors" dxfId="188" priority="58">
      <formula>ISERROR(N9)</formula>
    </cfRule>
  </conditionalFormatting>
  <conditionalFormatting sqref="J9:J14">
    <cfRule type="containsText" dxfId="187" priority="57" operator="containsText" text="N/A">
      <formula>NOT(ISERROR(SEARCH("N/A",J9)))</formula>
    </cfRule>
  </conditionalFormatting>
  <conditionalFormatting sqref="L9:L14">
    <cfRule type="containsText" dxfId="186" priority="56" operator="containsText" text="N/A">
      <formula>NOT(ISERROR(SEARCH("N/A",L9)))</formula>
    </cfRule>
  </conditionalFormatting>
  <conditionalFormatting sqref="V9:Y14">
    <cfRule type="containsErrors" dxfId="185" priority="55">
      <formula>ISERROR(V9)</formula>
    </cfRule>
  </conditionalFormatting>
  <conditionalFormatting sqref="U9:U14">
    <cfRule type="cellIs" dxfId="184" priority="51" operator="equal">
      <formula>5</formula>
    </cfRule>
    <cfRule type="cellIs" priority="52" operator="equal">
      <formula>5</formula>
    </cfRule>
    <cfRule type="cellIs" dxfId="183" priority="53" operator="between">
      <formula>6</formula>
      <formula>30</formula>
    </cfRule>
    <cfRule type="cellIs" dxfId="182" priority="54" operator="between">
      <formula>31</formula>
      <formula>60</formula>
    </cfRule>
  </conditionalFormatting>
  <conditionalFormatting sqref="U9:U14">
    <cfRule type="containsErrors" dxfId="181" priority="50">
      <formula>ISERROR(U9)</formula>
    </cfRule>
  </conditionalFormatting>
  <conditionalFormatting sqref="Q9:Q14">
    <cfRule type="containsText" dxfId="180" priority="49" operator="containsText" text="N/A">
      <formula>NOT(ISERROR(SEARCH("N/A",Q9)))</formula>
    </cfRule>
  </conditionalFormatting>
  <conditionalFormatting sqref="S9:S14">
    <cfRule type="containsText" dxfId="179" priority="48" operator="containsText" text="N/A">
      <formula>NOT(ISERROR(SEARCH("N/A",S9)))</formula>
    </cfRule>
  </conditionalFormatting>
  <conditionalFormatting sqref="M19 O19">
    <cfRule type="cellIs" dxfId="178" priority="44" operator="equal">
      <formula>5</formula>
    </cfRule>
    <cfRule type="cellIs" priority="45" operator="equal">
      <formula>5</formula>
    </cfRule>
    <cfRule type="cellIs" dxfId="177" priority="46" operator="between">
      <formula>6</formula>
      <formula>30</formula>
    </cfRule>
    <cfRule type="cellIs" dxfId="176" priority="47" operator="between">
      <formula>31</formula>
      <formula>60</formula>
    </cfRule>
  </conditionalFormatting>
  <conditionalFormatting sqref="M19 O19">
    <cfRule type="containsErrors" dxfId="175" priority="43">
      <formula>ISERROR(M19)</formula>
    </cfRule>
  </conditionalFormatting>
  <conditionalFormatting sqref="K9:K14">
    <cfRule type="containsText" dxfId="174" priority="42" operator="containsText" text="N/A">
      <formula>NOT(ISERROR(SEARCH("N/A",K9)))</formula>
    </cfRule>
  </conditionalFormatting>
  <conditionalFormatting sqref="M9:M14">
    <cfRule type="containsText" dxfId="173" priority="41" operator="containsText" text="N/A">
      <formula>NOT(ISERROR(SEARCH("N/A",M9)))</formula>
    </cfRule>
  </conditionalFormatting>
  <conditionalFormatting sqref="R9:R14">
    <cfRule type="containsText" dxfId="172" priority="40" operator="containsText" text="N/A">
      <formula>NOT(ISERROR(SEARCH("N/A",R9)))</formula>
    </cfRule>
  </conditionalFormatting>
  <conditionalFormatting sqref="T9:T14">
    <cfRule type="containsText" dxfId="171" priority="39" operator="containsText" text="N/A">
      <formula>NOT(ISERROR(SEARCH("N/A",T9)))</formula>
    </cfRule>
  </conditionalFormatting>
  <conditionalFormatting sqref="N15:P15">
    <cfRule type="cellIs" dxfId="170" priority="16" operator="equal">
      <formula>5</formula>
    </cfRule>
    <cfRule type="cellIs" priority="17" operator="equal">
      <formula>5</formula>
    </cfRule>
    <cfRule type="cellIs" dxfId="169" priority="18" operator="between">
      <formula>6</formula>
      <formula>30</formula>
    </cfRule>
    <cfRule type="cellIs" dxfId="168" priority="19" operator="between">
      <formula>31</formula>
      <formula>60</formula>
    </cfRule>
  </conditionalFormatting>
  <conditionalFormatting sqref="N15:P15">
    <cfRule type="containsErrors" dxfId="167" priority="15">
      <formula>ISERROR(N15)</formula>
    </cfRule>
  </conditionalFormatting>
  <conditionalFormatting sqref="J15">
    <cfRule type="containsText" dxfId="166" priority="14" operator="containsText" text="N/A">
      <formula>NOT(ISERROR(SEARCH("N/A",J15)))</formula>
    </cfRule>
  </conditionalFormatting>
  <conditionalFormatting sqref="L15">
    <cfRule type="containsText" dxfId="165" priority="5" operator="containsText" text="N/A">
      <formula>NOT(ISERROR(SEARCH("N/A",L15)))</formula>
    </cfRule>
    <cfRule type="containsText" dxfId="164" priority="13" operator="containsText" text="N/A">
      <formula>NOT(ISERROR(SEARCH("N/A",L15)))</formula>
    </cfRule>
  </conditionalFormatting>
  <conditionalFormatting sqref="V15:Y15">
    <cfRule type="containsErrors" dxfId="163" priority="12">
      <formula>ISERROR(V15)</formula>
    </cfRule>
  </conditionalFormatting>
  <conditionalFormatting sqref="Q15">
    <cfRule type="containsText" dxfId="162" priority="11" operator="containsText" text="N/A">
      <formula>NOT(ISERROR(SEARCH("N/A",Q15)))</formula>
    </cfRule>
  </conditionalFormatting>
  <conditionalFormatting sqref="S15">
    <cfRule type="containsText" dxfId="161" priority="10" operator="containsText" text="N/A">
      <formula>NOT(ISERROR(SEARCH("N/A",S15)))</formula>
    </cfRule>
  </conditionalFormatting>
  <conditionalFormatting sqref="U15">
    <cfRule type="containsErrors" dxfId="160" priority="1">
      <formula>ISERROR(U15)</formula>
    </cfRule>
    <cfRule type="cellIs" dxfId="159" priority="7" operator="between">
      <formula>31</formula>
      <formula>60</formula>
    </cfRule>
    <cfRule type="cellIs" dxfId="158" priority="8" operator="between">
      <formula>6</formula>
      <formula>30</formula>
    </cfRule>
    <cfRule type="cellIs" dxfId="157" priority="9" operator="equal">
      <formula>5</formula>
    </cfRule>
  </conditionalFormatting>
  <conditionalFormatting sqref="K15">
    <cfRule type="containsText" dxfId="156" priority="6" operator="containsText" text="N/A">
      <formula>NOT(ISERROR(SEARCH("N/A",K15)))</formula>
    </cfRule>
  </conditionalFormatting>
  <conditionalFormatting sqref="M15">
    <cfRule type="containsText" dxfId="155" priority="4" operator="containsText" text="N/A">
      <formula>NOT(ISERROR(SEARCH("N/A",M15)))</formula>
    </cfRule>
  </conditionalFormatting>
  <conditionalFormatting sqref="R15">
    <cfRule type="containsText" dxfId="154" priority="3" operator="containsText" text="N/A">
      <formula>NOT(ISERROR(SEARCH("N/A",R15)))</formula>
    </cfRule>
  </conditionalFormatting>
  <conditionalFormatting sqref="T15">
    <cfRule type="containsText" dxfId="153" priority="2" operator="containsText" text="N/A">
      <formula>NOT(ISERROR(SEARCH("N/A",T15)))</formula>
    </cfRule>
  </conditionalFormatting>
  <dataValidations count="3">
    <dataValidation type="list" allowBlank="1" showInputMessage="1" showErrorMessage="1" sqref="Q9:Q15 J9:J15">
      <formula1>$AK$8:$AK$11</formula1>
    </dataValidation>
    <dataValidation type="list" allowBlank="1" showInputMessage="1" showErrorMessage="1" sqref="S9:S15 L9:L15">
      <formula1>$AL$8:$AL$11</formula1>
    </dataValidation>
    <dataValidation type="list" allowBlank="1" showInputMessage="1" showErrorMessage="1" sqref="C9:C15">
      <formula1>$AM$8:$AM$9</formula1>
    </dataValidation>
  </dataValidations>
  <printOptions verticalCentered="1"/>
  <pageMargins left="0.19685039370078741" right="0.59055118110236227" top="0.39370078740157483" bottom="0.47244094488188981" header="0" footer="0"/>
  <pageSetup scale="16" fitToHeight="0" orientation="landscape" r:id="rId1"/>
  <headerFooter alignWithMargins="0">
    <oddFooter>&amp;C&amp;8Página &amp;P de &amp;N</oddFooter>
  </headerFooter>
  <colBreaks count="1" manualBreakCount="1">
    <brk id="31" max="1048575" man="1"/>
  </colBreaks>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pageSetUpPr fitToPage="1"/>
  </sheetPr>
  <dimension ref="B1:AO80"/>
  <sheetViews>
    <sheetView showGridLines="0" view="pageBreakPreview" topLeftCell="A9" zoomScale="60" zoomScaleNormal="25" zoomScalePageLayoutView="75" workbookViewId="0">
      <selection activeCell="AD11" sqref="AD11"/>
    </sheetView>
  </sheetViews>
  <sheetFormatPr baseColWidth="10" defaultColWidth="33.85546875" defaultRowHeight="23.25" x14ac:dyDescent="0.2"/>
  <cols>
    <col min="1" max="1" width="2.140625" style="24" customWidth="1"/>
    <col min="2" max="2" width="17.42578125" style="24" customWidth="1"/>
    <col min="3" max="3" width="23.140625" style="24" customWidth="1"/>
    <col min="4" max="4" width="27.7109375" style="24" customWidth="1"/>
    <col min="5" max="5" width="62.28515625" style="24" bestFit="1" customWidth="1"/>
    <col min="6" max="7" width="28.28515625" style="24" customWidth="1"/>
    <col min="8" max="8" width="32.5703125" style="24" customWidth="1"/>
    <col min="9" max="9" width="32.28515625" style="24" customWidth="1"/>
    <col min="10" max="13" width="15.7109375" style="24" customWidth="1"/>
    <col min="14" max="14" width="29" style="24" customWidth="1"/>
    <col min="15" max="16" width="61.28515625" style="24" customWidth="1"/>
    <col min="17" max="18" width="14.85546875" style="24" customWidth="1"/>
    <col min="19" max="19" width="18.28515625" style="24" customWidth="1"/>
    <col min="20" max="25" width="16.28515625" style="24" customWidth="1"/>
    <col min="26" max="26" width="39.5703125" style="24" customWidth="1"/>
    <col min="27" max="28" width="28" style="24" customWidth="1"/>
    <col min="29" max="29" width="29.42578125" style="24" customWidth="1"/>
    <col min="30" max="30" width="49.42578125" style="24" customWidth="1"/>
    <col min="31" max="31" width="23.140625" style="41" customWidth="1"/>
    <col min="32" max="32" width="17.7109375" style="24" customWidth="1"/>
    <col min="33" max="36" width="33.85546875" style="24" customWidth="1"/>
    <col min="37" max="16384" width="33.85546875" style="24"/>
  </cols>
  <sheetData>
    <row r="1" spans="2:41" ht="9" customHeight="1" x14ac:dyDescent="0.2"/>
    <row r="2" spans="2:41" s="28" customFormat="1" ht="125.25" customHeight="1" thickBot="1" x14ac:dyDescent="0.25">
      <c r="B2" s="385" t="s">
        <v>109</v>
      </c>
      <c r="C2" s="386"/>
      <c r="D2" s="386"/>
      <c r="E2" s="386"/>
      <c r="F2" s="386"/>
      <c r="G2" s="386"/>
      <c r="H2" s="386"/>
      <c r="I2" s="386"/>
      <c r="J2" s="386"/>
      <c r="K2" s="386"/>
      <c r="L2" s="386"/>
      <c r="M2" s="386"/>
      <c r="N2" s="386"/>
      <c r="O2" s="386"/>
      <c r="P2" s="386"/>
      <c r="Q2" s="386"/>
      <c r="R2" s="386"/>
      <c r="S2" s="386"/>
      <c r="T2" s="386"/>
      <c r="U2" s="386"/>
      <c r="V2" s="386"/>
      <c r="W2" s="386"/>
      <c r="X2" s="386"/>
      <c r="Y2" s="386"/>
      <c r="Z2" s="386"/>
      <c r="AA2" s="386"/>
      <c r="AB2" s="386"/>
      <c r="AC2" s="386"/>
      <c r="AD2" s="386"/>
      <c r="AE2" s="386"/>
      <c r="AF2" s="31"/>
    </row>
    <row r="3" spans="2:41" s="29" customFormat="1" ht="66" customHeight="1" thickBot="1" x14ac:dyDescent="0.25">
      <c r="B3" s="387" t="s">
        <v>37</v>
      </c>
      <c r="C3" s="388"/>
      <c r="D3" s="388"/>
      <c r="E3" s="388"/>
      <c r="F3" s="388"/>
      <c r="G3" s="387" t="s">
        <v>108</v>
      </c>
      <c r="H3" s="388"/>
      <c r="I3" s="388"/>
      <c r="J3" s="388"/>
      <c r="K3" s="388"/>
      <c r="L3" s="388"/>
      <c r="M3" s="388"/>
      <c r="N3" s="389"/>
      <c r="O3" s="387" t="s">
        <v>107</v>
      </c>
      <c r="P3" s="388"/>
      <c r="Q3" s="388"/>
      <c r="R3" s="388"/>
      <c r="S3" s="388"/>
      <c r="T3" s="389"/>
      <c r="U3" s="387" t="s">
        <v>38</v>
      </c>
      <c r="V3" s="388"/>
      <c r="W3" s="388"/>
      <c r="X3" s="388"/>
      <c r="Y3" s="388"/>
      <c r="Z3" s="388"/>
      <c r="AA3" s="389"/>
      <c r="AB3" s="387" t="s">
        <v>35</v>
      </c>
      <c r="AC3" s="388"/>
      <c r="AD3" s="388"/>
      <c r="AE3" s="389"/>
      <c r="AF3" s="32"/>
    </row>
    <row r="4" spans="2:41" s="29" customFormat="1" ht="72" customHeight="1" thickBot="1" x14ac:dyDescent="0.25">
      <c r="B4" s="390" t="s">
        <v>36</v>
      </c>
      <c r="C4" s="391"/>
      <c r="D4" s="391"/>
      <c r="E4" s="391"/>
      <c r="F4" s="391"/>
      <c r="G4" s="392">
        <v>42874</v>
      </c>
      <c r="H4" s="393"/>
      <c r="I4" s="393"/>
      <c r="J4" s="393"/>
      <c r="K4" s="393"/>
      <c r="L4" s="393"/>
      <c r="M4" s="393"/>
      <c r="N4" s="394"/>
      <c r="O4" s="395">
        <v>43700</v>
      </c>
      <c r="P4" s="396"/>
      <c r="Q4" s="396"/>
      <c r="R4" s="396"/>
      <c r="S4" s="396"/>
      <c r="T4" s="397"/>
      <c r="U4" s="390">
        <v>4</v>
      </c>
      <c r="V4" s="391"/>
      <c r="W4" s="391"/>
      <c r="X4" s="391"/>
      <c r="Y4" s="391"/>
      <c r="Z4" s="391"/>
      <c r="AA4" s="398"/>
      <c r="AB4" s="390" t="s">
        <v>50</v>
      </c>
      <c r="AC4" s="391"/>
      <c r="AD4" s="391"/>
      <c r="AE4" s="398"/>
      <c r="AF4" s="189"/>
    </row>
    <row r="5" spans="2:41" s="29" customFormat="1" ht="32.1" customHeight="1" thickBot="1" x14ac:dyDescent="0.25">
      <c r="B5" s="383" t="s">
        <v>692</v>
      </c>
      <c r="C5" s="384"/>
      <c r="D5" s="384"/>
      <c r="E5" s="384"/>
      <c r="F5" s="384"/>
      <c r="G5" s="384"/>
      <c r="H5" s="384"/>
      <c r="I5" s="384"/>
      <c r="J5" s="384"/>
      <c r="K5" s="384"/>
      <c r="L5" s="384"/>
      <c r="M5" s="384"/>
      <c r="N5" s="384"/>
      <c r="O5" s="384"/>
      <c r="P5" s="384"/>
      <c r="Q5" s="384"/>
      <c r="R5" s="384"/>
      <c r="S5" s="384"/>
      <c r="T5" s="384"/>
      <c r="U5" s="384"/>
      <c r="V5" s="384"/>
      <c r="W5" s="384"/>
      <c r="X5" s="384"/>
      <c r="Y5" s="384"/>
      <c r="Z5" s="384"/>
      <c r="AA5" s="384"/>
      <c r="AB5" s="384"/>
      <c r="AC5" s="384"/>
      <c r="AD5" s="384"/>
      <c r="AE5" s="384"/>
      <c r="AF5" s="189"/>
    </row>
    <row r="6" spans="2:41" s="29" customFormat="1" ht="54.95" customHeight="1" thickBot="1" x14ac:dyDescent="0.25">
      <c r="B6" s="409" t="s">
        <v>0</v>
      </c>
      <c r="C6" s="410"/>
      <c r="D6" s="410"/>
      <c r="E6" s="410"/>
      <c r="F6" s="410"/>
      <c r="G6" s="410"/>
      <c r="H6" s="410"/>
      <c r="I6" s="411"/>
      <c r="J6" s="412" t="s">
        <v>60</v>
      </c>
      <c r="K6" s="413"/>
      <c r="L6" s="413"/>
      <c r="M6" s="413"/>
      <c r="N6" s="414"/>
      <c r="O6" s="418" t="s">
        <v>92</v>
      </c>
      <c r="P6" s="419"/>
      <c r="Q6" s="420" t="s">
        <v>61</v>
      </c>
      <c r="R6" s="421"/>
      <c r="S6" s="421"/>
      <c r="T6" s="421"/>
      <c r="U6" s="422"/>
      <c r="V6" s="426" t="s">
        <v>56</v>
      </c>
      <c r="W6" s="427"/>
      <c r="X6" s="427"/>
      <c r="Y6" s="427"/>
      <c r="Z6" s="427"/>
      <c r="AA6" s="427"/>
      <c r="AB6" s="427"/>
      <c r="AC6" s="427"/>
      <c r="AD6" s="427"/>
      <c r="AE6" s="428"/>
    </row>
    <row r="7" spans="2:41" s="29" customFormat="1" ht="90" customHeight="1" thickBot="1" x14ac:dyDescent="0.25">
      <c r="B7" s="429" t="s">
        <v>8</v>
      </c>
      <c r="C7" s="430" t="s">
        <v>58</v>
      </c>
      <c r="D7" s="432" t="s">
        <v>89</v>
      </c>
      <c r="E7" s="76" t="s">
        <v>59</v>
      </c>
      <c r="F7" s="43" t="s">
        <v>9</v>
      </c>
      <c r="G7" s="43" t="s">
        <v>102</v>
      </c>
      <c r="H7" s="43" t="s">
        <v>10</v>
      </c>
      <c r="I7" s="95" t="s">
        <v>57</v>
      </c>
      <c r="J7" s="415"/>
      <c r="K7" s="416"/>
      <c r="L7" s="416"/>
      <c r="M7" s="416"/>
      <c r="N7" s="417"/>
      <c r="O7" s="433" t="s">
        <v>101</v>
      </c>
      <c r="P7" s="434"/>
      <c r="Q7" s="423"/>
      <c r="R7" s="424"/>
      <c r="S7" s="424"/>
      <c r="T7" s="424"/>
      <c r="U7" s="425"/>
      <c r="V7" s="435" t="s">
        <v>94</v>
      </c>
      <c r="W7" s="436"/>
      <c r="X7" s="436"/>
      <c r="Y7" s="437"/>
      <c r="Z7" s="475" t="s">
        <v>51</v>
      </c>
      <c r="AA7" s="476"/>
      <c r="AB7" s="476"/>
      <c r="AC7" s="476"/>
      <c r="AD7" s="477"/>
      <c r="AE7" s="445" t="s">
        <v>25</v>
      </c>
      <c r="AG7" s="399" t="s">
        <v>43</v>
      </c>
      <c r="AH7" s="399"/>
      <c r="AI7" s="399"/>
      <c r="AJ7" s="399"/>
      <c r="AK7" s="29" t="s">
        <v>65</v>
      </c>
      <c r="AL7" s="29" t="s">
        <v>66</v>
      </c>
    </row>
    <row r="8" spans="2:41" s="29" customFormat="1" ht="202.5" customHeight="1" thickBot="1" x14ac:dyDescent="0.25">
      <c r="B8" s="429"/>
      <c r="C8" s="431"/>
      <c r="D8" s="431"/>
      <c r="E8" s="77" t="s">
        <v>7</v>
      </c>
      <c r="F8" s="23" t="s">
        <v>62</v>
      </c>
      <c r="G8" s="23" t="s">
        <v>13</v>
      </c>
      <c r="H8" s="23" t="s">
        <v>63</v>
      </c>
      <c r="I8" s="23" t="s">
        <v>64</v>
      </c>
      <c r="J8" s="96" t="s">
        <v>11</v>
      </c>
      <c r="K8" s="102" t="s">
        <v>12</v>
      </c>
      <c r="L8" s="97" t="s">
        <v>1</v>
      </c>
      <c r="M8" s="97" t="s">
        <v>2</v>
      </c>
      <c r="N8" s="106" t="s">
        <v>93</v>
      </c>
      <c r="O8" s="104" t="s">
        <v>90</v>
      </c>
      <c r="P8" s="105" t="s">
        <v>91</v>
      </c>
      <c r="Q8" s="101" t="s">
        <v>11</v>
      </c>
      <c r="R8" s="102" t="s">
        <v>12</v>
      </c>
      <c r="S8" s="102" t="s">
        <v>1</v>
      </c>
      <c r="T8" s="102" t="s">
        <v>2</v>
      </c>
      <c r="U8" s="103" t="s">
        <v>100</v>
      </c>
      <c r="V8" s="98" t="s">
        <v>95</v>
      </c>
      <c r="W8" s="99" t="s">
        <v>96</v>
      </c>
      <c r="X8" s="99" t="s">
        <v>97</v>
      </c>
      <c r="Y8" s="100" t="s">
        <v>98</v>
      </c>
      <c r="Z8" s="53" t="s">
        <v>52</v>
      </c>
      <c r="AA8" s="54" t="s">
        <v>53</v>
      </c>
      <c r="AB8" s="55" t="s">
        <v>54</v>
      </c>
      <c r="AC8" s="54" t="s">
        <v>55</v>
      </c>
      <c r="AD8" s="108" t="s">
        <v>99</v>
      </c>
      <c r="AE8" s="446"/>
      <c r="AG8" s="73" t="s">
        <v>39</v>
      </c>
      <c r="AH8" s="74" t="s">
        <v>40</v>
      </c>
      <c r="AI8" s="74" t="s">
        <v>41</v>
      </c>
      <c r="AJ8" s="75" t="s">
        <v>42</v>
      </c>
      <c r="AK8" s="86" t="s">
        <v>83</v>
      </c>
      <c r="AL8" s="86" t="s">
        <v>83</v>
      </c>
      <c r="AM8" s="29" t="s">
        <v>69</v>
      </c>
      <c r="AO8" s="91"/>
    </row>
    <row r="9" spans="2:41" s="29" customFormat="1" ht="251.25" customHeight="1" x14ac:dyDescent="0.2">
      <c r="B9" s="492" t="s">
        <v>619</v>
      </c>
      <c r="C9" s="78" t="s">
        <v>69</v>
      </c>
      <c r="D9" s="94" t="s">
        <v>75</v>
      </c>
      <c r="E9" s="46" t="s">
        <v>292</v>
      </c>
      <c r="F9" s="116" t="s">
        <v>293</v>
      </c>
      <c r="G9" s="116" t="s">
        <v>294</v>
      </c>
      <c r="H9" s="116" t="s">
        <v>295</v>
      </c>
      <c r="I9" s="116" t="s">
        <v>296</v>
      </c>
      <c r="J9" s="87">
        <v>2</v>
      </c>
      <c r="K9" s="87" t="str">
        <f>IF(J9=3,"ALTO",IF(J9=2,"MEDIO",IF(J9="N/A","N/A","BAJO")))</f>
        <v>MEDIO</v>
      </c>
      <c r="L9" s="44">
        <v>20</v>
      </c>
      <c r="M9" s="56" t="str">
        <f>IF(L9=20,"ALTO",IF(L9=10,"MEDIO",IF(L9="N/A","N/A","BAJO")))</f>
        <v>ALTO</v>
      </c>
      <c r="N9" s="89">
        <f>J9*L9</f>
        <v>40</v>
      </c>
      <c r="O9" s="120" t="s">
        <v>297</v>
      </c>
      <c r="P9" s="120" t="s">
        <v>840</v>
      </c>
      <c r="Q9" s="87">
        <v>1</v>
      </c>
      <c r="R9" s="87" t="str">
        <f>IF(Q9=3,"ALTO",IF(Q9=2,"MEDIO",IF(Q9="N/A","N/A","BAJO")))</f>
        <v>BAJO</v>
      </c>
      <c r="S9" s="87">
        <v>20</v>
      </c>
      <c r="T9" s="44" t="str">
        <f>IF(S9=20,"ALTO",IF(S9=10,"MEDIO",IF(S9="N/A","N/A","BAJO")))</f>
        <v>ALTO</v>
      </c>
      <c r="U9" s="107">
        <f>Q9*S9</f>
        <v>20</v>
      </c>
      <c r="V9" s="58"/>
      <c r="W9" s="58" t="s">
        <v>116</v>
      </c>
      <c r="X9" s="58"/>
      <c r="Y9" s="58"/>
      <c r="Z9" s="121" t="s">
        <v>486</v>
      </c>
      <c r="AA9" s="122" t="s">
        <v>131</v>
      </c>
      <c r="AB9" s="123" t="s">
        <v>487</v>
      </c>
      <c r="AC9" s="123" t="s">
        <v>488</v>
      </c>
      <c r="AD9" s="116" t="s">
        <v>489</v>
      </c>
      <c r="AE9" s="495">
        <v>44055</v>
      </c>
      <c r="AG9" s="51">
        <v>1</v>
      </c>
      <c r="AH9" s="52"/>
      <c r="AI9" s="52"/>
      <c r="AJ9" s="50">
        <f>SUM(AG9:AI9)</f>
        <v>1</v>
      </c>
      <c r="AK9" s="29">
        <v>1</v>
      </c>
      <c r="AL9" s="29">
        <v>5</v>
      </c>
      <c r="AM9" s="29" t="s">
        <v>72</v>
      </c>
      <c r="AN9" s="29" t="s">
        <v>605</v>
      </c>
      <c r="AO9" s="92"/>
    </row>
    <row r="10" spans="2:41" s="29" customFormat="1" ht="209.25" customHeight="1" x14ac:dyDescent="0.2">
      <c r="B10" s="493"/>
      <c r="C10" s="79" t="s">
        <v>69</v>
      </c>
      <c r="D10" s="241" t="s">
        <v>75</v>
      </c>
      <c r="E10" s="261" t="s">
        <v>299</v>
      </c>
      <c r="F10" s="158" t="s">
        <v>300</v>
      </c>
      <c r="G10" s="158" t="s">
        <v>301</v>
      </c>
      <c r="H10" s="117" t="s">
        <v>841</v>
      </c>
      <c r="I10" s="158" t="s">
        <v>302</v>
      </c>
      <c r="J10" s="87">
        <v>3</v>
      </c>
      <c r="K10" s="56" t="str">
        <f t="shared" ref="K10:K16" si="0">IF(J10=3,"ALTO",IF(J10=2,"MEDIO",IF(J10="N/A","N/A","BAJO")))</f>
        <v>ALTO</v>
      </c>
      <c r="L10" s="56">
        <v>10</v>
      </c>
      <c r="M10" s="56" t="str">
        <f t="shared" ref="M10:M16" si="1">IF(L10=20,"ALTO",IF(L10=10,"MEDIO",IF(L10="N/A","N/A","BAJO")))</f>
        <v>MEDIO</v>
      </c>
      <c r="N10" s="88">
        <f t="shared" ref="N10:N16" si="2">J10*L10</f>
        <v>30</v>
      </c>
      <c r="O10" s="131" t="s">
        <v>303</v>
      </c>
      <c r="P10" s="131" t="s">
        <v>385</v>
      </c>
      <c r="Q10" s="87">
        <v>1</v>
      </c>
      <c r="R10" s="87" t="str">
        <f t="shared" ref="R10:R16" si="3">IF(Q10=3,"ALTO",IF(Q10=2,"MEDIO",IF(Q10="N/A","N/A","BAJO")))</f>
        <v>BAJO</v>
      </c>
      <c r="S10" s="56">
        <v>5</v>
      </c>
      <c r="T10" s="87" t="str">
        <f t="shared" ref="T10:T16" si="4">IF(S10=20,"ALTO",IF(S10=10,"MEDIO",IF(S10="N/A","N/A","BAJO")))</f>
        <v>BAJO</v>
      </c>
      <c r="U10" s="88">
        <f t="shared" ref="U10:U16" si="5">Q10*S10</f>
        <v>5</v>
      </c>
      <c r="V10" s="58"/>
      <c r="W10" s="58" t="s">
        <v>116</v>
      </c>
      <c r="X10" s="58"/>
      <c r="Y10" s="58"/>
      <c r="Z10" s="259" t="s">
        <v>490</v>
      </c>
      <c r="AA10" s="262" t="s">
        <v>462</v>
      </c>
      <c r="AB10" s="259" t="s">
        <v>298</v>
      </c>
      <c r="AC10" s="260" t="s">
        <v>304</v>
      </c>
      <c r="AD10" s="127" t="s">
        <v>491</v>
      </c>
      <c r="AE10" s="496"/>
      <c r="AG10" s="186"/>
      <c r="AH10" s="187">
        <v>1</v>
      </c>
      <c r="AI10" s="187"/>
      <c r="AJ10" s="188">
        <f t="shared" ref="AJ10:AJ28" si="6">SUM(AG10:AI10)</f>
        <v>1</v>
      </c>
      <c r="AK10" s="29">
        <v>2</v>
      </c>
      <c r="AL10" s="29">
        <v>10</v>
      </c>
      <c r="AN10" s="29" t="s">
        <v>75</v>
      </c>
      <c r="AO10" s="92"/>
    </row>
    <row r="11" spans="2:41" s="29" customFormat="1" ht="161.25" customHeight="1" x14ac:dyDescent="0.2">
      <c r="B11" s="493"/>
      <c r="C11" s="79" t="s">
        <v>69</v>
      </c>
      <c r="D11" s="232" t="s">
        <v>75</v>
      </c>
      <c r="E11" s="265" t="s">
        <v>305</v>
      </c>
      <c r="F11" s="127" t="s">
        <v>306</v>
      </c>
      <c r="G11" s="127" t="s">
        <v>307</v>
      </c>
      <c r="H11" s="117" t="s">
        <v>308</v>
      </c>
      <c r="I11" s="127" t="s">
        <v>309</v>
      </c>
      <c r="J11" s="87">
        <v>2</v>
      </c>
      <c r="K11" s="56" t="str">
        <f t="shared" si="0"/>
        <v>MEDIO</v>
      </c>
      <c r="L11" s="56">
        <v>10</v>
      </c>
      <c r="M11" s="56" t="str">
        <f t="shared" si="1"/>
        <v>MEDIO</v>
      </c>
      <c r="N11" s="88">
        <f t="shared" si="2"/>
        <v>20</v>
      </c>
      <c r="O11" s="131" t="s">
        <v>310</v>
      </c>
      <c r="P11" s="131" t="s">
        <v>386</v>
      </c>
      <c r="Q11" s="87">
        <v>2</v>
      </c>
      <c r="R11" s="87" t="str">
        <f t="shared" si="3"/>
        <v>MEDIO</v>
      </c>
      <c r="S11" s="56">
        <v>5</v>
      </c>
      <c r="T11" s="87" t="str">
        <f t="shared" si="4"/>
        <v>BAJO</v>
      </c>
      <c r="U11" s="88">
        <f t="shared" si="5"/>
        <v>10</v>
      </c>
      <c r="V11" s="58"/>
      <c r="W11" s="58" t="s">
        <v>116</v>
      </c>
      <c r="X11" s="58"/>
      <c r="Y11" s="58"/>
      <c r="Z11" s="124" t="s">
        <v>842</v>
      </c>
      <c r="AA11" s="262" t="s">
        <v>471</v>
      </c>
      <c r="AB11" s="263" t="s">
        <v>298</v>
      </c>
      <c r="AC11" s="264" t="s">
        <v>311</v>
      </c>
      <c r="AD11" s="127" t="s">
        <v>492</v>
      </c>
      <c r="AE11" s="496"/>
      <c r="AG11" s="186">
        <v>1</v>
      </c>
      <c r="AH11" s="187"/>
      <c r="AI11" s="187"/>
      <c r="AJ11" s="188">
        <f t="shared" si="6"/>
        <v>1</v>
      </c>
      <c r="AK11" s="29">
        <v>3</v>
      </c>
      <c r="AL11" s="29">
        <v>20</v>
      </c>
      <c r="AN11" s="29" t="s">
        <v>86</v>
      </c>
      <c r="AO11" s="92"/>
    </row>
    <row r="12" spans="2:41" s="29" customFormat="1" ht="161.25" customHeight="1" x14ac:dyDescent="0.2">
      <c r="B12" s="493"/>
      <c r="C12" s="155" t="s">
        <v>69</v>
      </c>
      <c r="D12" s="241" t="s">
        <v>719</v>
      </c>
      <c r="E12" s="271" t="s">
        <v>312</v>
      </c>
      <c r="F12" s="127" t="s">
        <v>313</v>
      </c>
      <c r="G12" s="127" t="s">
        <v>314</v>
      </c>
      <c r="H12" s="117" t="s">
        <v>308</v>
      </c>
      <c r="I12" s="163" t="s">
        <v>315</v>
      </c>
      <c r="J12" s="56">
        <v>2</v>
      </c>
      <c r="K12" s="56" t="str">
        <f t="shared" si="0"/>
        <v>MEDIO</v>
      </c>
      <c r="L12" s="56">
        <v>20</v>
      </c>
      <c r="M12" s="56" t="str">
        <f t="shared" si="1"/>
        <v>ALTO</v>
      </c>
      <c r="N12" s="88">
        <f t="shared" si="2"/>
        <v>40</v>
      </c>
      <c r="O12" s="131" t="s">
        <v>310</v>
      </c>
      <c r="P12" s="131" t="s">
        <v>387</v>
      </c>
      <c r="Q12" s="56">
        <v>1</v>
      </c>
      <c r="R12" s="87" t="str">
        <f t="shared" si="3"/>
        <v>BAJO</v>
      </c>
      <c r="S12" s="56">
        <v>20</v>
      </c>
      <c r="T12" s="87" t="str">
        <f t="shared" si="4"/>
        <v>ALTO</v>
      </c>
      <c r="U12" s="88">
        <f t="shared" si="5"/>
        <v>20</v>
      </c>
      <c r="V12" s="164" t="s">
        <v>116</v>
      </c>
      <c r="W12" s="164"/>
      <c r="X12" s="164"/>
      <c r="Y12" s="164"/>
      <c r="Z12" s="124" t="s">
        <v>316</v>
      </c>
      <c r="AA12" s="262" t="s">
        <v>317</v>
      </c>
      <c r="AB12" s="263" t="s">
        <v>250</v>
      </c>
      <c r="AC12" s="264" t="s">
        <v>318</v>
      </c>
      <c r="AD12" s="163" t="s">
        <v>319</v>
      </c>
      <c r="AE12" s="496"/>
      <c r="AG12" s="240"/>
      <c r="AH12" s="241"/>
      <c r="AI12" s="241"/>
      <c r="AJ12" s="242"/>
      <c r="AN12" s="29" t="s">
        <v>87</v>
      </c>
      <c r="AO12" s="92"/>
    </row>
    <row r="13" spans="2:41" s="29" customFormat="1" ht="161.25" customHeight="1" x14ac:dyDescent="0.2">
      <c r="B13" s="493"/>
      <c r="C13" s="155" t="s">
        <v>69</v>
      </c>
      <c r="D13" s="266" t="s">
        <v>703</v>
      </c>
      <c r="E13" s="267" t="s">
        <v>320</v>
      </c>
      <c r="F13" s="163" t="s">
        <v>321</v>
      </c>
      <c r="G13" s="163" t="s">
        <v>493</v>
      </c>
      <c r="H13" s="158" t="s">
        <v>843</v>
      </c>
      <c r="I13" s="163" t="s">
        <v>494</v>
      </c>
      <c r="J13" s="177">
        <v>2</v>
      </c>
      <c r="K13" s="56" t="str">
        <f t="shared" si="0"/>
        <v>MEDIO</v>
      </c>
      <c r="L13" s="177">
        <v>10</v>
      </c>
      <c r="M13" s="56" t="str">
        <f t="shared" si="1"/>
        <v>MEDIO</v>
      </c>
      <c r="N13" s="88">
        <f t="shared" si="2"/>
        <v>20</v>
      </c>
      <c r="O13" s="160" t="s">
        <v>322</v>
      </c>
      <c r="P13" s="160" t="s">
        <v>388</v>
      </c>
      <c r="Q13" s="177">
        <v>1</v>
      </c>
      <c r="R13" s="87" t="str">
        <f t="shared" si="3"/>
        <v>BAJO</v>
      </c>
      <c r="S13" s="177">
        <v>5</v>
      </c>
      <c r="T13" s="87" t="str">
        <f t="shared" si="4"/>
        <v>BAJO</v>
      </c>
      <c r="U13" s="88">
        <f t="shared" si="5"/>
        <v>5</v>
      </c>
      <c r="V13" s="178" t="s">
        <v>116</v>
      </c>
      <c r="W13" s="178"/>
      <c r="X13" s="178"/>
      <c r="Y13" s="178"/>
      <c r="Z13" s="197" t="s">
        <v>844</v>
      </c>
      <c r="AA13" s="268" t="s">
        <v>396</v>
      </c>
      <c r="AB13" s="269" t="s">
        <v>250</v>
      </c>
      <c r="AC13" s="270" t="s">
        <v>83</v>
      </c>
      <c r="AD13" s="163" t="s">
        <v>495</v>
      </c>
      <c r="AE13" s="496"/>
      <c r="AG13" s="240"/>
      <c r="AH13" s="241"/>
      <c r="AI13" s="241"/>
      <c r="AJ13" s="242"/>
      <c r="AN13" s="29" t="s">
        <v>88</v>
      </c>
      <c r="AO13" s="92"/>
    </row>
    <row r="14" spans="2:41" s="29" customFormat="1" ht="176.25" customHeight="1" x14ac:dyDescent="0.2">
      <c r="B14" s="493"/>
      <c r="C14" s="79" t="s">
        <v>69</v>
      </c>
      <c r="D14" s="336" t="s">
        <v>719</v>
      </c>
      <c r="E14" s="271" t="s">
        <v>323</v>
      </c>
      <c r="F14" s="117" t="s">
        <v>326</v>
      </c>
      <c r="G14" s="127" t="s">
        <v>324</v>
      </c>
      <c r="H14" s="117" t="s">
        <v>496</v>
      </c>
      <c r="I14" s="181" t="s">
        <v>325</v>
      </c>
      <c r="J14" s="56">
        <v>2</v>
      </c>
      <c r="K14" s="56" t="str">
        <f t="shared" si="0"/>
        <v>MEDIO</v>
      </c>
      <c r="L14" s="56">
        <v>10</v>
      </c>
      <c r="M14" s="56" t="str">
        <f t="shared" si="1"/>
        <v>MEDIO</v>
      </c>
      <c r="N14" s="88">
        <f t="shared" si="2"/>
        <v>20</v>
      </c>
      <c r="O14" s="131" t="s">
        <v>845</v>
      </c>
      <c r="P14" s="131" t="s">
        <v>846</v>
      </c>
      <c r="Q14" s="56">
        <v>1</v>
      </c>
      <c r="R14" s="56" t="str">
        <f t="shared" si="3"/>
        <v>BAJO</v>
      </c>
      <c r="S14" s="56">
        <v>10</v>
      </c>
      <c r="T14" s="56" t="str">
        <f t="shared" si="4"/>
        <v>MEDIO</v>
      </c>
      <c r="U14" s="88">
        <f t="shared" si="5"/>
        <v>10</v>
      </c>
      <c r="V14" s="164"/>
      <c r="W14" s="164" t="s">
        <v>116</v>
      </c>
      <c r="X14" s="164"/>
      <c r="Y14" s="164"/>
      <c r="Z14" s="346" t="s">
        <v>847</v>
      </c>
      <c r="AA14" s="125" t="s">
        <v>497</v>
      </c>
      <c r="AB14" s="347" t="s">
        <v>298</v>
      </c>
      <c r="AC14" s="126" t="s">
        <v>83</v>
      </c>
      <c r="AD14" s="124" t="s">
        <v>498</v>
      </c>
      <c r="AE14" s="496"/>
      <c r="AG14" s="186">
        <v>1</v>
      </c>
      <c r="AH14" s="187"/>
      <c r="AI14" s="187"/>
      <c r="AJ14" s="188">
        <f t="shared" si="6"/>
        <v>1</v>
      </c>
      <c r="AK14" s="29">
        <v>4</v>
      </c>
      <c r="AO14" s="92"/>
    </row>
    <row r="15" spans="2:41" s="29" customFormat="1" ht="209.25" customHeight="1" x14ac:dyDescent="0.2">
      <c r="B15" s="493"/>
      <c r="C15" s="379" t="s">
        <v>69</v>
      </c>
      <c r="D15" s="336" t="s">
        <v>721</v>
      </c>
      <c r="E15" s="45" t="s">
        <v>588</v>
      </c>
      <c r="F15" s="117" t="s">
        <v>589</v>
      </c>
      <c r="G15" s="117" t="s">
        <v>739</v>
      </c>
      <c r="H15" s="117" t="s">
        <v>590</v>
      </c>
      <c r="I15" s="117" t="s">
        <v>740</v>
      </c>
      <c r="J15" s="56">
        <v>3</v>
      </c>
      <c r="K15" s="56" t="str">
        <f t="shared" si="0"/>
        <v>ALTO</v>
      </c>
      <c r="L15" s="56">
        <v>20</v>
      </c>
      <c r="M15" s="56" t="str">
        <f t="shared" si="1"/>
        <v>ALTO</v>
      </c>
      <c r="N15" s="88">
        <f t="shared" si="2"/>
        <v>60</v>
      </c>
      <c r="O15" s="196" t="s">
        <v>848</v>
      </c>
      <c r="P15" s="196" t="s">
        <v>849</v>
      </c>
      <c r="Q15" s="56">
        <v>3</v>
      </c>
      <c r="R15" s="56" t="str">
        <f t="shared" si="3"/>
        <v>ALTO</v>
      </c>
      <c r="S15" s="56">
        <v>10</v>
      </c>
      <c r="T15" s="56" t="str">
        <f t="shared" si="4"/>
        <v>MEDIO</v>
      </c>
      <c r="U15" s="88">
        <f t="shared" si="5"/>
        <v>30</v>
      </c>
      <c r="V15" s="164" t="s">
        <v>116</v>
      </c>
      <c r="W15" s="164"/>
      <c r="X15" s="164"/>
      <c r="Y15" s="164"/>
      <c r="Z15" s="124" t="s">
        <v>850</v>
      </c>
      <c r="AA15" s="125" t="s">
        <v>741</v>
      </c>
      <c r="AB15" s="125" t="s">
        <v>851</v>
      </c>
      <c r="AC15" s="125" t="s">
        <v>83</v>
      </c>
      <c r="AD15" s="124" t="s">
        <v>587</v>
      </c>
      <c r="AE15" s="496"/>
      <c r="AG15" s="335"/>
      <c r="AH15" s="336"/>
      <c r="AI15" s="336"/>
      <c r="AJ15" s="337"/>
      <c r="AO15" s="92"/>
    </row>
    <row r="16" spans="2:41" s="29" customFormat="1" ht="176.25" customHeight="1" thickBot="1" x14ac:dyDescent="0.25">
      <c r="B16" s="498"/>
      <c r="C16" s="211" t="s">
        <v>69</v>
      </c>
      <c r="D16" s="212" t="s">
        <v>719</v>
      </c>
      <c r="E16" s="341" t="s">
        <v>597</v>
      </c>
      <c r="F16" s="214" t="s">
        <v>698</v>
      </c>
      <c r="G16" s="342" t="s">
        <v>699</v>
      </c>
      <c r="H16" s="214" t="s">
        <v>700</v>
      </c>
      <c r="I16" s="279" t="s">
        <v>701</v>
      </c>
      <c r="J16" s="215">
        <v>2</v>
      </c>
      <c r="K16" s="57" t="str">
        <f t="shared" si="0"/>
        <v>MEDIO</v>
      </c>
      <c r="L16" s="215">
        <v>20</v>
      </c>
      <c r="M16" s="57" t="str">
        <f t="shared" si="1"/>
        <v>ALTO</v>
      </c>
      <c r="N16" s="90">
        <f t="shared" si="2"/>
        <v>40</v>
      </c>
      <c r="O16" s="343" t="s">
        <v>852</v>
      </c>
      <c r="P16" s="343" t="s">
        <v>702</v>
      </c>
      <c r="Q16" s="215">
        <v>1</v>
      </c>
      <c r="R16" s="57" t="str">
        <f t="shared" si="3"/>
        <v>BAJO</v>
      </c>
      <c r="S16" s="215">
        <v>20</v>
      </c>
      <c r="T16" s="57" t="str">
        <f t="shared" si="4"/>
        <v>ALTO</v>
      </c>
      <c r="U16" s="90">
        <f t="shared" si="5"/>
        <v>20</v>
      </c>
      <c r="V16" s="249"/>
      <c r="W16" s="249" t="s">
        <v>116</v>
      </c>
      <c r="X16" s="249"/>
      <c r="Y16" s="249"/>
      <c r="Z16" s="344" t="s">
        <v>853</v>
      </c>
      <c r="AA16" s="313" t="s">
        <v>575</v>
      </c>
      <c r="AB16" s="345" t="s">
        <v>250</v>
      </c>
      <c r="AC16" s="314" t="s">
        <v>83</v>
      </c>
      <c r="AD16" s="219" t="s">
        <v>1007</v>
      </c>
      <c r="AE16" s="497"/>
      <c r="AG16" s="335"/>
      <c r="AH16" s="336"/>
      <c r="AI16" s="336"/>
      <c r="AJ16" s="337"/>
      <c r="AO16" s="92"/>
    </row>
    <row r="17" spans="2:41" s="29" customFormat="1" ht="31.5" customHeight="1" thickBot="1" x14ac:dyDescent="0.25">
      <c r="B17" s="24"/>
      <c r="C17" s="24"/>
      <c r="D17" s="24"/>
      <c r="E17" s="24"/>
      <c r="F17" s="24"/>
      <c r="G17" s="24"/>
      <c r="H17" s="24"/>
      <c r="I17" s="24"/>
      <c r="J17" s="24"/>
      <c r="K17" s="24"/>
      <c r="L17" s="24"/>
      <c r="M17" s="24"/>
      <c r="N17" s="368">
        <f>AVERAGE(N9:N16)</f>
        <v>33.75</v>
      </c>
      <c r="O17" s="24"/>
      <c r="P17" s="24"/>
      <c r="Q17" s="24"/>
      <c r="R17" s="24"/>
      <c r="S17" s="24"/>
      <c r="T17" s="24"/>
      <c r="U17" s="368">
        <f>AVERAGE(U9:U16)</f>
        <v>15</v>
      </c>
      <c r="V17" s="24"/>
      <c r="W17" s="24"/>
      <c r="X17" s="24"/>
      <c r="Y17" s="24"/>
      <c r="Z17" s="24"/>
      <c r="AA17" s="24"/>
      <c r="AB17" s="24"/>
      <c r="AC17" s="24"/>
      <c r="AD17" s="85"/>
      <c r="AE17" s="47"/>
      <c r="AG17" s="186"/>
      <c r="AH17" s="187">
        <v>1</v>
      </c>
      <c r="AI17" s="187"/>
      <c r="AJ17" s="188">
        <f t="shared" si="6"/>
        <v>1</v>
      </c>
      <c r="AO17" s="93"/>
    </row>
    <row r="18" spans="2:41" s="29" customFormat="1" ht="129" customHeight="1" thickBot="1" x14ac:dyDescent="0.25">
      <c r="B18" s="24"/>
      <c r="C18" s="24"/>
      <c r="D18" s="24"/>
      <c r="E18" s="24"/>
      <c r="F18" s="109"/>
      <c r="G18" s="109"/>
      <c r="H18" s="462" t="s">
        <v>209</v>
      </c>
      <c r="I18" s="463"/>
      <c r="J18" s="463"/>
      <c r="K18" s="464"/>
      <c r="L18" s="24"/>
      <c r="M18" s="406" t="s">
        <v>446</v>
      </c>
      <c r="N18" s="407"/>
      <c r="O18" s="407"/>
      <c r="P18" s="408"/>
      <c r="Q18" s="110"/>
      <c r="R18" s="24"/>
      <c r="S18" s="24"/>
      <c r="T18" s="24"/>
      <c r="U18" s="24"/>
      <c r="V18" s="24"/>
      <c r="W18" s="24"/>
      <c r="X18" s="24"/>
      <c r="Y18" s="24"/>
      <c r="Z18" s="24"/>
      <c r="AA18" s="24"/>
      <c r="AB18" s="24"/>
      <c r="AC18" s="24"/>
      <c r="AD18" s="24"/>
      <c r="AE18" s="42"/>
      <c r="AG18" s="186">
        <v>1</v>
      </c>
      <c r="AH18" s="187"/>
      <c r="AI18" s="187"/>
      <c r="AJ18" s="188">
        <f t="shared" si="6"/>
        <v>1</v>
      </c>
      <c r="AK18" s="29" t="s">
        <v>84</v>
      </c>
      <c r="AO18" s="448" t="s">
        <v>76</v>
      </c>
    </row>
    <row r="19" spans="2:41" s="29" customFormat="1" ht="46.5" customHeight="1" x14ac:dyDescent="0.2">
      <c r="B19" s="24"/>
      <c r="C19" s="24"/>
      <c r="D19" s="24"/>
      <c r="E19" s="24"/>
      <c r="F19" s="438"/>
      <c r="G19" s="438"/>
      <c r="H19" s="465" t="s">
        <v>139</v>
      </c>
      <c r="I19" s="466"/>
      <c r="J19" s="26">
        <f>COUNTIF(U9:U16,"=5")</f>
        <v>2</v>
      </c>
      <c r="K19" s="27">
        <f>J19*100%/J22</f>
        <v>0.25</v>
      </c>
      <c r="L19" s="24"/>
      <c r="M19" s="485" t="s">
        <v>104</v>
      </c>
      <c r="N19" s="486"/>
      <c r="O19" s="486" t="s">
        <v>47</v>
      </c>
      <c r="P19" s="487"/>
      <c r="Q19" s="111"/>
      <c r="R19" s="24"/>
      <c r="S19" s="24"/>
      <c r="T19" s="24"/>
      <c r="U19" s="24"/>
      <c r="V19" s="24"/>
      <c r="W19" s="24"/>
      <c r="X19" s="24"/>
      <c r="Y19" s="24"/>
      <c r="Z19" s="24"/>
      <c r="AA19" s="24"/>
      <c r="AB19" s="24"/>
      <c r="AC19" s="24"/>
      <c r="AD19" s="24"/>
      <c r="AE19" s="42"/>
      <c r="AG19" s="186">
        <v>1</v>
      </c>
      <c r="AH19" s="187"/>
      <c r="AI19" s="187"/>
      <c r="AJ19" s="188">
        <f t="shared" si="6"/>
        <v>1</v>
      </c>
      <c r="AK19" s="29" t="s">
        <v>85</v>
      </c>
      <c r="AO19" s="449"/>
    </row>
    <row r="20" spans="2:41" s="29" customFormat="1" ht="46.5" customHeight="1" x14ac:dyDescent="0.2">
      <c r="B20" s="24"/>
      <c r="C20" s="24"/>
      <c r="D20" s="24"/>
      <c r="E20" s="24"/>
      <c r="F20" s="438"/>
      <c r="G20" s="438"/>
      <c r="H20" s="465" t="s">
        <v>140</v>
      </c>
      <c r="I20" s="466"/>
      <c r="J20" s="26">
        <f>COUNTIFS(U9:U16,"&gt;=6",U9:U16,"&lt;=30")</f>
        <v>6</v>
      </c>
      <c r="K20" s="27">
        <f>J20*100%/J22</f>
        <v>0.75</v>
      </c>
      <c r="L20" s="24"/>
      <c r="M20" s="488" t="s">
        <v>105</v>
      </c>
      <c r="N20" s="489"/>
      <c r="O20" s="490" t="s">
        <v>48</v>
      </c>
      <c r="P20" s="491"/>
      <c r="Q20" s="111"/>
      <c r="R20" s="24"/>
      <c r="S20" s="24"/>
      <c r="T20" s="24"/>
      <c r="U20" s="24"/>
      <c r="V20" s="24"/>
      <c r="W20" s="24"/>
      <c r="X20" s="24"/>
      <c r="Y20" s="24"/>
      <c r="Z20" s="24"/>
      <c r="AA20" s="24"/>
      <c r="AB20" s="24"/>
      <c r="AC20" s="24"/>
      <c r="AD20" s="24"/>
      <c r="AE20" s="42"/>
      <c r="AG20" s="186">
        <v>1</v>
      </c>
      <c r="AH20" s="187"/>
      <c r="AI20" s="187"/>
      <c r="AJ20" s="188">
        <f t="shared" si="6"/>
        <v>1</v>
      </c>
      <c r="AO20" s="449"/>
    </row>
    <row r="21" spans="2:41" s="29" customFormat="1" ht="46.5" customHeight="1" thickBot="1" x14ac:dyDescent="0.25">
      <c r="B21" s="24"/>
      <c r="C21" s="24"/>
      <c r="D21" s="24"/>
      <c r="E21" s="24"/>
      <c r="F21" s="438"/>
      <c r="G21" s="438"/>
      <c r="H21" s="465" t="s">
        <v>141</v>
      </c>
      <c r="I21" s="466"/>
      <c r="J21" s="26">
        <f>COUNTIFS(U9:U16,"&gt;=40",U9:U16,"&lt;=60")</f>
        <v>0</v>
      </c>
      <c r="K21" s="27">
        <f>J21*100%/J22</f>
        <v>0</v>
      </c>
      <c r="L21" s="24"/>
      <c r="M21" s="482" t="s">
        <v>106</v>
      </c>
      <c r="N21" s="483"/>
      <c r="O21" s="483" t="s">
        <v>20</v>
      </c>
      <c r="P21" s="484"/>
      <c r="Q21" s="111"/>
      <c r="R21" s="24"/>
      <c r="S21" s="24"/>
      <c r="T21" s="24"/>
      <c r="U21" s="24"/>
      <c r="V21" s="24"/>
      <c r="W21" s="24"/>
      <c r="X21" s="24"/>
      <c r="Y21" s="24"/>
      <c r="Z21" s="24"/>
      <c r="AA21" s="24"/>
      <c r="AB21" s="24"/>
      <c r="AC21" s="24"/>
      <c r="AD21" s="24"/>
      <c r="AE21" s="42"/>
      <c r="AG21" s="186">
        <v>1</v>
      </c>
      <c r="AH21" s="187"/>
      <c r="AI21" s="187"/>
      <c r="AJ21" s="188">
        <f t="shared" si="6"/>
        <v>1</v>
      </c>
      <c r="AO21" s="449"/>
    </row>
    <row r="22" spans="2:41" s="29" customFormat="1" ht="46.5" customHeight="1" thickBot="1" x14ac:dyDescent="0.25">
      <c r="B22" s="24"/>
      <c r="C22" s="24"/>
      <c r="D22" s="24"/>
      <c r="E22" s="24"/>
      <c r="F22" s="447"/>
      <c r="G22" s="447"/>
      <c r="H22" s="472" t="s">
        <v>142</v>
      </c>
      <c r="I22" s="473"/>
      <c r="J22" s="185">
        <f>+J19+J21+J20</f>
        <v>8</v>
      </c>
      <c r="K22" s="137">
        <f>K19+K20+K21</f>
        <v>1</v>
      </c>
      <c r="L22" s="24"/>
      <c r="M22" s="24"/>
      <c r="N22" s="24"/>
      <c r="O22" s="24"/>
      <c r="P22" s="24"/>
      <c r="Q22" s="24"/>
      <c r="R22" s="24"/>
      <c r="S22" s="24"/>
      <c r="T22" s="24"/>
      <c r="U22" s="24"/>
      <c r="V22" s="24"/>
      <c r="W22" s="24"/>
      <c r="X22" s="24"/>
      <c r="Y22" s="24"/>
      <c r="Z22" s="24"/>
      <c r="AA22" s="24"/>
      <c r="AB22" s="24"/>
      <c r="AC22" s="24"/>
      <c r="AD22" s="24"/>
      <c r="AE22" s="42"/>
      <c r="AG22" s="186">
        <v>1</v>
      </c>
      <c r="AH22" s="187"/>
      <c r="AI22" s="187"/>
      <c r="AJ22" s="188">
        <f t="shared" si="6"/>
        <v>1</v>
      </c>
      <c r="AO22" s="449"/>
    </row>
    <row r="23" spans="2:41" s="29" customFormat="1" ht="75" customHeight="1" thickBot="1" x14ac:dyDescent="0.25">
      <c r="B23" s="24"/>
      <c r="C23" s="24"/>
      <c r="D23" s="24"/>
      <c r="E23" s="24"/>
      <c r="F23" s="24"/>
      <c r="G23" s="24"/>
      <c r="H23" s="470" t="s">
        <v>208</v>
      </c>
      <c r="I23" s="471"/>
      <c r="J23" s="226">
        <f>COUNTIF(Q9:Q16,"N/A")</f>
        <v>0</v>
      </c>
      <c r="K23" s="227">
        <f>IF(J23&gt;=1,"100%",0)</f>
        <v>0</v>
      </c>
      <c r="L23" s="24"/>
      <c r="M23" s="24"/>
      <c r="N23" s="24"/>
      <c r="O23" s="24"/>
      <c r="P23" s="24"/>
      <c r="Q23" s="24"/>
      <c r="R23" s="24"/>
      <c r="S23" s="24"/>
      <c r="T23" s="24"/>
      <c r="U23" s="24"/>
      <c r="V23" s="24"/>
      <c r="W23" s="24"/>
      <c r="X23" s="24"/>
      <c r="Y23" s="24"/>
      <c r="Z23" s="24"/>
      <c r="AA23" s="24"/>
      <c r="AB23" s="24"/>
      <c r="AC23" s="24"/>
      <c r="AD23" s="24"/>
      <c r="AE23" s="42"/>
      <c r="AG23" s="186"/>
      <c r="AH23" s="187">
        <v>1</v>
      </c>
      <c r="AI23" s="187"/>
      <c r="AJ23" s="188">
        <f t="shared" si="6"/>
        <v>1</v>
      </c>
      <c r="AO23" s="449"/>
    </row>
    <row r="24" spans="2:41" s="29" customFormat="1" ht="97.5" customHeight="1" x14ac:dyDescent="0.2">
      <c r="B24" s="24"/>
      <c r="C24" s="82"/>
      <c r="D24" s="82"/>
      <c r="E24" s="82"/>
      <c r="F24" s="82"/>
      <c r="G24" s="83"/>
      <c r="H24" s="83"/>
      <c r="I24" s="82"/>
      <c r="J24" s="24"/>
      <c r="K24" s="24"/>
      <c r="L24" s="24"/>
      <c r="M24" s="24"/>
      <c r="N24" s="24"/>
      <c r="O24" s="24"/>
      <c r="P24" s="24"/>
      <c r="Q24" s="24"/>
      <c r="R24" s="24"/>
      <c r="S24" s="24"/>
      <c r="T24" s="24"/>
      <c r="U24" s="24"/>
      <c r="V24" s="24"/>
      <c r="W24" s="24"/>
      <c r="X24" s="24"/>
      <c r="Y24" s="24"/>
      <c r="Z24" s="24"/>
      <c r="AA24" s="24"/>
      <c r="AB24" s="24"/>
      <c r="AC24" s="24"/>
      <c r="AD24" s="24"/>
      <c r="AE24" s="42"/>
      <c r="AG24" s="186"/>
      <c r="AH24" s="187">
        <v>1</v>
      </c>
      <c r="AI24" s="187"/>
      <c r="AJ24" s="188">
        <f t="shared" si="6"/>
        <v>1</v>
      </c>
      <c r="AO24" s="449"/>
    </row>
    <row r="25" spans="2:41" s="29" customFormat="1" ht="107.25" customHeight="1" thickBot="1" x14ac:dyDescent="0.25">
      <c r="B25" s="24"/>
      <c r="C25" s="82"/>
      <c r="D25" s="82"/>
      <c r="E25" s="82"/>
      <c r="F25" s="83"/>
      <c r="G25" s="83"/>
      <c r="H25" s="83"/>
      <c r="I25" s="83"/>
      <c r="J25" s="24"/>
      <c r="K25" s="24"/>
      <c r="L25" s="24"/>
      <c r="M25" s="24"/>
      <c r="N25" s="24"/>
      <c r="O25" s="24"/>
      <c r="P25" s="24"/>
      <c r="Q25" s="24"/>
      <c r="R25" s="24"/>
      <c r="S25" s="24"/>
      <c r="T25" s="24"/>
      <c r="U25" s="24"/>
      <c r="V25" s="24"/>
      <c r="W25" s="24"/>
      <c r="X25" s="24"/>
      <c r="Y25" s="24"/>
      <c r="Z25" s="24"/>
      <c r="AA25" s="24"/>
      <c r="AB25" s="24"/>
      <c r="AC25" s="24"/>
      <c r="AD25" s="24"/>
      <c r="AE25" s="42"/>
      <c r="AG25" s="186">
        <v>1</v>
      </c>
      <c r="AH25" s="187"/>
      <c r="AI25" s="187"/>
      <c r="AJ25" s="188">
        <f t="shared" si="6"/>
        <v>1</v>
      </c>
      <c r="AO25" s="450"/>
    </row>
    <row r="26" spans="2:41" s="28" customFormat="1" ht="80.25" customHeight="1" x14ac:dyDescent="0.2">
      <c r="B26" s="24"/>
      <c r="C26" s="82"/>
      <c r="D26" s="82"/>
      <c r="E26" s="84"/>
      <c r="F26" s="84"/>
      <c r="G26" s="84"/>
      <c r="H26" s="84"/>
      <c r="I26" s="84"/>
      <c r="J26" s="24"/>
      <c r="K26" s="24"/>
      <c r="L26" s="24"/>
      <c r="M26" s="24"/>
      <c r="N26" s="24"/>
      <c r="O26" s="24"/>
      <c r="P26" s="24"/>
      <c r="Q26" s="24"/>
      <c r="R26" s="24"/>
      <c r="S26" s="24"/>
      <c r="T26" s="24"/>
      <c r="U26" s="24"/>
      <c r="V26" s="24"/>
      <c r="W26" s="24"/>
      <c r="X26" s="24"/>
      <c r="Y26" s="24"/>
      <c r="Z26" s="24"/>
      <c r="AA26" s="24"/>
      <c r="AB26" s="24"/>
      <c r="AC26" s="24"/>
      <c r="AD26" s="24"/>
      <c r="AE26" s="42"/>
      <c r="AG26" s="39"/>
      <c r="AH26" s="49"/>
      <c r="AI26" s="49"/>
      <c r="AJ26" s="40"/>
      <c r="AO26" s="448" t="s">
        <v>77</v>
      </c>
    </row>
    <row r="27" spans="2:41" s="29" customFormat="1" ht="101.25" customHeight="1" x14ac:dyDescent="0.2">
      <c r="B27" s="24"/>
      <c r="C27" s="83"/>
      <c r="D27" s="83"/>
      <c r="E27" s="48"/>
      <c r="F27" s="48"/>
      <c r="G27" s="48"/>
      <c r="H27" s="48"/>
      <c r="I27" s="48"/>
      <c r="J27" s="24"/>
      <c r="K27" s="24"/>
      <c r="L27" s="24"/>
      <c r="M27" s="24"/>
      <c r="N27" s="24"/>
      <c r="O27" s="24"/>
      <c r="P27" s="24"/>
      <c r="Q27" s="24"/>
      <c r="R27" s="24"/>
      <c r="S27" s="24"/>
      <c r="T27" s="24"/>
      <c r="U27" s="24"/>
      <c r="V27" s="24"/>
      <c r="W27" s="24"/>
      <c r="X27" s="24"/>
      <c r="Y27" s="24"/>
      <c r="Z27" s="24"/>
      <c r="AA27" s="24"/>
      <c r="AB27" s="24"/>
      <c r="AC27" s="24"/>
      <c r="AD27" s="24"/>
      <c r="AE27" s="42"/>
      <c r="AG27" s="186">
        <v>1</v>
      </c>
      <c r="AH27" s="187"/>
      <c r="AI27" s="187"/>
      <c r="AJ27" s="188">
        <f t="shared" si="6"/>
        <v>1</v>
      </c>
      <c r="AO27" s="449"/>
    </row>
    <row r="28" spans="2:41" s="29" customFormat="1" ht="109.5" customHeight="1" x14ac:dyDescent="0.2">
      <c r="B28" s="24"/>
      <c r="C28" s="83"/>
      <c r="D28" s="83"/>
      <c r="I28" s="24"/>
      <c r="J28" s="24"/>
      <c r="K28" s="24"/>
      <c r="L28" s="24"/>
      <c r="M28" s="24"/>
      <c r="N28" s="24"/>
      <c r="O28" s="24"/>
      <c r="P28" s="24"/>
      <c r="Q28" s="24"/>
      <c r="R28" s="24"/>
      <c r="S28" s="24"/>
      <c r="T28" s="24"/>
      <c r="U28" s="24"/>
      <c r="V28" s="24"/>
      <c r="W28" s="24"/>
      <c r="X28" s="24"/>
      <c r="Y28" s="24"/>
      <c r="Z28" s="24"/>
      <c r="AA28" s="24"/>
      <c r="AB28" s="24"/>
      <c r="AC28" s="24"/>
      <c r="AD28" s="24"/>
      <c r="AE28" s="42"/>
      <c r="AG28" s="186"/>
      <c r="AH28" s="187">
        <v>1</v>
      </c>
      <c r="AI28" s="187"/>
      <c r="AJ28" s="188">
        <f t="shared" si="6"/>
        <v>1</v>
      </c>
      <c r="AO28" s="449"/>
    </row>
    <row r="29" spans="2:41" s="29" customFormat="1" ht="67.5" customHeight="1" x14ac:dyDescent="0.2">
      <c r="B29" s="24"/>
      <c r="C29" s="83"/>
      <c r="D29" s="83"/>
      <c r="H29" s="24"/>
      <c r="I29" s="24"/>
      <c r="J29" s="24"/>
      <c r="K29" s="24"/>
      <c r="L29" s="24"/>
      <c r="M29" s="24"/>
      <c r="N29" s="24"/>
      <c r="O29" s="24"/>
      <c r="P29" s="24"/>
      <c r="Q29" s="24"/>
      <c r="R29" s="24"/>
      <c r="S29" s="24"/>
      <c r="T29" s="24"/>
      <c r="U29" s="24"/>
      <c r="V29" s="24"/>
      <c r="W29" s="24"/>
      <c r="X29" s="24"/>
      <c r="Y29" s="24"/>
      <c r="Z29" s="24"/>
      <c r="AA29" s="24"/>
      <c r="AB29" s="24"/>
      <c r="AC29" s="24"/>
      <c r="AD29" s="24"/>
      <c r="AE29" s="42"/>
      <c r="AG29" s="186"/>
      <c r="AH29" s="187">
        <v>1</v>
      </c>
      <c r="AI29" s="187"/>
      <c r="AJ29" s="188">
        <v>1</v>
      </c>
      <c r="AO29" s="449"/>
    </row>
    <row r="30" spans="2:41" s="29" customFormat="1" ht="83.25" customHeight="1" x14ac:dyDescent="0.2">
      <c r="B30" s="24"/>
      <c r="C30" s="82"/>
      <c r="D30" s="82"/>
      <c r="G30" s="24"/>
      <c r="H30" s="24"/>
      <c r="I30" s="24"/>
      <c r="J30" s="24"/>
      <c r="K30" s="24"/>
      <c r="L30" s="24"/>
      <c r="M30" s="24"/>
      <c r="N30" s="24"/>
      <c r="O30" s="24"/>
      <c r="P30" s="24"/>
      <c r="Q30" s="24"/>
      <c r="R30" s="24"/>
      <c r="S30" s="24"/>
      <c r="T30" s="24"/>
      <c r="U30" s="24"/>
      <c r="V30" s="24"/>
      <c r="W30" s="24"/>
      <c r="X30" s="24"/>
      <c r="Y30" s="24"/>
      <c r="Z30" s="24"/>
      <c r="AA30" s="24"/>
      <c r="AB30" s="24"/>
      <c r="AC30" s="24"/>
      <c r="AD30" s="24"/>
      <c r="AE30" s="42"/>
      <c r="AG30" s="186"/>
      <c r="AH30" s="187">
        <v>1</v>
      </c>
      <c r="AI30" s="187"/>
      <c r="AJ30" s="188">
        <v>1</v>
      </c>
      <c r="AO30" s="449"/>
    </row>
    <row r="31" spans="2:41" s="29" customFormat="1" ht="75.75" customHeight="1" thickBot="1" x14ac:dyDescent="0.25">
      <c r="B31" s="24"/>
      <c r="C31" s="82"/>
      <c r="D31" s="82"/>
      <c r="G31" s="24"/>
      <c r="H31" s="24"/>
      <c r="I31" s="24"/>
      <c r="J31" s="24"/>
      <c r="K31" s="24"/>
      <c r="L31" s="24"/>
      <c r="M31" s="24"/>
      <c r="N31" s="24"/>
      <c r="O31" s="24"/>
      <c r="P31" s="24"/>
      <c r="Q31" s="24"/>
      <c r="R31" s="24"/>
      <c r="S31" s="24"/>
      <c r="T31" s="24"/>
      <c r="U31" s="24"/>
      <c r="V31" s="24"/>
      <c r="W31" s="24"/>
      <c r="X31" s="24"/>
      <c r="Y31" s="24"/>
      <c r="Z31" s="24"/>
      <c r="AA31" s="24"/>
      <c r="AB31" s="24"/>
      <c r="AC31" s="24"/>
      <c r="AD31" s="24"/>
      <c r="AE31" s="42"/>
      <c r="AG31" s="186"/>
      <c r="AH31" s="187"/>
      <c r="AI31" s="187"/>
      <c r="AJ31" s="188"/>
      <c r="AO31" s="450"/>
    </row>
    <row r="32" spans="2:41" s="29" customFormat="1" ht="73.5" customHeight="1" x14ac:dyDescent="0.2">
      <c r="B32" s="24"/>
      <c r="C32" s="82"/>
      <c r="D32" s="82"/>
      <c r="F32" s="24"/>
      <c r="G32" s="24"/>
      <c r="H32" s="24"/>
      <c r="I32" s="24"/>
      <c r="J32" s="24"/>
      <c r="K32" s="24"/>
      <c r="L32" s="24"/>
      <c r="M32" s="24"/>
      <c r="N32" s="24"/>
      <c r="O32" s="24"/>
      <c r="P32" s="24"/>
      <c r="Q32" s="24"/>
      <c r="R32" s="24"/>
      <c r="S32" s="24"/>
      <c r="T32" s="24"/>
      <c r="U32" s="24"/>
      <c r="V32" s="24"/>
      <c r="W32" s="24"/>
      <c r="X32" s="24"/>
      <c r="Y32" s="24"/>
      <c r="Z32" s="24"/>
      <c r="AA32" s="24"/>
      <c r="AB32" s="24"/>
      <c r="AC32" s="24"/>
      <c r="AD32" s="24"/>
      <c r="AE32" s="42"/>
      <c r="AG32" s="186"/>
      <c r="AH32" s="187">
        <v>1</v>
      </c>
      <c r="AI32" s="187"/>
      <c r="AJ32" s="188">
        <v>1</v>
      </c>
      <c r="AO32" s="448" t="s">
        <v>78</v>
      </c>
    </row>
    <row r="33" spans="2:41" s="29" customFormat="1" ht="58.5" customHeight="1" x14ac:dyDescent="0.2">
      <c r="B33" s="24"/>
      <c r="C33" s="83"/>
      <c r="D33" s="83"/>
      <c r="J33" s="24"/>
      <c r="K33" s="24"/>
      <c r="L33" s="24"/>
      <c r="M33" s="24"/>
      <c r="N33" s="24"/>
      <c r="O33" s="24"/>
      <c r="P33" s="24"/>
      <c r="Q33" s="24"/>
      <c r="R33" s="24"/>
      <c r="S33" s="24"/>
      <c r="T33" s="24"/>
      <c r="U33" s="24"/>
      <c r="V33" s="24"/>
      <c r="W33" s="24"/>
      <c r="X33" s="24"/>
      <c r="Y33" s="24"/>
      <c r="Z33" s="24"/>
      <c r="AA33" s="24"/>
      <c r="AB33" s="24"/>
      <c r="AC33" s="24"/>
      <c r="AD33" s="24"/>
      <c r="AE33" s="42"/>
      <c r="AG33" s="186">
        <v>1</v>
      </c>
      <c r="AH33" s="187"/>
      <c r="AI33" s="187"/>
      <c r="AJ33" s="188">
        <v>1</v>
      </c>
      <c r="AO33" s="449"/>
    </row>
    <row r="34" spans="2:41" s="29" customFormat="1" ht="73.5" customHeight="1" x14ac:dyDescent="0.2">
      <c r="B34" s="24"/>
      <c r="C34" s="83"/>
      <c r="D34" s="83"/>
      <c r="E34" s="24"/>
      <c r="F34" s="24"/>
      <c r="G34" s="24"/>
      <c r="H34" s="24"/>
      <c r="I34" s="24"/>
      <c r="J34" s="24"/>
      <c r="K34" s="24"/>
      <c r="L34" s="24"/>
      <c r="M34" s="24"/>
      <c r="N34" s="24"/>
      <c r="O34" s="24"/>
      <c r="P34" s="24"/>
      <c r="Q34" s="24"/>
      <c r="R34" s="24"/>
      <c r="S34" s="24"/>
      <c r="T34" s="24"/>
      <c r="U34" s="24"/>
      <c r="V34" s="24"/>
      <c r="W34" s="24"/>
      <c r="X34" s="24"/>
      <c r="Y34" s="24"/>
      <c r="Z34" s="24"/>
      <c r="AA34" s="24"/>
      <c r="AB34" s="24"/>
      <c r="AC34" s="24"/>
      <c r="AD34" s="24"/>
      <c r="AE34" s="42"/>
      <c r="AG34" s="186"/>
      <c r="AH34" s="187">
        <v>1</v>
      </c>
      <c r="AI34" s="187"/>
      <c r="AJ34" s="188">
        <v>1</v>
      </c>
      <c r="AO34" s="449"/>
    </row>
    <row r="35" spans="2:41" s="29" customFormat="1" ht="102" customHeight="1" thickBot="1" x14ac:dyDescent="0.25">
      <c r="B35" s="24"/>
      <c r="C35" s="83"/>
      <c r="D35" s="83"/>
      <c r="E35" s="24"/>
      <c r="F35" s="24"/>
      <c r="G35" s="24"/>
      <c r="H35" s="24"/>
      <c r="I35" s="24"/>
      <c r="J35" s="24"/>
      <c r="K35" s="24"/>
      <c r="L35" s="24"/>
      <c r="M35" s="24"/>
      <c r="N35" s="24"/>
      <c r="O35" s="24"/>
      <c r="P35" s="24"/>
      <c r="Q35" s="24"/>
      <c r="R35" s="24"/>
      <c r="S35" s="24"/>
      <c r="T35" s="24"/>
      <c r="U35" s="24"/>
      <c r="V35" s="24"/>
      <c r="W35" s="24"/>
      <c r="X35" s="24"/>
      <c r="Y35" s="24"/>
      <c r="Z35" s="24"/>
      <c r="AA35" s="24"/>
      <c r="AB35" s="24"/>
      <c r="AC35" s="24"/>
      <c r="AD35" s="24"/>
      <c r="AE35" s="42"/>
      <c r="AG35" s="186">
        <v>1</v>
      </c>
      <c r="AH35" s="187"/>
      <c r="AI35" s="187"/>
      <c r="AJ35" s="188">
        <v>1</v>
      </c>
      <c r="AO35" s="449"/>
    </row>
    <row r="36" spans="2:41" s="29" customFormat="1" ht="86.25" customHeight="1" x14ac:dyDescent="0.2">
      <c r="B36" s="24"/>
      <c r="C36" s="83"/>
      <c r="D36" s="83"/>
      <c r="E36" s="24"/>
      <c r="F36" s="24"/>
      <c r="G36" s="24"/>
      <c r="H36" s="24"/>
      <c r="I36" s="24"/>
      <c r="J36" s="24"/>
      <c r="K36" s="24"/>
      <c r="L36" s="24"/>
      <c r="M36" s="24"/>
      <c r="N36" s="24"/>
      <c r="O36" s="24"/>
      <c r="P36" s="24"/>
      <c r="Q36" s="24"/>
      <c r="R36" s="24"/>
      <c r="S36" s="24"/>
      <c r="T36" s="24"/>
      <c r="U36" s="24"/>
      <c r="V36" s="24"/>
      <c r="W36" s="24"/>
      <c r="X36" s="24"/>
      <c r="Y36" s="24"/>
      <c r="Z36" s="24"/>
      <c r="AA36" s="24"/>
      <c r="AB36" s="24"/>
      <c r="AC36" s="24"/>
      <c r="AD36" s="24"/>
      <c r="AE36" s="42"/>
      <c r="AG36" s="186"/>
      <c r="AH36" s="187">
        <v>1</v>
      </c>
      <c r="AI36" s="187"/>
      <c r="AJ36" s="188">
        <v>1</v>
      </c>
      <c r="AO36" s="451" t="s">
        <v>79</v>
      </c>
    </row>
    <row r="37" spans="2:41" s="29" customFormat="1" ht="70.5" customHeight="1" thickBot="1" x14ac:dyDescent="0.25">
      <c r="B37" s="24"/>
      <c r="C37" s="83"/>
      <c r="D37" s="83"/>
      <c r="E37" s="24"/>
      <c r="F37" s="24"/>
      <c r="G37" s="24"/>
      <c r="H37" s="24"/>
      <c r="I37" s="24"/>
      <c r="J37" s="24"/>
      <c r="K37" s="24"/>
      <c r="L37" s="24"/>
      <c r="M37" s="24"/>
      <c r="N37" s="24"/>
      <c r="O37" s="24"/>
      <c r="P37" s="24"/>
      <c r="Q37" s="24"/>
      <c r="R37" s="24"/>
      <c r="S37" s="24"/>
      <c r="T37" s="24"/>
      <c r="U37" s="24"/>
      <c r="V37" s="24"/>
      <c r="W37" s="24"/>
      <c r="X37" s="24"/>
      <c r="Y37" s="24"/>
      <c r="Z37" s="24"/>
      <c r="AA37" s="24"/>
      <c r="AB37" s="24"/>
      <c r="AC37" s="24"/>
      <c r="AD37" s="24"/>
      <c r="AE37" s="42"/>
      <c r="AG37" s="186">
        <v>1</v>
      </c>
      <c r="AH37" s="187"/>
      <c r="AI37" s="187"/>
      <c r="AJ37" s="188">
        <v>1</v>
      </c>
      <c r="AO37" s="452"/>
    </row>
    <row r="38" spans="2:41" s="29" customFormat="1" ht="62.25" customHeight="1" x14ac:dyDescent="0.2">
      <c r="B38" s="24"/>
      <c r="C38" s="83"/>
      <c r="D38" s="83"/>
      <c r="E38" s="24"/>
      <c r="F38" s="24"/>
      <c r="G38" s="24"/>
      <c r="H38" s="24"/>
      <c r="I38" s="24"/>
      <c r="J38" s="24"/>
      <c r="K38" s="24"/>
      <c r="L38" s="24"/>
      <c r="M38" s="24"/>
      <c r="N38" s="24"/>
      <c r="O38" s="24"/>
      <c r="P38" s="24"/>
      <c r="Q38" s="24"/>
      <c r="R38" s="24"/>
      <c r="S38" s="24"/>
      <c r="T38" s="24"/>
      <c r="U38" s="24"/>
      <c r="V38" s="24"/>
      <c r="W38" s="24"/>
      <c r="X38" s="24"/>
      <c r="Y38" s="24"/>
      <c r="Z38" s="24"/>
      <c r="AA38" s="24"/>
      <c r="AB38" s="24"/>
      <c r="AC38" s="24"/>
      <c r="AD38" s="24"/>
      <c r="AE38" s="42"/>
      <c r="AG38" s="186">
        <v>1</v>
      </c>
      <c r="AH38" s="187"/>
      <c r="AI38" s="187"/>
      <c r="AJ38" s="188">
        <v>1</v>
      </c>
      <c r="AO38" s="451" t="s">
        <v>80</v>
      </c>
    </row>
    <row r="39" spans="2:41" s="29" customFormat="1" ht="45.75" customHeight="1" x14ac:dyDescent="0.2">
      <c r="B39" s="24"/>
      <c r="C39" s="83"/>
      <c r="D39" s="83"/>
      <c r="E39" s="24"/>
      <c r="F39" s="24"/>
      <c r="G39" s="24"/>
      <c r="H39" s="24"/>
      <c r="I39" s="24"/>
      <c r="J39" s="24"/>
      <c r="K39" s="24"/>
      <c r="L39" s="24"/>
      <c r="M39" s="24"/>
      <c r="N39" s="24"/>
      <c r="O39" s="24"/>
      <c r="P39" s="24"/>
      <c r="Q39" s="24"/>
      <c r="R39" s="24"/>
      <c r="S39" s="24"/>
      <c r="T39" s="24"/>
      <c r="U39" s="24"/>
      <c r="V39" s="24"/>
      <c r="W39" s="24"/>
      <c r="X39" s="24"/>
      <c r="Y39" s="24"/>
      <c r="Z39" s="24"/>
      <c r="AA39" s="24"/>
      <c r="AB39" s="24"/>
      <c r="AC39" s="24"/>
      <c r="AD39" s="24"/>
      <c r="AE39" s="42"/>
      <c r="AG39" s="186"/>
      <c r="AH39" s="187"/>
      <c r="AI39" s="187">
        <v>1</v>
      </c>
      <c r="AJ39" s="188">
        <v>1</v>
      </c>
      <c r="AO39" s="453"/>
    </row>
    <row r="40" spans="2:41" s="29" customFormat="1" ht="43.5" customHeight="1" x14ac:dyDescent="0.2">
      <c r="B40" s="24"/>
      <c r="C40" s="83"/>
      <c r="D40" s="83"/>
      <c r="E40" s="24"/>
      <c r="F40" s="24"/>
      <c r="G40" s="24"/>
      <c r="H40" s="24"/>
      <c r="I40" s="24"/>
      <c r="J40" s="24"/>
      <c r="K40" s="24"/>
      <c r="L40" s="24"/>
      <c r="M40" s="24"/>
      <c r="N40" s="24"/>
      <c r="O40" s="24"/>
      <c r="P40" s="24"/>
      <c r="Q40" s="24"/>
      <c r="R40" s="24"/>
      <c r="S40" s="24"/>
      <c r="T40" s="24"/>
      <c r="U40" s="24"/>
      <c r="V40" s="24"/>
      <c r="W40" s="24"/>
      <c r="X40" s="24"/>
      <c r="Y40" s="24"/>
      <c r="Z40" s="24"/>
      <c r="AA40" s="24"/>
      <c r="AB40" s="24"/>
      <c r="AC40" s="24"/>
      <c r="AD40" s="24"/>
      <c r="AE40" s="42"/>
      <c r="AG40" s="186">
        <v>1</v>
      </c>
      <c r="AH40" s="187"/>
      <c r="AI40" s="187"/>
      <c r="AJ40" s="188">
        <v>1</v>
      </c>
      <c r="AO40" s="453"/>
    </row>
    <row r="41" spans="2:41" s="29" customFormat="1" ht="61.5" customHeight="1" thickBot="1" x14ac:dyDescent="0.25">
      <c r="B41" s="24"/>
      <c r="C41" s="83"/>
      <c r="D41" s="83"/>
      <c r="J41" s="24"/>
      <c r="K41" s="24"/>
      <c r="L41" s="24"/>
      <c r="M41" s="24"/>
      <c r="N41" s="24"/>
      <c r="O41" s="24"/>
      <c r="P41" s="24"/>
      <c r="Q41" s="24"/>
      <c r="R41" s="24"/>
      <c r="S41" s="24"/>
      <c r="T41" s="24"/>
      <c r="U41" s="24"/>
      <c r="V41" s="24"/>
      <c r="W41" s="24"/>
      <c r="X41" s="24"/>
      <c r="Y41" s="24"/>
      <c r="Z41" s="24"/>
      <c r="AA41" s="24"/>
      <c r="AB41" s="24"/>
      <c r="AC41" s="24"/>
      <c r="AD41" s="24"/>
      <c r="AE41" s="42"/>
      <c r="AG41" s="454"/>
      <c r="AH41" s="455"/>
      <c r="AI41" s="455">
        <v>1</v>
      </c>
      <c r="AJ41" s="456">
        <v>1</v>
      </c>
      <c r="AO41" s="452"/>
    </row>
    <row r="42" spans="2:41" s="29" customFormat="1" ht="70.5" customHeight="1" x14ac:dyDescent="0.2">
      <c r="B42" s="24"/>
      <c r="C42" s="83"/>
      <c r="D42" s="83"/>
      <c r="E42" s="24"/>
      <c r="F42" s="24"/>
      <c r="G42" s="24"/>
      <c r="H42" s="24"/>
      <c r="I42" s="24"/>
      <c r="J42" s="24"/>
      <c r="K42" s="24"/>
      <c r="L42" s="24"/>
      <c r="M42" s="24"/>
      <c r="N42" s="24"/>
      <c r="O42" s="24"/>
      <c r="P42" s="24"/>
      <c r="Q42" s="24"/>
      <c r="R42" s="24"/>
      <c r="S42" s="24"/>
      <c r="T42" s="24"/>
      <c r="U42" s="24"/>
      <c r="V42" s="24"/>
      <c r="W42" s="24"/>
      <c r="X42" s="24"/>
      <c r="Y42" s="24"/>
      <c r="Z42" s="24"/>
      <c r="AA42" s="24"/>
      <c r="AB42" s="24"/>
      <c r="AC42" s="24"/>
      <c r="AD42" s="24"/>
      <c r="AE42" s="42"/>
      <c r="AG42" s="454"/>
      <c r="AH42" s="455"/>
      <c r="AI42" s="455"/>
      <c r="AJ42" s="456"/>
      <c r="AO42" s="448" t="s">
        <v>81</v>
      </c>
    </row>
    <row r="43" spans="2:41" s="29" customFormat="1" ht="59.25" customHeight="1" x14ac:dyDescent="0.2">
      <c r="B43" s="24"/>
      <c r="C43" s="83"/>
      <c r="D43" s="83"/>
      <c r="E43" s="24"/>
      <c r="F43" s="24"/>
      <c r="G43" s="24"/>
      <c r="H43" s="24"/>
      <c r="I43" s="24"/>
      <c r="J43" s="24"/>
      <c r="K43" s="24"/>
      <c r="L43" s="24"/>
      <c r="M43" s="24"/>
      <c r="N43" s="24"/>
      <c r="O43" s="24"/>
      <c r="P43" s="24"/>
      <c r="Q43" s="24"/>
      <c r="R43" s="24"/>
      <c r="S43" s="24"/>
      <c r="T43" s="24"/>
      <c r="U43" s="24"/>
      <c r="V43" s="24"/>
      <c r="W43" s="24"/>
      <c r="X43" s="24"/>
      <c r="Y43" s="24"/>
      <c r="Z43" s="24"/>
      <c r="AA43" s="24"/>
      <c r="AB43" s="24"/>
      <c r="AC43" s="24"/>
      <c r="AD43" s="24"/>
      <c r="AE43" s="42"/>
      <c r="AG43" s="186">
        <v>1</v>
      </c>
      <c r="AH43" s="187"/>
      <c r="AI43" s="187"/>
      <c r="AJ43" s="188">
        <v>1</v>
      </c>
      <c r="AO43" s="449"/>
    </row>
    <row r="44" spans="2:41" s="29" customFormat="1" ht="122.25" customHeight="1" x14ac:dyDescent="0.2">
      <c r="B44" s="24"/>
      <c r="C44" s="83"/>
      <c r="D44" s="83"/>
      <c r="E44" s="24"/>
      <c r="F44" s="24"/>
      <c r="G44" s="24"/>
      <c r="H44" s="24"/>
      <c r="I44" s="24"/>
      <c r="J44" s="24"/>
      <c r="K44" s="24"/>
      <c r="L44" s="24"/>
      <c r="M44" s="24"/>
      <c r="N44" s="24"/>
      <c r="O44" s="24"/>
      <c r="P44" s="24"/>
      <c r="Q44" s="24"/>
      <c r="R44" s="24"/>
      <c r="S44" s="24"/>
      <c r="T44" s="24"/>
      <c r="U44" s="24"/>
      <c r="V44" s="24"/>
      <c r="W44" s="24"/>
      <c r="X44" s="24"/>
      <c r="Y44" s="24"/>
      <c r="Z44" s="24"/>
      <c r="AA44" s="24"/>
      <c r="AB44" s="24"/>
      <c r="AC44" s="24"/>
      <c r="AD44" s="24"/>
      <c r="AE44" s="42"/>
      <c r="AG44" s="186">
        <v>1</v>
      </c>
      <c r="AH44" s="187"/>
      <c r="AI44" s="187"/>
      <c r="AJ44" s="188">
        <v>1</v>
      </c>
      <c r="AO44" s="449"/>
    </row>
    <row r="45" spans="2:41" s="29" customFormat="1" ht="97.5" customHeight="1" x14ac:dyDescent="0.2">
      <c r="B45" s="24"/>
      <c r="C45" s="83"/>
      <c r="D45" s="83"/>
      <c r="E45" s="24"/>
      <c r="F45" s="24"/>
      <c r="G45" s="24"/>
      <c r="H45" s="24"/>
      <c r="I45" s="24"/>
      <c r="J45" s="24"/>
      <c r="K45" s="24"/>
      <c r="L45" s="24"/>
      <c r="M45" s="24"/>
      <c r="N45" s="24"/>
      <c r="O45" s="24"/>
      <c r="P45" s="24"/>
      <c r="Q45" s="24"/>
      <c r="R45" s="24"/>
      <c r="S45" s="24"/>
      <c r="T45" s="24"/>
      <c r="U45" s="24"/>
      <c r="V45" s="24"/>
      <c r="W45" s="24"/>
      <c r="X45" s="24"/>
      <c r="Y45" s="24"/>
      <c r="Z45" s="24"/>
      <c r="AA45" s="24"/>
      <c r="AB45" s="24"/>
      <c r="AC45" s="24"/>
      <c r="AD45" s="24"/>
      <c r="AE45" s="42"/>
      <c r="AG45" s="186">
        <v>1</v>
      </c>
      <c r="AH45" s="187"/>
      <c r="AI45" s="187"/>
      <c r="AJ45" s="188">
        <v>1</v>
      </c>
      <c r="AO45" s="449"/>
    </row>
    <row r="46" spans="2:41" s="29" customFormat="1" ht="49.5" customHeight="1" thickBot="1" x14ac:dyDescent="0.25">
      <c r="B46" s="24"/>
      <c r="C46" s="83"/>
      <c r="D46" s="83"/>
      <c r="E46" s="24"/>
      <c r="F46" s="24"/>
      <c r="G46" s="24"/>
      <c r="H46" s="24"/>
      <c r="I46" s="24"/>
      <c r="J46" s="24"/>
      <c r="K46" s="24"/>
      <c r="L46" s="24"/>
      <c r="M46" s="24"/>
      <c r="N46" s="24"/>
      <c r="O46" s="24"/>
      <c r="P46" s="24"/>
      <c r="Q46" s="24"/>
      <c r="R46" s="24"/>
      <c r="S46" s="24"/>
      <c r="T46" s="24"/>
      <c r="U46" s="24"/>
      <c r="V46" s="24"/>
      <c r="W46" s="24"/>
      <c r="X46" s="24"/>
      <c r="Y46" s="24"/>
      <c r="Z46" s="24"/>
      <c r="AA46" s="24"/>
      <c r="AB46" s="24"/>
      <c r="AC46" s="24"/>
      <c r="AD46" s="24"/>
      <c r="AE46" s="42"/>
      <c r="AG46" s="186">
        <v>1</v>
      </c>
      <c r="AH46" s="187"/>
      <c r="AI46" s="187"/>
      <c r="AJ46" s="188">
        <v>1</v>
      </c>
      <c r="AO46" s="450"/>
    </row>
    <row r="47" spans="2:41" s="29" customFormat="1" ht="61.5" customHeight="1" x14ac:dyDescent="0.2">
      <c r="B47" s="24"/>
      <c r="C47" s="83"/>
      <c r="D47" s="83"/>
      <c r="E47" s="24"/>
      <c r="F47" s="24"/>
      <c r="G47" s="24"/>
      <c r="H47" s="24"/>
      <c r="I47" s="24"/>
      <c r="J47" s="24"/>
      <c r="K47" s="24"/>
      <c r="L47" s="24"/>
      <c r="M47" s="24"/>
      <c r="N47" s="24"/>
      <c r="O47" s="24"/>
      <c r="P47" s="24"/>
      <c r="Q47" s="24"/>
      <c r="R47" s="24"/>
      <c r="S47" s="24"/>
      <c r="T47" s="24"/>
      <c r="U47" s="24"/>
      <c r="V47" s="24"/>
      <c r="W47" s="24"/>
      <c r="X47" s="24"/>
      <c r="Y47" s="24"/>
      <c r="Z47" s="24"/>
      <c r="AA47" s="24"/>
      <c r="AB47" s="24"/>
      <c r="AC47" s="24"/>
      <c r="AD47" s="24"/>
      <c r="AE47" s="42"/>
      <c r="AG47" s="186"/>
      <c r="AH47" s="187">
        <v>1</v>
      </c>
      <c r="AI47" s="187"/>
      <c r="AJ47" s="188">
        <v>1</v>
      </c>
      <c r="AO47" s="448" t="s">
        <v>82</v>
      </c>
    </row>
    <row r="48" spans="2:41" s="29" customFormat="1" ht="44.25" customHeight="1" x14ac:dyDescent="0.2">
      <c r="B48" s="24"/>
      <c r="C48" s="83"/>
      <c r="D48" s="83"/>
      <c r="E48" s="24"/>
      <c r="F48" s="24"/>
      <c r="G48" s="24"/>
      <c r="H48" s="24"/>
      <c r="I48" s="24"/>
      <c r="J48" s="24"/>
      <c r="K48" s="24"/>
      <c r="L48" s="24"/>
      <c r="M48" s="24"/>
      <c r="N48" s="24"/>
      <c r="O48" s="24"/>
      <c r="P48" s="24"/>
      <c r="Q48" s="24"/>
      <c r="R48" s="24"/>
      <c r="S48" s="24"/>
      <c r="T48" s="24"/>
      <c r="U48" s="24"/>
      <c r="V48" s="24"/>
      <c r="W48" s="24"/>
      <c r="X48" s="24"/>
      <c r="Y48" s="24"/>
      <c r="Z48" s="24"/>
      <c r="AA48" s="24"/>
      <c r="AB48" s="24"/>
      <c r="AC48" s="24"/>
      <c r="AD48" s="24"/>
      <c r="AE48" s="42"/>
      <c r="AG48" s="186">
        <v>1</v>
      </c>
      <c r="AH48" s="187"/>
      <c r="AI48" s="187"/>
      <c r="AJ48" s="188">
        <v>1</v>
      </c>
      <c r="AO48" s="449"/>
    </row>
    <row r="49" spans="2:41" s="29" customFormat="1" ht="97.5" customHeight="1" x14ac:dyDescent="0.2">
      <c r="B49" s="24"/>
      <c r="C49" s="83"/>
      <c r="D49" s="83"/>
      <c r="J49" s="24"/>
      <c r="K49" s="24"/>
      <c r="L49" s="24"/>
      <c r="M49" s="24"/>
      <c r="N49" s="24"/>
      <c r="O49" s="24"/>
      <c r="P49" s="24"/>
      <c r="Q49" s="24"/>
      <c r="R49" s="24"/>
      <c r="S49" s="24"/>
      <c r="T49" s="24"/>
      <c r="U49" s="24"/>
      <c r="V49" s="24"/>
      <c r="W49" s="24"/>
      <c r="X49" s="24"/>
      <c r="Y49" s="24"/>
      <c r="Z49" s="24"/>
      <c r="AA49" s="24"/>
      <c r="AB49" s="24"/>
      <c r="AC49" s="24"/>
      <c r="AD49" s="24"/>
      <c r="AE49" s="42"/>
      <c r="AG49" s="186">
        <v>1</v>
      </c>
      <c r="AH49" s="187"/>
      <c r="AI49" s="187"/>
      <c r="AJ49" s="188">
        <v>1</v>
      </c>
      <c r="AO49" s="449"/>
    </row>
    <row r="50" spans="2:41" s="29" customFormat="1" ht="54.75" customHeight="1" thickBot="1" x14ac:dyDescent="0.25">
      <c r="B50" s="24"/>
      <c r="C50" s="83"/>
      <c r="D50" s="83"/>
      <c r="E50" s="24"/>
      <c r="F50" s="24"/>
      <c r="G50" s="24"/>
      <c r="H50" s="24"/>
      <c r="I50" s="24"/>
      <c r="J50" s="24"/>
      <c r="K50" s="24"/>
      <c r="L50" s="24"/>
      <c r="M50" s="24"/>
      <c r="N50" s="24"/>
      <c r="O50" s="24"/>
      <c r="P50" s="24"/>
      <c r="Q50" s="24"/>
      <c r="R50" s="24"/>
      <c r="S50" s="24"/>
      <c r="T50" s="24"/>
      <c r="U50" s="24"/>
      <c r="V50" s="24"/>
      <c r="W50" s="24"/>
      <c r="X50" s="24"/>
      <c r="Y50" s="24"/>
      <c r="Z50" s="24"/>
      <c r="AA50" s="24"/>
      <c r="AB50" s="24"/>
      <c r="AC50" s="24"/>
      <c r="AD50" s="24"/>
      <c r="AE50" s="42"/>
      <c r="AG50" s="186">
        <v>1</v>
      </c>
      <c r="AH50" s="187"/>
      <c r="AI50" s="187"/>
      <c r="AJ50" s="188">
        <v>1</v>
      </c>
      <c r="AO50" s="450"/>
    </row>
    <row r="51" spans="2:41" s="29" customFormat="1" ht="83.25" customHeight="1" x14ac:dyDescent="0.2">
      <c r="B51" s="24"/>
      <c r="C51" s="83"/>
      <c r="D51" s="83"/>
      <c r="E51" s="24"/>
      <c r="F51" s="24"/>
      <c r="G51" s="24"/>
      <c r="H51" s="24"/>
      <c r="I51" s="24"/>
      <c r="J51" s="24"/>
      <c r="K51" s="24"/>
      <c r="L51" s="24"/>
      <c r="M51" s="24"/>
      <c r="N51" s="24"/>
      <c r="O51" s="24"/>
      <c r="P51" s="24"/>
      <c r="Q51" s="24"/>
      <c r="R51" s="24"/>
      <c r="S51" s="24"/>
      <c r="T51" s="24"/>
      <c r="U51" s="24"/>
      <c r="V51" s="24"/>
      <c r="W51" s="24"/>
      <c r="X51" s="24"/>
      <c r="Y51" s="24"/>
      <c r="Z51" s="24"/>
      <c r="AA51" s="24"/>
      <c r="AB51" s="24"/>
      <c r="AC51" s="24"/>
      <c r="AD51" s="24"/>
      <c r="AE51" s="42"/>
      <c r="AG51" s="186">
        <v>1</v>
      </c>
      <c r="AH51" s="187"/>
      <c r="AI51" s="187"/>
      <c r="AJ51" s="188">
        <v>1</v>
      </c>
      <c r="AO51" s="448" t="s">
        <v>73</v>
      </c>
    </row>
    <row r="52" spans="2:41" s="29" customFormat="1" ht="82.5" customHeight="1" x14ac:dyDescent="0.2">
      <c r="B52" s="24"/>
      <c r="C52" s="83"/>
      <c r="D52" s="83"/>
      <c r="E52" s="24"/>
      <c r="F52" s="24"/>
      <c r="G52" s="24"/>
      <c r="H52" s="24"/>
      <c r="I52" s="24"/>
      <c r="J52" s="24"/>
      <c r="K52" s="24"/>
      <c r="L52" s="24"/>
      <c r="M52" s="24"/>
      <c r="N52" s="24"/>
      <c r="O52" s="24"/>
      <c r="P52" s="24"/>
      <c r="Q52" s="24"/>
      <c r="R52" s="24"/>
      <c r="S52" s="24"/>
      <c r="T52" s="24"/>
      <c r="U52" s="24"/>
      <c r="V52" s="24"/>
      <c r="W52" s="24"/>
      <c r="X52" s="24"/>
      <c r="Y52" s="24"/>
      <c r="Z52" s="24"/>
      <c r="AA52" s="24"/>
      <c r="AB52" s="24"/>
      <c r="AC52" s="24"/>
      <c r="AD52" s="24"/>
      <c r="AE52" s="42"/>
      <c r="AG52" s="186"/>
      <c r="AH52" s="187"/>
      <c r="AI52" s="187">
        <v>1</v>
      </c>
      <c r="AJ52" s="188">
        <v>1</v>
      </c>
      <c r="AO52" s="449"/>
    </row>
    <row r="53" spans="2:41" s="29" customFormat="1" ht="67.5" customHeight="1" x14ac:dyDescent="0.2">
      <c r="B53" s="24"/>
      <c r="C53" s="83"/>
      <c r="D53" s="83"/>
      <c r="E53" s="24"/>
      <c r="F53" s="24"/>
      <c r="G53" s="24"/>
      <c r="H53" s="24"/>
      <c r="I53" s="24"/>
      <c r="J53" s="24"/>
      <c r="K53" s="24"/>
      <c r="L53" s="24"/>
      <c r="M53" s="24"/>
      <c r="N53" s="24"/>
      <c r="O53" s="24"/>
      <c r="P53" s="24"/>
      <c r="Q53" s="24"/>
      <c r="R53" s="24"/>
      <c r="S53" s="24"/>
      <c r="T53" s="24"/>
      <c r="U53" s="24"/>
      <c r="V53" s="24"/>
      <c r="W53" s="24"/>
      <c r="X53" s="24"/>
      <c r="Y53" s="24"/>
      <c r="Z53" s="24"/>
      <c r="AA53" s="24"/>
      <c r="AB53" s="24"/>
      <c r="AC53" s="24"/>
      <c r="AD53" s="24"/>
      <c r="AE53" s="42"/>
      <c r="AG53" s="186"/>
      <c r="AH53" s="187">
        <v>1</v>
      </c>
      <c r="AI53" s="187"/>
      <c r="AJ53" s="188">
        <v>1</v>
      </c>
      <c r="AO53" s="449"/>
    </row>
    <row r="54" spans="2:41" s="29" customFormat="1" ht="65.25" customHeight="1" thickBot="1" x14ac:dyDescent="0.25">
      <c r="B54" s="24"/>
      <c r="C54" s="83"/>
      <c r="D54" s="83"/>
      <c r="E54" s="24"/>
      <c r="F54" s="24"/>
      <c r="G54" s="24"/>
      <c r="H54" s="24"/>
      <c r="I54" s="24"/>
      <c r="J54" s="24"/>
      <c r="K54" s="24"/>
      <c r="L54" s="24"/>
      <c r="M54" s="24"/>
      <c r="N54" s="24"/>
      <c r="O54" s="24"/>
      <c r="P54" s="24"/>
      <c r="Q54" s="24"/>
      <c r="R54" s="24"/>
      <c r="S54" s="24"/>
      <c r="T54" s="24"/>
      <c r="U54" s="24"/>
      <c r="V54" s="24"/>
      <c r="W54" s="24"/>
      <c r="X54" s="24"/>
      <c r="Y54" s="24"/>
      <c r="Z54" s="24"/>
      <c r="AA54" s="24"/>
      <c r="AB54" s="24"/>
      <c r="AC54" s="24"/>
      <c r="AD54" s="24"/>
      <c r="AE54" s="42"/>
      <c r="AG54" s="186">
        <v>1</v>
      </c>
      <c r="AH54" s="187"/>
      <c r="AI54" s="187"/>
      <c r="AJ54" s="188">
        <v>1</v>
      </c>
      <c r="AO54" s="450"/>
    </row>
    <row r="55" spans="2:41" s="29" customFormat="1" ht="36.75" customHeight="1" x14ac:dyDescent="0.2">
      <c r="B55" s="24"/>
      <c r="C55" s="83"/>
      <c r="D55" s="83"/>
      <c r="E55" s="24"/>
      <c r="F55" s="24"/>
      <c r="G55" s="24"/>
      <c r="H55" s="24"/>
      <c r="I55" s="24"/>
      <c r="J55" s="24"/>
      <c r="K55" s="24"/>
      <c r="L55" s="24"/>
      <c r="M55" s="24"/>
      <c r="N55" s="24"/>
      <c r="O55" s="24"/>
      <c r="P55" s="24"/>
      <c r="Q55" s="24"/>
      <c r="R55" s="24"/>
      <c r="S55" s="24"/>
      <c r="T55" s="24"/>
      <c r="U55" s="24"/>
      <c r="V55" s="24"/>
      <c r="W55" s="24"/>
      <c r="X55" s="24"/>
      <c r="Y55" s="24"/>
      <c r="Z55" s="24"/>
      <c r="AA55" s="24"/>
      <c r="AB55" s="24"/>
      <c r="AC55" s="24"/>
      <c r="AD55" s="24"/>
      <c r="AE55" s="42"/>
      <c r="AG55" s="186"/>
      <c r="AH55" s="187"/>
      <c r="AI55" s="187"/>
      <c r="AJ55" s="188"/>
    </row>
    <row r="56" spans="2:41" s="29" customFormat="1" ht="151.5" customHeight="1" x14ac:dyDescent="0.2">
      <c r="B56" s="24"/>
      <c r="C56" s="83"/>
      <c r="D56" s="83"/>
      <c r="I56" s="24"/>
      <c r="J56" s="24"/>
      <c r="K56" s="24"/>
      <c r="L56" s="24"/>
      <c r="M56" s="24"/>
      <c r="N56" s="24"/>
      <c r="O56" s="24"/>
      <c r="P56" s="24"/>
      <c r="Q56" s="24"/>
      <c r="R56" s="24"/>
      <c r="S56" s="24"/>
      <c r="T56" s="24"/>
      <c r="U56" s="24"/>
      <c r="V56" s="24"/>
      <c r="W56" s="24"/>
      <c r="X56" s="24"/>
      <c r="Y56" s="24"/>
      <c r="Z56" s="24"/>
      <c r="AA56" s="24"/>
      <c r="AB56" s="24"/>
      <c r="AC56" s="24"/>
      <c r="AD56" s="24"/>
      <c r="AE56" s="42"/>
      <c r="AG56" s="186"/>
      <c r="AH56" s="187"/>
      <c r="AI56" s="187">
        <v>1</v>
      </c>
      <c r="AJ56" s="188">
        <v>1</v>
      </c>
    </row>
    <row r="57" spans="2:41" s="29" customFormat="1" ht="100.5" customHeight="1" x14ac:dyDescent="0.2">
      <c r="B57" s="24"/>
      <c r="C57" s="83"/>
      <c r="D57" s="83"/>
      <c r="E57" s="24"/>
      <c r="F57" s="24"/>
      <c r="G57" s="24"/>
      <c r="H57" s="24"/>
      <c r="I57" s="24"/>
      <c r="J57" s="24"/>
      <c r="K57" s="24"/>
      <c r="L57" s="24"/>
      <c r="M57" s="24"/>
      <c r="N57" s="24"/>
      <c r="O57" s="24"/>
      <c r="P57" s="24"/>
      <c r="Q57" s="24"/>
      <c r="R57" s="24"/>
      <c r="S57" s="24"/>
      <c r="T57" s="24"/>
      <c r="U57" s="24"/>
      <c r="V57" s="24"/>
      <c r="W57" s="24"/>
      <c r="X57" s="24"/>
      <c r="Y57" s="24"/>
      <c r="Z57" s="24"/>
      <c r="AA57" s="24"/>
      <c r="AB57" s="24"/>
      <c r="AC57" s="24"/>
      <c r="AD57" s="24"/>
      <c r="AE57" s="42"/>
      <c r="AG57" s="186"/>
      <c r="AH57" s="187"/>
      <c r="AI57" s="187">
        <v>1</v>
      </c>
      <c r="AJ57" s="188">
        <v>1</v>
      </c>
    </row>
    <row r="58" spans="2:41" s="29" customFormat="1" ht="113.25" customHeight="1" x14ac:dyDescent="0.2">
      <c r="B58" s="24"/>
      <c r="C58" s="83"/>
      <c r="D58" s="83"/>
      <c r="E58" s="24"/>
      <c r="F58" s="24"/>
      <c r="G58" s="24"/>
      <c r="H58" s="24"/>
      <c r="I58" s="24"/>
      <c r="J58" s="24"/>
      <c r="K58" s="24"/>
      <c r="L58" s="24"/>
      <c r="M58" s="24"/>
      <c r="N58" s="24"/>
      <c r="O58" s="24"/>
      <c r="P58" s="24"/>
      <c r="Q58" s="24"/>
      <c r="R58" s="24"/>
      <c r="S58" s="24"/>
      <c r="T58" s="24"/>
      <c r="U58" s="24"/>
      <c r="V58" s="24"/>
      <c r="W58" s="24"/>
      <c r="X58" s="24"/>
      <c r="Y58" s="24"/>
      <c r="Z58" s="24"/>
      <c r="AA58" s="24"/>
      <c r="AB58" s="24"/>
      <c r="AC58" s="24"/>
      <c r="AD58" s="24"/>
      <c r="AE58" s="42"/>
      <c r="AG58" s="186"/>
      <c r="AH58" s="187">
        <v>1</v>
      </c>
      <c r="AI58" s="187"/>
      <c r="AJ58" s="188">
        <v>1</v>
      </c>
    </row>
    <row r="59" spans="2:41" ht="54.75" customHeight="1" x14ac:dyDescent="0.2">
      <c r="C59" s="83"/>
      <c r="D59" s="83"/>
      <c r="AE59" s="42"/>
      <c r="AF59" s="29"/>
      <c r="AG59" s="34"/>
      <c r="AH59" s="30">
        <v>1</v>
      </c>
      <c r="AI59" s="30"/>
      <c r="AJ59" s="35">
        <v>1</v>
      </c>
    </row>
    <row r="60" spans="2:41" ht="45.75" customHeight="1" x14ac:dyDescent="0.2">
      <c r="C60" s="83"/>
      <c r="D60" s="83"/>
      <c r="AE60" s="42"/>
      <c r="AF60" s="29"/>
      <c r="AG60" s="34"/>
      <c r="AH60" s="30">
        <v>1</v>
      </c>
      <c r="AI60" s="30"/>
      <c r="AJ60" s="35">
        <v>1</v>
      </c>
    </row>
    <row r="61" spans="2:41" ht="54.75" customHeight="1" x14ac:dyDescent="0.2">
      <c r="C61" s="83"/>
      <c r="D61" s="83"/>
      <c r="AE61" s="42"/>
      <c r="AF61" s="29"/>
      <c r="AG61" s="34"/>
      <c r="AH61" s="30">
        <v>1</v>
      </c>
      <c r="AI61" s="30"/>
      <c r="AJ61" s="35">
        <v>1</v>
      </c>
    </row>
    <row r="62" spans="2:41" ht="201.75" customHeight="1" x14ac:dyDescent="0.2">
      <c r="C62" s="83"/>
      <c r="D62" s="83"/>
      <c r="AE62" s="42"/>
      <c r="AF62" s="29"/>
      <c r="AG62" s="34"/>
      <c r="AH62" s="30">
        <v>1</v>
      </c>
      <c r="AI62" s="30"/>
      <c r="AJ62" s="35">
        <v>1</v>
      </c>
    </row>
    <row r="63" spans="2:41" ht="125.25" customHeight="1" x14ac:dyDescent="0.2">
      <c r="C63" s="83"/>
      <c r="D63" s="83"/>
      <c r="AE63" s="42"/>
      <c r="AF63" s="29"/>
      <c r="AG63" s="34"/>
      <c r="AH63" s="30">
        <v>1</v>
      </c>
      <c r="AI63" s="30"/>
      <c r="AJ63" s="35">
        <v>1</v>
      </c>
    </row>
    <row r="64" spans="2:41" ht="112.5" customHeight="1" thickBot="1" x14ac:dyDescent="0.25">
      <c r="C64" s="83"/>
      <c r="D64" s="83"/>
      <c r="AE64" s="42"/>
      <c r="AG64" s="36">
        <f>SUM(AG9:AG59)</f>
        <v>24</v>
      </c>
      <c r="AH64" s="37">
        <f>SUM(AH9:AH63)</f>
        <v>18</v>
      </c>
      <c r="AI64" s="37">
        <f>SUM(AI9:AI63)</f>
        <v>5</v>
      </c>
      <c r="AJ64" s="38">
        <f>SUM(AJ9:AJ63)</f>
        <v>47</v>
      </c>
    </row>
    <row r="65" spans="3:31" ht="94.5" customHeight="1" x14ac:dyDescent="0.2">
      <c r="C65" s="83"/>
      <c r="D65" s="83"/>
      <c r="AE65" s="42"/>
    </row>
    <row r="66" spans="3:31" ht="100.5" customHeight="1" x14ac:dyDescent="0.2">
      <c r="C66" s="83"/>
      <c r="D66" s="83"/>
      <c r="AE66" s="42"/>
    </row>
    <row r="67" spans="3:31" ht="226.5" customHeight="1" x14ac:dyDescent="0.2">
      <c r="C67" s="83"/>
      <c r="D67" s="83"/>
      <c r="AE67" s="42"/>
    </row>
    <row r="68" spans="3:31" ht="67.5" customHeight="1" x14ac:dyDescent="0.2">
      <c r="C68" s="83"/>
      <c r="D68" s="83"/>
      <c r="AE68" s="42"/>
    </row>
    <row r="69" spans="3:31" ht="90.75" customHeight="1" x14ac:dyDescent="0.2">
      <c r="C69" s="83"/>
      <c r="D69" s="83"/>
      <c r="AE69" s="42"/>
    </row>
    <row r="70" spans="3:31" ht="75" customHeight="1" x14ac:dyDescent="0.2">
      <c r="C70" s="83"/>
      <c r="D70" s="83"/>
      <c r="AE70" s="42"/>
    </row>
    <row r="71" spans="3:31" x14ac:dyDescent="0.2">
      <c r="C71" s="83"/>
      <c r="D71" s="83"/>
      <c r="AE71" s="42"/>
    </row>
    <row r="72" spans="3:31" ht="43.5" customHeight="1" x14ac:dyDescent="0.2">
      <c r="C72" s="83"/>
      <c r="D72" s="83"/>
      <c r="AE72" s="42"/>
    </row>
    <row r="73" spans="3:31" ht="49.5" customHeight="1" x14ac:dyDescent="0.2">
      <c r="C73" s="83"/>
      <c r="D73" s="83"/>
      <c r="AE73" s="42"/>
    </row>
    <row r="74" spans="3:31" ht="232.5" customHeight="1" x14ac:dyDescent="0.2">
      <c r="C74" s="83"/>
      <c r="D74" s="83"/>
      <c r="H74" s="83"/>
      <c r="I74" s="83"/>
      <c r="AE74" s="42"/>
    </row>
    <row r="75" spans="3:31" x14ac:dyDescent="0.2">
      <c r="C75" s="83"/>
      <c r="D75" s="83"/>
      <c r="AE75" s="42"/>
    </row>
    <row r="76" spans="3:31" ht="241.5" customHeight="1" x14ac:dyDescent="0.2">
      <c r="C76" s="83"/>
      <c r="D76" s="83"/>
      <c r="AE76" s="42"/>
    </row>
    <row r="77" spans="3:31" x14ac:dyDescent="0.2">
      <c r="AE77" s="42"/>
    </row>
    <row r="78" spans="3:31" x14ac:dyDescent="0.2">
      <c r="AE78" s="42"/>
    </row>
    <row r="79" spans="3:31" x14ac:dyDescent="0.2">
      <c r="AE79" s="42"/>
    </row>
    <row r="80" spans="3:31" x14ac:dyDescent="0.2">
      <c r="AE80" s="42"/>
    </row>
  </sheetData>
  <autoFilter ref="B8:AC14"/>
  <mergeCells count="56">
    <mergeCell ref="B9:B16"/>
    <mergeCell ref="AE9:AE16"/>
    <mergeCell ref="AO47:AO50"/>
    <mergeCell ref="AO51:AO54"/>
    <mergeCell ref="AO26:AO31"/>
    <mergeCell ref="AO32:AO35"/>
    <mergeCell ref="AO36:AO37"/>
    <mergeCell ref="AO38:AO41"/>
    <mergeCell ref="AG41:AG42"/>
    <mergeCell ref="AH41:AH42"/>
    <mergeCell ref="AI41:AI42"/>
    <mergeCell ref="AJ41:AJ42"/>
    <mergeCell ref="AO42:AO46"/>
    <mergeCell ref="H21:I21"/>
    <mergeCell ref="M21:N21"/>
    <mergeCell ref="O21:P21"/>
    <mergeCell ref="F22:G22"/>
    <mergeCell ref="H22:I22"/>
    <mergeCell ref="AG7:AJ7"/>
    <mergeCell ref="H23:I23"/>
    <mergeCell ref="AO18:AO25"/>
    <mergeCell ref="F19:G19"/>
    <mergeCell ref="H19:I19"/>
    <mergeCell ref="M19:N19"/>
    <mergeCell ref="O19:P19"/>
    <mergeCell ref="F20:G20"/>
    <mergeCell ref="H20:I20"/>
    <mergeCell ref="M20:N20"/>
    <mergeCell ref="O20:P20"/>
    <mergeCell ref="F21:G21"/>
    <mergeCell ref="H18:K18"/>
    <mergeCell ref="M18:P18"/>
    <mergeCell ref="B6:I6"/>
    <mergeCell ref="J6:N7"/>
    <mergeCell ref="O6:P6"/>
    <mergeCell ref="Q6:U7"/>
    <mergeCell ref="V6:AE6"/>
    <mergeCell ref="B7:B8"/>
    <mergeCell ref="C7:C8"/>
    <mergeCell ref="D7:D8"/>
    <mergeCell ref="O7:P7"/>
    <mergeCell ref="V7:Y7"/>
    <mergeCell ref="Z7:AD7"/>
    <mergeCell ref="AE7:AE8"/>
    <mergeCell ref="B5:AE5"/>
    <mergeCell ref="B2:AE2"/>
    <mergeCell ref="B3:F3"/>
    <mergeCell ref="G3:N3"/>
    <mergeCell ref="O3:T3"/>
    <mergeCell ref="U3:AA3"/>
    <mergeCell ref="AB3:AE3"/>
    <mergeCell ref="B4:F4"/>
    <mergeCell ref="G4:N4"/>
    <mergeCell ref="O4:T4"/>
    <mergeCell ref="U4:AA4"/>
    <mergeCell ref="AB4:AE4"/>
  </mergeCells>
  <conditionalFormatting sqref="N9:P14">
    <cfRule type="cellIs" dxfId="125" priority="78" operator="equal">
      <formula>5</formula>
    </cfRule>
    <cfRule type="cellIs" priority="79" operator="equal">
      <formula>5</formula>
    </cfRule>
    <cfRule type="cellIs" dxfId="124" priority="80" operator="between">
      <formula>6</formula>
      <formula>30</formula>
    </cfRule>
    <cfRule type="cellIs" dxfId="123" priority="81" operator="between">
      <formula>31</formula>
      <formula>60</formula>
    </cfRule>
  </conditionalFormatting>
  <conditionalFormatting sqref="N9:P14">
    <cfRule type="containsErrors" dxfId="122" priority="77">
      <formula>ISERROR(N9)</formula>
    </cfRule>
  </conditionalFormatting>
  <conditionalFormatting sqref="J9:J14">
    <cfRule type="containsText" dxfId="121" priority="76" operator="containsText" text="N/A">
      <formula>NOT(ISERROR(SEARCH("N/A",J9)))</formula>
    </cfRule>
  </conditionalFormatting>
  <conditionalFormatting sqref="L9:L14">
    <cfRule type="containsText" dxfId="120" priority="75" operator="containsText" text="N/A">
      <formula>NOT(ISERROR(SEARCH("N/A",L9)))</formula>
    </cfRule>
  </conditionalFormatting>
  <conditionalFormatting sqref="V9:Y14">
    <cfRule type="containsErrors" dxfId="119" priority="74">
      <formula>ISERROR(V9)</formula>
    </cfRule>
  </conditionalFormatting>
  <conditionalFormatting sqref="U9:U14">
    <cfRule type="cellIs" dxfId="118" priority="70" operator="equal">
      <formula>5</formula>
    </cfRule>
    <cfRule type="cellIs" priority="71" operator="equal">
      <formula>5</formula>
    </cfRule>
    <cfRule type="cellIs" dxfId="117" priority="72" operator="between">
      <formula>6</formula>
      <formula>30</formula>
    </cfRule>
    <cfRule type="cellIs" dxfId="116" priority="73" operator="between">
      <formula>31</formula>
      <formula>60</formula>
    </cfRule>
  </conditionalFormatting>
  <conditionalFormatting sqref="U9:U14">
    <cfRule type="containsErrors" dxfId="115" priority="69">
      <formula>ISERROR(U9)</formula>
    </cfRule>
  </conditionalFormatting>
  <conditionalFormatting sqref="Q9:Q14">
    <cfRule type="containsText" dxfId="114" priority="68" operator="containsText" text="N/A">
      <formula>NOT(ISERROR(SEARCH("N/A",Q9)))</formula>
    </cfRule>
  </conditionalFormatting>
  <conditionalFormatting sqref="S9:S14">
    <cfRule type="containsText" dxfId="113" priority="67" operator="containsText" text="N/A">
      <formula>NOT(ISERROR(SEARCH("N/A",S9)))</formula>
    </cfRule>
  </conditionalFormatting>
  <conditionalFormatting sqref="M20 O20">
    <cfRule type="cellIs" dxfId="112" priority="63" operator="equal">
      <formula>5</formula>
    </cfRule>
    <cfRule type="cellIs" priority="64" operator="equal">
      <formula>5</formula>
    </cfRule>
    <cfRule type="cellIs" dxfId="111" priority="65" operator="between">
      <formula>6</formula>
      <formula>30</formula>
    </cfRule>
    <cfRule type="cellIs" dxfId="110" priority="66" operator="between">
      <formula>31</formula>
      <formula>60</formula>
    </cfRule>
  </conditionalFormatting>
  <conditionalFormatting sqref="M20 O20">
    <cfRule type="containsErrors" dxfId="109" priority="62">
      <formula>ISERROR(M20)</formula>
    </cfRule>
  </conditionalFormatting>
  <conditionalFormatting sqref="K9:K14">
    <cfRule type="containsText" dxfId="108" priority="61" operator="containsText" text="N/A">
      <formula>NOT(ISERROR(SEARCH("N/A",K9)))</formula>
    </cfRule>
  </conditionalFormatting>
  <conditionalFormatting sqref="M9:M14">
    <cfRule type="containsText" dxfId="107" priority="60" operator="containsText" text="N/A">
      <formula>NOT(ISERROR(SEARCH("N/A",M9)))</formula>
    </cfRule>
  </conditionalFormatting>
  <conditionalFormatting sqref="R9:R14">
    <cfRule type="containsText" dxfId="106" priority="59" operator="containsText" text="N/A">
      <formula>NOT(ISERROR(SEARCH("N/A",R9)))</formula>
    </cfRule>
  </conditionalFormatting>
  <conditionalFormatting sqref="T9:T14">
    <cfRule type="containsText" dxfId="105" priority="58" operator="containsText" text="N/A">
      <formula>NOT(ISERROR(SEARCH("N/A",T9)))</formula>
    </cfRule>
  </conditionalFormatting>
  <conditionalFormatting sqref="O16:P16">
    <cfRule type="cellIs" dxfId="104" priority="54" operator="equal">
      <formula>5</formula>
    </cfRule>
    <cfRule type="cellIs" priority="55" operator="equal">
      <formula>5</formula>
    </cfRule>
    <cfRule type="cellIs" dxfId="103" priority="56" operator="between">
      <formula>6</formula>
      <formula>30</formula>
    </cfRule>
    <cfRule type="cellIs" dxfId="102" priority="57" operator="between">
      <formula>31</formula>
      <formula>60</formula>
    </cfRule>
  </conditionalFormatting>
  <conditionalFormatting sqref="O16:P16">
    <cfRule type="containsErrors" dxfId="101" priority="53">
      <formula>ISERROR(O16)</formula>
    </cfRule>
  </conditionalFormatting>
  <conditionalFormatting sqref="J16">
    <cfRule type="containsText" dxfId="100" priority="52" operator="containsText" text="N/A">
      <formula>NOT(ISERROR(SEARCH("N/A",J16)))</formula>
    </cfRule>
  </conditionalFormatting>
  <conditionalFormatting sqref="L16">
    <cfRule type="containsText" dxfId="99" priority="51" operator="containsText" text="N/A">
      <formula>NOT(ISERROR(SEARCH("N/A",L16)))</formula>
    </cfRule>
  </conditionalFormatting>
  <conditionalFormatting sqref="V16:Y16">
    <cfRule type="containsErrors" dxfId="98" priority="50">
      <formula>ISERROR(V16)</formula>
    </cfRule>
  </conditionalFormatting>
  <conditionalFormatting sqref="Q16">
    <cfRule type="containsText" dxfId="97" priority="44" operator="containsText" text="N/A">
      <formula>NOT(ISERROR(SEARCH("N/A",Q16)))</formula>
    </cfRule>
  </conditionalFormatting>
  <conditionalFormatting sqref="S16">
    <cfRule type="containsText" dxfId="96" priority="43" operator="containsText" text="N/A">
      <formula>NOT(ISERROR(SEARCH("N/A",S16)))</formula>
    </cfRule>
  </conditionalFormatting>
  <conditionalFormatting sqref="N15:P15 N16">
    <cfRule type="cellIs" dxfId="95" priority="16" operator="equal">
      <formula>5</formula>
    </cfRule>
    <cfRule type="cellIs" priority="17" operator="equal">
      <formula>5</formula>
    </cfRule>
    <cfRule type="cellIs" dxfId="94" priority="18" operator="between">
      <formula>6</formula>
      <formula>30</formula>
    </cfRule>
    <cfRule type="cellIs" dxfId="93" priority="19" operator="between">
      <formula>31</formula>
      <formula>60</formula>
    </cfRule>
  </conditionalFormatting>
  <conditionalFormatting sqref="N15:P15 N16">
    <cfRule type="containsErrors" dxfId="92" priority="15">
      <formula>ISERROR(N15)</formula>
    </cfRule>
  </conditionalFormatting>
  <conditionalFormatting sqref="J15">
    <cfRule type="containsText" dxfId="91" priority="14" operator="containsText" text="N/A">
      <formula>NOT(ISERROR(SEARCH("N/A",J15)))</formula>
    </cfRule>
  </conditionalFormatting>
  <conditionalFormatting sqref="V15:Y15">
    <cfRule type="containsErrors" dxfId="90" priority="12">
      <formula>ISERROR(V15)</formula>
    </cfRule>
  </conditionalFormatting>
  <conditionalFormatting sqref="K15:K16">
    <cfRule type="containsText" dxfId="89" priority="6" operator="containsText" text="N/A">
      <formula>NOT(ISERROR(SEARCH("N/A",K15)))</formula>
    </cfRule>
  </conditionalFormatting>
  <conditionalFormatting sqref="M15:M16">
    <cfRule type="containsText" dxfId="88" priority="4" operator="containsText" text="N/A">
      <formula>NOT(ISERROR(SEARCH("N/A",M15)))</formula>
    </cfRule>
  </conditionalFormatting>
  <conditionalFormatting sqref="R15:R16">
    <cfRule type="containsText" dxfId="87" priority="3" operator="containsText" text="N/A">
      <formula>NOT(ISERROR(SEARCH("N/A",R15)))</formula>
    </cfRule>
  </conditionalFormatting>
  <conditionalFormatting sqref="T15:T16">
    <cfRule type="containsText" dxfId="86" priority="2" operator="containsText" text="N/A">
      <formula>NOT(ISERROR(SEARCH("N/A",T15)))</formula>
    </cfRule>
  </conditionalFormatting>
  <conditionalFormatting sqref="L15">
    <cfRule type="containsText" dxfId="85" priority="5" operator="containsText" text="N/A">
      <formula>NOT(ISERROR(SEARCH("N/A",L15)))</formula>
    </cfRule>
    <cfRule type="containsText" dxfId="84" priority="13" operator="containsText" text="N/A">
      <formula>NOT(ISERROR(SEARCH("N/A",L15)))</formula>
    </cfRule>
  </conditionalFormatting>
  <conditionalFormatting sqref="Q15">
    <cfRule type="containsText" dxfId="83" priority="11" operator="containsText" text="N/A">
      <formula>NOT(ISERROR(SEARCH("N/A",Q15)))</formula>
    </cfRule>
  </conditionalFormatting>
  <conditionalFormatting sqref="S15">
    <cfRule type="containsText" dxfId="82" priority="10" operator="containsText" text="N/A">
      <formula>NOT(ISERROR(SEARCH("N/A",S15)))</formula>
    </cfRule>
  </conditionalFormatting>
  <conditionalFormatting sqref="U15:U16">
    <cfRule type="containsErrors" dxfId="81" priority="1">
      <formula>ISERROR(U15)</formula>
    </cfRule>
    <cfRule type="cellIs" dxfId="80" priority="7" operator="between">
      <formula>31</formula>
      <formula>60</formula>
    </cfRule>
    <cfRule type="cellIs" dxfId="79" priority="8" operator="between">
      <formula>6</formula>
      <formula>30</formula>
    </cfRule>
    <cfRule type="cellIs" dxfId="78" priority="9" operator="equal">
      <formula>5</formula>
    </cfRule>
  </conditionalFormatting>
  <dataValidations count="3">
    <dataValidation type="list" allowBlank="1" showInputMessage="1" showErrorMessage="1" sqref="C9:C16">
      <formula1>$AM$8:$AM$9</formula1>
    </dataValidation>
    <dataValidation type="list" allowBlank="1" showInputMessage="1" showErrorMessage="1" sqref="S9:S16 L9:L16">
      <formula1>$AL$8:$AL$11</formula1>
    </dataValidation>
    <dataValidation type="list" allowBlank="1" showInputMessage="1" showErrorMessage="1" sqref="Q9:Q16 J9:J16">
      <formula1>$AK$8:$AK$11</formula1>
    </dataValidation>
  </dataValidations>
  <printOptions verticalCentered="1"/>
  <pageMargins left="0.19685039370078741" right="0.59055118110236227" top="0.39370078740157483" bottom="0.47244094488188981" header="0" footer="0"/>
  <pageSetup scale="16" fitToHeight="0" orientation="landscape" r:id="rId1"/>
  <headerFooter alignWithMargins="0">
    <oddFooter>&amp;C&amp;8Página &amp;P de &amp;N</oddFooter>
  </headerFooter>
  <colBreaks count="1" manualBreakCount="1">
    <brk id="31" max="1048575" man="1"/>
  </colBreaks>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pageSetUpPr fitToPage="1"/>
  </sheetPr>
  <dimension ref="B1:AO85"/>
  <sheetViews>
    <sheetView showGridLines="0" view="pageBreakPreview" topLeftCell="V19" zoomScale="60" zoomScaleNormal="25" zoomScalePageLayoutView="75" workbookViewId="0">
      <selection activeCell="AD12" sqref="AD12"/>
    </sheetView>
  </sheetViews>
  <sheetFormatPr baseColWidth="10" defaultColWidth="33.85546875" defaultRowHeight="23.25" x14ac:dyDescent="0.2"/>
  <cols>
    <col min="1" max="1" width="2.140625" style="24" customWidth="1"/>
    <col min="2" max="2" width="17.42578125" style="24" customWidth="1"/>
    <col min="3" max="3" width="23.140625" style="24" customWidth="1"/>
    <col min="4" max="4" width="27.7109375" style="24" customWidth="1"/>
    <col min="5" max="5" width="62.28515625" style="24" bestFit="1" customWidth="1"/>
    <col min="6" max="6" width="28.28515625" style="24" customWidth="1"/>
    <col min="7" max="7" width="30.85546875" style="24" customWidth="1"/>
    <col min="8" max="8" width="36.85546875" style="24" customWidth="1"/>
    <col min="9" max="9" width="32.28515625" style="24" customWidth="1"/>
    <col min="10" max="13" width="15.7109375" style="24" customWidth="1"/>
    <col min="14" max="14" width="29" style="24" customWidth="1"/>
    <col min="15" max="16" width="61.28515625" style="24" customWidth="1"/>
    <col min="17" max="18" width="14.85546875" style="24" customWidth="1"/>
    <col min="19" max="19" width="18.28515625" style="24" customWidth="1"/>
    <col min="20" max="20" width="16.28515625" style="24" customWidth="1"/>
    <col min="21" max="21" width="18.7109375" style="24" customWidth="1"/>
    <col min="22" max="25" width="16.28515625" style="24" customWidth="1"/>
    <col min="26" max="26" width="39.5703125" style="24" customWidth="1"/>
    <col min="27" max="28" width="28" style="24" customWidth="1"/>
    <col min="29" max="29" width="29.42578125" style="24" customWidth="1"/>
    <col min="30" max="30" width="49.42578125" style="24" customWidth="1"/>
    <col min="31" max="31" width="23.140625" style="41" customWidth="1"/>
    <col min="32" max="32" width="17.7109375" style="24" customWidth="1"/>
    <col min="33" max="36" width="33.85546875" style="24" customWidth="1"/>
    <col min="37" max="16384" width="33.85546875" style="24"/>
  </cols>
  <sheetData>
    <row r="1" spans="2:41" ht="9" customHeight="1" x14ac:dyDescent="0.2"/>
    <row r="2" spans="2:41" s="28" customFormat="1" ht="125.25" customHeight="1" thickBot="1" x14ac:dyDescent="0.25">
      <c r="B2" s="385" t="s">
        <v>109</v>
      </c>
      <c r="C2" s="386"/>
      <c r="D2" s="386"/>
      <c r="E2" s="386"/>
      <c r="F2" s="386"/>
      <c r="G2" s="386"/>
      <c r="H2" s="386"/>
      <c r="I2" s="386"/>
      <c r="J2" s="386"/>
      <c r="K2" s="386"/>
      <c r="L2" s="386"/>
      <c r="M2" s="386"/>
      <c r="N2" s="386"/>
      <c r="O2" s="386"/>
      <c r="P2" s="386"/>
      <c r="Q2" s="386"/>
      <c r="R2" s="386"/>
      <c r="S2" s="386"/>
      <c r="T2" s="386"/>
      <c r="U2" s="386"/>
      <c r="V2" s="386"/>
      <c r="W2" s="386"/>
      <c r="X2" s="386"/>
      <c r="Y2" s="386"/>
      <c r="Z2" s="386"/>
      <c r="AA2" s="386"/>
      <c r="AB2" s="386"/>
      <c r="AC2" s="386"/>
      <c r="AD2" s="386"/>
      <c r="AE2" s="386"/>
      <c r="AF2" s="31"/>
    </row>
    <row r="3" spans="2:41" s="29" customFormat="1" ht="66" customHeight="1" thickBot="1" x14ac:dyDescent="0.25">
      <c r="B3" s="387" t="s">
        <v>37</v>
      </c>
      <c r="C3" s="388"/>
      <c r="D3" s="388"/>
      <c r="E3" s="388"/>
      <c r="F3" s="388"/>
      <c r="G3" s="387" t="s">
        <v>108</v>
      </c>
      <c r="H3" s="388"/>
      <c r="I3" s="388"/>
      <c r="J3" s="388"/>
      <c r="K3" s="388"/>
      <c r="L3" s="388"/>
      <c r="M3" s="388"/>
      <c r="N3" s="389"/>
      <c r="O3" s="387" t="s">
        <v>107</v>
      </c>
      <c r="P3" s="388"/>
      <c r="Q3" s="388"/>
      <c r="R3" s="388"/>
      <c r="S3" s="388"/>
      <c r="T3" s="389"/>
      <c r="U3" s="387" t="s">
        <v>38</v>
      </c>
      <c r="V3" s="388"/>
      <c r="W3" s="388"/>
      <c r="X3" s="388"/>
      <c r="Y3" s="388"/>
      <c r="Z3" s="388"/>
      <c r="AA3" s="389"/>
      <c r="AB3" s="387" t="s">
        <v>35</v>
      </c>
      <c r="AC3" s="388"/>
      <c r="AD3" s="388"/>
      <c r="AE3" s="389"/>
      <c r="AF3" s="32"/>
    </row>
    <row r="4" spans="2:41" s="29" customFormat="1" ht="72" customHeight="1" thickBot="1" x14ac:dyDescent="0.25">
      <c r="B4" s="390" t="s">
        <v>36</v>
      </c>
      <c r="C4" s="391"/>
      <c r="D4" s="391"/>
      <c r="E4" s="391"/>
      <c r="F4" s="391"/>
      <c r="G4" s="392">
        <v>42874</v>
      </c>
      <c r="H4" s="393"/>
      <c r="I4" s="393"/>
      <c r="J4" s="393"/>
      <c r="K4" s="393"/>
      <c r="L4" s="393"/>
      <c r="M4" s="393"/>
      <c r="N4" s="394"/>
      <c r="O4" s="395">
        <v>43700</v>
      </c>
      <c r="P4" s="396"/>
      <c r="Q4" s="396"/>
      <c r="R4" s="396"/>
      <c r="S4" s="396"/>
      <c r="T4" s="397"/>
      <c r="U4" s="390">
        <v>4</v>
      </c>
      <c r="V4" s="391"/>
      <c r="W4" s="391"/>
      <c r="X4" s="391"/>
      <c r="Y4" s="391"/>
      <c r="Z4" s="391"/>
      <c r="AA4" s="398"/>
      <c r="AB4" s="390" t="s">
        <v>50</v>
      </c>
      <c r="AC4" s="391"/>
      <c r="AD4" s="391"/>
      <c r="AE4" s="398"/>
      <c r="AF4" s="172"/>
    </row>
    <row r="5" spans="2:41" s="29" customFormat="1" ht="32.1" customHeight="1" thickBot="1" x14ac:dyDescent="0.25">
      <c r="B5" s="383" t="s">
        <v>690</v>
      </c>
      <c r="C5" s="384"/>
      <c r="D5" s="384"/>
      <c r="E5" s="384"/>
      <c r="F5" s="384"/>
      <c r="G5" s="384"/>
      <c r="H5" s="384"/>
      <c r="I5" s="384"/>
      <c r="J5" s="384"/>
      <c r="K5" s="384"/>
      <c r="L5" s="384"/>
      <c r="M5" s="384"/>
      <c r="N5" s="384"/>
      <c r="O5" s="384"/>
      <c r="P5" s="384"/>
      <c r="Q5" s="384"/>
      <c r="R5" s="384"/>
      <c r="S5" s="384"/>
      <c r="T5" s="384"/>
      <c r="U5" s="384"/>
      <c r="V5" s="384"/>
      <c r="W5" s="384"/>
      <c r="X5" s="384"/>
      <c r="Y5" s="384"/>
      <c r="Z5" s="384"/>
      <c r="AA5" s="384"/>
      <c r="AB5" s="384"/>
      <c r="AC5" s="384"/>
      <c r="AD5" s="384"/>
      <c r="AE5" s="384"/>
      <c r="AF5" s="172"/>
    </row>
    <row r="6" spans="2:41" s="29" customFormat="1" ht="54.95" customHeight="1" thickBot="1" x14ac:dyDescent="0.25">
      <c r="B6" s="409" t="s">
        <v>0</v>
      </c>
      <c r="C6" s="410"/>
      <c r="D6" s="410"/>
      <c r="E6" s="410"/>
      <c r="F6" s="410"/>
      <c r="G6" s="410"/>
      <c r="H6" s="410"/>
      <c r="I6" s="411"/>
      <c r="J6" s="412" t="s">
        <v>60</v>
      </c>
      <c r="K6" s="413"/>
      <c r="L6" s="413"/>
      <c r="M6" s="413"/>
      <c r="N6" s="414"/>
      <c r="O6" s="418" t="s">
        <v>92</v>
      </c>
      <c r="P6" s="419"/>
      <c r="Q6" s="420" t="s">
        <v>61</v>
      </c>
      <c r="R6" s="421"/>
      <c r="S6" s="421"/>
      <c r="T6" s="421"/>
      <c r="U6" s="422"/>
      <c r="V6" s="426" t="s">
        <v>56</v>
      </c>
      <c r="W6" s="427"/>
      <c r="X6" s="427"/>
      <c r="Y6" s="427"/>
      <c r="Z6" s="427"/>
      <c r="AA6" s="427"/>
      <c r="AB6" s="427"/>
      <c r="AC6" s="427"/>
      <c r="AD6" s="427"/>
      <c r="AE6" s="428"/>
    </row>
    <row r="7" spans="2:41" s="29" customFormat="1" ht="90" customHeight="1" thickBot="1" x14ac:dyDescent="0.25">
      <c r="B7" s="429" t="s">
        <v>8</v>
      </c>
      <c r="C7" s="430" t="s">
        <v>58</v>
      </c>
      <c r="D7" s="432" t="s">
        <v>89</v>
      </c>
      <c r="E7" s="76" t="s">
        <v>59</v>
      </c>
      <c r="F7" s="43" t="s">
        <v>9</v>
      </c>
      <c r="G7" s="43" t="s">
        <v>102</v>
      </c>
      <c r="H7" s="43" t="s">
        <v>10</v>
      </c>
      <c r="I7" s="95" t="s">
        <v>57</v>
      </c>
      <c r="J7" s="415"/>
      <c r="K7" s="416"/>
      <c r="L7" s="416"/>
      <c r="M7" s="416"/>
      <c r="N7" s="417"/>
      <c r="O7" s="433" t="s">
        <v>101</v>
      </c>
      <c r="P7" s="434"/>
      <c r="Q7" s="423"/>
      <c r="R7" s="424"/>
      <c r="S7" s="424"/>
      <c r="T7" s="424"/>
      <c r="U7" s="425"/>
      <c r="V7" s="435" t="s">
        <v>94</v>
      </c>
      <c r="W7" s="436"/>
      <c r="X7" s="436"/>
      <c r="Y7" s="437"/>
      <c r="Z7" s="475" t="s">
        <v>51</v>
      </c>
      <c r="AA7" s="476"/>
      <c r="AB7" s="476"/>
      <c r="AC7" s="476"/>
      <c r="AD7" s="477"/>
      <c r="AE7" s="445" t="s">
        <v>25</v>
      </c>
      <c r="AG7" s="399" t="s">
        <v>43</v>
      </c>
      <c r="AH7" s="399"/>
      <c r="AI7" s="399"/>
      <c r="AJ7" s="399"/>
      <c r="AK7" s="29" t="s">
        <v>65</v>
      </c>
      <c r="AL7" s="29" t="s">
        <v>66</v>
      </c>
    </row>
    <row r="8" spans="2:41" s="29" customFormat="1" ht="202.5" customHeight="1" thickBot="1" x14ac:dyDescent="0.25">
      <c r="B8" s="429"/>
      <c r="C8" s="431"/>
      <c r="D8" s="431"/>
      <c r="E8" s="255" t="s">
        <v>7</v>
      </c>
      <c r="F8" s="23" t="s">
        <v>62</v>
      </c>
      <c r="G8" s="23" t="s">
        <v>13</v>
      </c>
      <c r="H8" s="23" t="s">
        <v>63</v>
      </c>
      <c r="I8" s="23" t="s">
        <v>64</v>
      </c>
      <c r="J8" s="96" t="s">
        <v>11</v>
      </c>
      <c r="K8" s="102" t="s">
        <v>12</v>
      </c>
      <c r="L8" s="97" t="s">
        <v>1</v>
      </c>
      <c r="M8" s="102" t="s">
        <v>2</v>
      </c>
      <c r="N8" s="106" t="s">
        <v>93</v>
      </c>
      <c r="O8" s="104" t="s">
        <v>90</v>
      </c>
      <c r="P8" s="105" t="s">
        <v>91</v>
      </c>
      <c r="Q8" s="101" t="s">
        <v>11</v>
      </c>
      <c r="R8" s="102" t="s">
        <v>12</v>
      </c>
      <c r="S8" s="102" t="s">
        <v>1</v>
      </c>
      <c r="T8" s="102" t="s">
        <v>2</v>
      </c>
      <c r="U8" s="103" t="s">
        <v>100</v>
      </c>
      <c r="V8" s="98" t="s">
        <v>95</v>
      </c>
      <c r="W8" s="99" t="s">
        <v>96</v>
      </c>
      <c r="X8" s="99" t="s">
        <v>97</v>
      </c>
      <c r="Y8" s="100" t="s">
        <v>98</v>
      </c>
      <c r="Z8" s="53" t="s">
        <v>52</v>
      </c>
      <c r="AA8" s="54" t="s">
        <v>53</v>
      </c>
      <c r="AB8" s="55" t="s">
        <v>54</v>
      </c>
      <c r="AC8" s="54" t="s">
        <v>55</v>
      </c>
      <c r="AD8" s="108" t="s">
        <v>99</v>
      </c>
      <c r="AE8" s="446"/>
      <c r="AG8" s="73" t="s">
        <v>39</v>
      </c>
      <c r="AH8" s="74" t="s">
        <v>40</v>
      </c>
      <c r="AI8" s="74" t="s">
        <v>41</v>
      </c>
      <c r="AJ8" s="75" t="s">
        <v>42</v>
      </c>
      <c r="AK8" s="86" t="s">
        <v>83</v>
      </c>
      <c r="AL8" s="86" t="s">
        <v>83</v>
      </c>
      <c r="AM8" s="29" t="s">
        <v>69</v>
      </c>
      <c r="AN8" s="29" t="s">
        <v>70</v>
      </c>
      <c r="AO8" s="91"/>
    </row>
    <row r="9" spans="2:41" s="29" customFormat="1" ht="212.25" customHeight="1" x14ac:dyDescent="0.2">
      <c r="B9" s="400" t="s">
        <v>210</v>
      </c>
      <c r="C9" s="78" t="s">
        <v>69</v>
      </c>
      <c r="D9" s="94" t="s">
        <v>75</v>
      </c>
      <c r="E9" s="364" t="s">
        <v>221</v>
      </c>
      <c r="F9" s="116" t="s">
        <v>508</v>
      </c>
      <c r="G9" s="116" t="s">
        <v>211</v>
      </c>
      <c r="H9" s="116" t="s">
        <v>213</v>
      </c>
      <c r="I9" s="116" t="s">
        <v>212</v>
      </c>
      <c r="J9" s="87">
        <v>2</v>
      </c>
      <c r="K9" s="87" t="str">
        <f>IF(J9=3,"ALTO",IF(J9=2,"MEDIO",IF(J9="N/A","N/A","BAJO")))</f>
        <v>MEDIO</v>
      </c>
      <c r="L9" s="44">
        <v>20</v>
      </c>
      <c r="M9" s="87" t="str">
        <f>IF(L9=20,"ALTO",IF(L9=10,"MEDIO",IF(L9="N/A","N/A","BAJO")))</f>
        <v>ALTO</v>
      </c>
      <c r="N9" s="89">
        <f>J9*L9</f>
        <v>40</v>
      </c>
      <c r="O9" s="120" t="s">
        <v>520</v>
      </c>
      <c r="P9" s="120" t="s">
        <v>793</v>
      </c>
      <c r="Q9" s="87">
        <v>1</v>
      </c>
      <c r="R9" s="87" t="str">
        <f>IF(Q9=3,"ALTO",IF(Q9=2,"MEDIO",IF(Q9="N/A","N/A","BAJO")))</f>
        <v>BAJO</v>
      </c>
      <c r="S9" s="87">
        <v>20</v>
      </c>
      <c r="T9" s="44" t="str">
        <f>IF(S9=20,"ALTO",IF(S9=10,"MEDIO",IF(S9="N/A","N/A","BAJO")))</f>
        <v>ALTO</v>
      </c>
      <c r="U9" s="107">
        <f>Q9*S9</f>
        <v>20</v>
      </c>
      <c r="V9" s="58"/>
      <c r="W9" s="58" t="s">
        <v>116</v>
      </c>
      <c r="X9" s="58"/>
      <c r="Y9" s="58"/>
      <c r="Z9" s="121" t="s">
        <v>509</v>
      </c>
      <c r="AA9" s="121" t="s">
        <v>510</v>
      </c>
      <c r="AB9" s="229" t="s">
        <v>511</v>
      </c>
      <c r="AC9" s="123" t="s">
        <v>367</v>
      </c>
      <c r="AD9" s="116" t="s">
        <v>512</v>
      </c>
      <c r="AE9" s="403">
        <v>44055</v>
      </c>
      <c r="AG9" s="51">
        <v>1</v>
      </c>
      <c r="AH9" s="52"/>
      <c r="AI9" s="52"/>
      <c r="AJ9" s="50">
        <f>SUM(AG9:AI9)</f>
        <v>1</v>
      </c>
      <c r="AK9" s="29">
        <v>1</v>
      </c>
      <c r="AL9" s="29">
        <v>5</v>
      </c>
      <c r="AM9" s="29" t="s">
        <v>72</v>
      </c>
      <c r="AN9" s="29" t="s">
        <v>605</v>
      </c>
      <c r="AO9" s="92"/>
    </row>
    <row r="10" spans="2:41" s="29" customFormat="1" ht="149.25" customHeight="1" x14ac:dyDescent="0.2">
      <c r="B10" s="401"/>
      <c r="C10" s="79" t="s">
        <v>69</v>
      </c>
      <c r="D10" s="174" t="s">
        <v>75</v>
      </c>
      <c r="E10" s="233" t="s">
        <v>214</v>
      </c>
      <c r="F10" s="117" t="s">
        <v>975</v>
      </c>
      <c r="G10" s="117" t="s">
        <v>974</v>
      </c>
      <c r="H10" s="117" t="s">
        <v>973</v>
      </c>
      <c r="I10" s="117" t="s">
        <v>972</v>
      </c>
      <c r="J10" s="87">
        <v>3</v>
      </c>
      <c r="K10" s="56" t="str">
        <f t="shared" ref="K10:K21" si="0">IF(J10=3,"ALTO",IF(J10=2,"MEDIO",IF(J10="N/A","N/A","BAJO")))</f>
        <v>ALTO</v>
      </c>
      <c r="L10" s="56">
        <v>20</v>
      </c>
      <c r="M10" s="56" t="str">
        <f t="shared" ref="M10:M21" si="1">IF(L10=20,"ALTO",IF(L10=10,"MEDIO",IF(L10="N/A","N/A","BAJO")))</f>
        <v>ALTO</v>
      </c>
      <c r="N10" s="88">
        <f t="shared" ref="N10:N21" si="2">J10*L10</f>
        <v>60</v>
      </c>
      <c r="O10" s="131" t="s">
        <v>794</v>
      </c>
      <c r="P10" s="131" t="s">
        <v>795</v>
      </c>
      <c r="Q10" s="87">
        <v>2</v>
      </c>
      <c r="R10" s="87" t="str">
        <f t="shared" ref="R10:R21" si="3">IF(Q10=3,"ALTO",IF(Q10=2,"MEDIO",IF(Q10="N/A","N/A","BAJO")))</f>
        <v>MEDIO</v>
      </c>
      <c r="S10" s="56">
        <v>10</v>
      </c>
      <c r="T10" s="87" t="str">
        <f t="shared" ref="T10:T21" si="4">IF(S10=20,"ALTO",IF(S10=10,"MEDIO",IF(S10="N/A","N/A","BAJO")))</f>
        <v>MEDIO</v>
      </c>
      <c r="U10" s="88">
        <f t="shared" ref="U10:U21" si="5">Q10*S10</f>
        <v>20</v>
      </c>
      <c r="V10" s="58"/>
      <c r="W10" s="58" t="s">
        <v>116</v>
      </c>
      <c r="X10" s="58"/>
      <c r="Y10" s="58"/>
      <c r="Z10" s="124" t="s">
        <v>513</v>
      </c>
      <c r="AA10" s="124" t="s">
        <v>514</v>
      </c>
      <c r="AB10" s="154" t="s">
        <v>215</v>
      </c>
      <c r="AC10" s="126" t="s">
        <v>216</v>
      </c>
      <c r="AD10" s="117" t="s">
        <v>515</v>
      </c>
      <c r="AE10" s="404"/>
      <c r="AG10" s="173"/>
      <c r="AH10" s="174">
        <v>1</v>
      </c>
      <c r="AI10" s="174"/>
      <c r="AJ10" s="175">
        <f t="shared" ref="AJ10:AJ33" si="6">SUM(AG10:AI10)</f>
        <v>1</v>
      </c>
      <c r="AK10" s="29">
        <v>2</v>
      </c>
      <c r="AL10" s="29">
        <v>10</v>
      </c>
      <c r="AN10" s="29" t="s">
        <v>75</v>
      </c>
      <c r="AO10" s="92"/>
    </row>
    <row r="11" spans="2:41" s="29" customFormat="1" ht="180" customHeight="1" x14ac:dyDescent="0.2">
      <c r="B11" s="401"/>
      <c r="C11" s="155" t="s">
        <v>69</v>
      </c>
      <c r="D11" s="156" t="s">
        <v>720</v>
      </c>
      <c r="E11" s="233" t="s">
        <v>220</v>
      </c>
      <c r="F11" s="158" t="s">
        <v>217</v>
      </c>
      <c r="G11" s="158" t="s">
        <v>218</v>
      </c>
      <c r="H11" s="158" t="s">
        <v>219</v>
      </c>
      <c r="I11" s="158" t="s">
        <v>976</v>
      </c>
      <c r="J11" s="177">
        <v>3</v>
      </c>
      <c r="K11" s="159" t="str">
        <f t="shared" si="0"/>
        <v>ALTO</v>
      </c>
      <c r="L11" s="159">
        <v>20</v>
      </c>
      <c r="M11" s="159" t="str">
        <f t="shared" si="1"/>
        <v>ALTO</v>
      </c>
      <c r="N11" s="190">
        <f t="shared" si="2"/>
        <v>60</v>
      </c>
      <c r="O11" s="160" t="s">
        <v>796</v>
      </c>
      <c r="P11" s="160" t="s">
        <v>797</v>
      </c>
      <c r="Q11" s="177">
        <v>2</v>
      </c>
      <c r="R11" s="56" t="str">
        <f t="shared" si="3"/>
        <v>MEDIO</v>
      </c>
      <c r="S11" s="159">
        <v>20</v>
      </c>
      <c r="T11" s="56" t="str">
        <f t="shared" si="4"/>
        <v>ALTO</v>
      </c>
      <c r="U11" s="190">
        <f t="shared" si="5"/>
        <v>40</v>
      </c>
      <c r="V11" s="178"/>
      <c r="W11" s="178" t="s">
        <v>116</v>
      </c>
      <c r="X11" s="178"/>
      <c r="Y11" s="178"/>
      <c r="Z11" s="161" t="s">
        <v>798</v>
      </c>
      <c r="AA11" s="161" t="s">
        <v>516</v>
      </c>
      <c r="AB11" s="162" t="s">
        <v>222</v>
      </c>
      <c r="AC11" s="193" t="s">
        <v>517</v>
      </c>
      <c r="AD11" s="163" t="s">
        <v>512</v>
      </c>
      <c r="AE11" s="404"/>
      <c r="AG11" s="205">
        <v>1</v>
      </c>
      <c r="AH11" s="156"/>
      <c r="AI11" s="156"/>
      <c r="AJ11" s="206">
        <f t="shared" si="6"/>
        <v>1</v>
      </c>
      <c r="AK11" s="29">
        <v>3</v>
      </c>
      <c r="AL11" s="29">
        <v>20</v>
      </c>
      <c r="AN11" s="29" t="s">
        <v>86</v>
      </c>
      <c r="AO11" s="92"/>
    </row>
    <row r="12" spans="2:41" s="25" customFormat="1" ht="219.75" customHeight="1" x14ac:dyDescent="0.2">
      <c r="B12" s="401"/>
      <c r="C12" s="79" t="s">
        <v>69</v>
      </c>
      <c r="D12" s="187" t="s">
        <v>720</v>
      </c>
      <c r="E12" s="233" t="s">
        <v>223</v>
      </c>
      <c r="F12" s="158" t="s">
        <v>799</v>
      </c>
      <c r="G12" s="158" t="s">
        <v>224</v>
      </c>
      <c r="H12" s="158" t="s">
        <v>225</v>
      </c>
      <c r="I12" s="158" t="s">
        <v>226</v>
      </c>
      <c r="J12" s="56">
        <v>2</v>
      </c>
      <c r="K12" s="159" t="str">
        <f t="shared" si="0"/>
        <v>MEDIO</v>
      </c>
      <c r="L12" s="56">
        <v>20</v>
      </c>
      <c r="M12" s="159" t="str">
        <f t="shared" si="1"/>
        <v>ALTO</v>
      </c>
      <c r="N12" s="190">
        <f t="shared" si="2"/>
        <v>40</v>
      </c>
      <c r="O12" s="196" t="s">
        <v>518</v>
      </c>
      <c r="P12" s="196" t="s">
        <v>521</v>
      </c>
      <c r="Q12" s="56">
        <v>1</v>
      </c>
      <c r="R12" s="56" t="str">
        <f t="shared" si="3"/>
        <v>BAJO</v>
      </c>
      <c r="S12" s="56">
        <v>10</v>
      </c>
      <c r="T12" s="56" t="str">
        <f t="shared" si="4"/>
        <v>MEDIO</v>
      </c>
      <c r="U12" s="190">
        <f t="shared" si="5"/>
        <v>10</v>
      </c>
      <c r="V12" s="164" t="s">
        <v>116</v>
      </c>
      <c r="W12" s="164"/>
      <c r="X12" s="164"/>
      <c r="Y12" s="164"/>
      <c r="Z12" s="161" t="s">
        <v>519</v>
      </c>
      <c r="AA12" s="192" t="s">
        <v>522</v>
      </c>
      <c r="AB12" s="193" t="s">
        <v>215</v>
      </c>
      <c r="AC12" s="193" t="s">
        <v>800</v>
      </c>
      <c r="AD12" s="127" t="s">
        <v>523</v>
      </c>
      <c r="AE12" s="404"/>
      <c r="AG12" s="187"/>
      <c r="AH12" s="187"/>
      <c r="AI12" s="187"/>
      <c r="AJ12" s="187"/>
      <c r="AN12" s="29" t="s">
        <v>87</v>
      </c>
      <c r="AO12" s="208"/>
    </row>
    <row r="13" spans="2:41" s="25" customFormat="1" ht="135" customHeight="1" x14ac:dyDescent="0.2">
      <c r="B13" s="401"/>
      <c r="C13" s="79" t="s">
        <v>69</v>
      </c>
      <c r="D13" s="232" t="s">
        <v>720</v>
      </c>
      <c r="E13" s="233" t="s">
        <v>465</v>
      </c>
      <c r="F13" s="158" t="s">
        <v>466</v>
      </c>
      <c r="G13" s="158" t="s">
        <v>467</v>
      </c>
      <c r="H13" s="158" t="s">
        <v>801</v>
      </c>
      <c r="I13" s="158" t="s">
        <v>802</v>
      </c>
      <c r="J13" s="56">
        <v>2</v>
      </c>
      <c r="K13" s="159" t="str">
        <f t="shared" si="0"/>
        <v>MEDIO</v>
      </c>
      <c r="L13" s="56">
        <v>10</v>
      </c>
      <c r="M13" s="159" t="str">
        <f t="shared" si="1"/>
        <v>MEDIO</v>
      </c>
      <c r="N13" s="190">
        <f t="shared" si="2"/>
        <v>20</v>
      </c>
      <c r="O13" s="196" t="s">
        <v>803</v>
      </c>
      <c r="P13" s="196" t="s">
        <v>815</v>
      </c>
      <c r="Q13" s="56">
        <v>1</v>
      </c>
      <c r="R13" s="56" t="str">
        <f t="shared" si="3"/>
        <v>BAJO</v>
      </c>
      <c r="S13" s="56">
        <v>10</v>
      </c>
      <c r="T13" s="56" t="str">
        <f t="shared" si="4"/>
        <v>MEDIO</v>
      </c>
      <c r="U13" s="190">
        <f t="shared" si="5"/>
        <v>10</v>
      </c>
      <c r="V13" s="164"/>
      <c r="W13" s="164" t="s">
        <v>116</v>
      </c>
      <c r="X13" s="164"/>
      <c r="Y13" s="164"/>
      <c r="Z13" s="161" t="s">
        <v>804</v>
      </c>
      <c r="AA13" s="192" t="s">
        <v>502</v>
      </c>
      <c r="AB13" s="193" t="s">
        <v>215</v>
      </c>
      <c r="AC13" s="193" t="s">
        <v>243</v>
      </c>
      <c r="AD13" s="127" t="s">
        <v>524</v>
      </c>
      <c r="AE13" s="404"/>
      <c r="AG13" s="328"/>
      <c r="AH13" s="328"/>
      <c r="AI13" s="328"/>
      <c r="AJ13" s="328"/>
      <c r="AN13" s="29" t="s">
        <v>88</v>
      </c>
      <c r="AO13" s="208"/>
    </row>
    <row r="14" spans="2:41" s="25" customFormat="1" ht="108.75" customHeight="1" x14ac:dyDescent="0.2">
      <c r="B14" s="401"/>
      <c r="C14" s="379" t="s">
        <v>69</v>
      </c>
      <c r="D14" s="232" t="s">
        <v>720</v>
      </c>
      <c r="E14" s="233" t="s">
        <v>468</v>
      </c>
      <c r="F14" s="181" t="s">
        <v>469</v>
      </c>
      <c r="G14" s="181" t="s">
        <v>470</v>
      </c>
      <c r="H14" s="181" t="s">
        <v>805</v>
      </c>
      <c r="I14" s="181" t="s">
        <v>806</v>
      </c>
      <c r="J14" s="56">
        <v>2</v>
      </c>
      <c r="K14" s="159" t="str">
        <f t="shared" si="0"/>
        <v>MEDIO</v>
      </c>
      <c r="L14" s="56">
        <v>10</v>
      </c>
      <c r="M14" s="159" t="str">
        <f t="shared" si="1"/>
        <v>MEDIO</v>
      </c>
      <c r="N14" s="190">
        <f t="shared" si="2"/>
        <v>20</v>
      </c>
      <c r="O14" s="196" t="s">
        <v>525</v>
      </c>
      <c r="P14" s="196" t="s">
        <v>807</v>
      </c>
      <c r="Q14" s="56">
        <v>1</v>
      </c>
      <c r="R14" s="56" t="str">
        <f t="shared" si="3"/>
        <v>BAJO</v>
      </c>
      <c r="S14" s="56">
        <v>10</v>
      </c>
      <c r="T14" s="56" t="str">
        <f t="shared" si="4"/>
        <v>MEDIO</v>
      </c>
      <c r="U14" s="190">
        <f t="shared" si="5"/>
        <v>10</v>
      </c>
      <c r="V14" s="164"/>
      <c r="W14" s="164" t="s">
        <v>116</v>
      </c>
      <c r="X14" s="164"/>
      <c r="Y14" s="164"/>
      <c r="Z14" s="183" t="s">
        <v>526</v>
      </c>
      <c r="AA14" s="237" t="s">
        <v>634</v>
      </c>
      <c r="AB14" s="183" t="s">
        <v>527</v>
      </c>
      <c r="AC14" s="237" t="s">
        <v>464</v>
      </c>
      <c r="AD14" s="127" t="s">
        <v>523</v>
      </c>
      <c r="AE14" s="404"/>
      <c r="AG14" s="187"/>
      <c r="AH14" s="187"/>
      <c r="AI14" s="187"/>
      <c r="AJ14" s="187"/>
      <c r="AO14" s="208"/>
    </row>
    <row r="15" spans="2:41" s="230" customFormat="1" ht="140.25" customHeight="1" x14ac:dyDescent="0.2">
      <c r="B15" s="401"/>
      <c r="C15" s="379" t="s">
        <v>69</v>
      </c>
      <c r="D15" s="232" t="s">
        <v>720</v>
      </c>
      <c r="E15" s="233" t="s">
        <v>507</v>
      </c>
      <c r="F15" s="181" t="s">
        <v>528</v>
      </c>
      <c r="G15" s="181" t="s">
        <v>390</v>
      </c>
      <c r="H15" s="181" t="s">
        <v>529</v>
      </c>
      <c r="I15" s="181" t="s">
        <v>808</v>
      </c>
      <c r="J15" s="56">
        <v>2</v>
      </c>
      <c r="K15" s="159" t="str">
        <f t="shared" si="0"/>
        <v>MEDIO</v>
      </c>
      <c r="L15" s="56">
        <v>10</v>
      </c>
      <c r="M15" s="159" t="str">
        <f t="shared" si="1"/>
        <v>MEDIO</v>
      </c>
      <c r="N15" s="190">
        <f t="shared" si="2"/>
        <v>20</v>
      </c>
      <c r="O15" s="196" t="s">
        <v>530</v>
      </c>
      <c r="P15" s="196" t="s">
        <v>809</v>
      </c>
      <c r="Q15" s="56">
        <v>1</v>
      </c>
      <c r="R15" s="56" t="str">
        <f t="shared" si="3"/>
        <v>BAJO</v>
      </c>
      <c r="S15" s="56">
        <v>10</v>
      </c>
      <c r="T15" s="56" t="str">
        <f t="shared" si="4"/>
        <v>MEDIO</v>
      </c>
      <c r="U15" s="190">
        <f t="shared" si="5"/>
        <v>10</v>
      </c>
      <c r="V15" s="164"/>
      <c r="W15" s="164" t="s">
        <v>116</v>
      </c>
      <c r="X15" s="164"/>
      <c r="Y15" s="164"/>
      <c r="Z15" s="124" t="s">
        <v>804</v>
      </c>
      <c r="AA15" s="125" t="s">
        <v>502</v>
      </c>
      <c r="AB15" s="126" t="s">
        <v>215</v>
      </c>
      <c r="AC15" s="126" t="s">
        <v>243</v>
      </c>
      <c r="AD15" s="127" t="s">
        <v>524</v>
      </c>
      <c r="AE15" s="404"/>
      <c r="AG15" s="52"/>
      <c r="AH15" s="52"/>
      <c r="AI15" s="52"/>
      <c r="AJ15" s="52"/>
      <c r="AN15" s="29"/>
      <c r="AO15" s="231"/>
    </row>
    <row r="16" spans="2:41" s="230" customFormat="1" ht="180" customHeight="1" x14ac:dyDescent="0.2">
      <c r="B16" s="401"/>
      <c r="C16" s="379" t="s">
        <v>69</v>
      </c>
      <c r="D16" s="187" t="s">
        <v>720</v>
      </c>
      <c r="E16" s="233" t="s">
        <v>606</v>
      </c>
      <c r="F16" s="181" t="s">
        <v>607</v>
      </c>
      <c r="G16" s="181" t="s">
        <v>608</v>
      </c>
      <c r="H16" s="181" t="s">
        <v>810</v>
      </c>
      <c r="I16" s="181" t="s">
        <v>609</v>
      </c>
      <c r="J16" s="56">
        <v>2</v>
      </c>
      <c r="K16" s="159" t="str">
        <f t="shared" si="0"/>
        <v>MEDIO</v>
      </c>
      <c r="L16" s="56">
        <v>10</v>
      </c>
      <c r="M16" s="159" t="str">
        <f t="shared" si="1"/>
        <v>MEDIO</v>
      </c>
      <c r="N16" s="190">
        <f t="shared" si="2"/>
        <v>20</v>
      </c>
      <c r="O16" s="196" t="s">
        <v>811</v>
      </c>
      <c r="P16" s="196" t="s">
        <v>391</v>
      </c>
      <c r="Q16" s="56">
        <v>1</v>
      </c>
      <c r="R16" s="56" t="str">
        <f t="shared" si="3"/>
        <v>BAJO</v>
      </c>
      <c r="S16" s="56">
        <v>10</v>
      </c>
      <c r="T16" s="56" t="str">
        <f t="shared" si="4"/>
        <v>MEDIO</v>
      </c>
      <c r="U16" s="190">
        <f t="shared" si="5"/>
        <v>10</v>
      </c>
      <c r="V16" s="164"/>
      <c r="W16" s="164" t="s">
        <v>116</v>
      </c>
      <c r="X16" s="164"/>
      <c r="Y16" s="164"/>
      <c r="Z16" s="121" t="s">
        <v>392</v>
      </c>
      <c r="AA16" s="121" t="s">
        <v>393</v>
      </c>
      <c r="AB16" s="121" t="s">
        <v>394</v>
      </c>
      <c r="AC16" s="122" t="s">
        <v>216</v>
      </c>
      <c r="AD16" s="312" t="s">
        <v>610</v>
      </c>
      <c r="AE16" s="404"/>
      <c r="AG16" s="52"/>
      <c r="AH16" s="52"/>
      <c r="AI16" s="52"/>
      <c r="AJ16" s="52"/>
      <c r="AN16" s="29"/>
      <c r="AO16" s="231"/>
    </row>
    <row r="17" spans="2:41" s="230" customFormat="1" ht="306.75" customHeight="1" x14ac:dyDescent="0.2">
      <c r="B17" s="401"/>
      <c r="C17" s="381" t="s">
        <v>69</v>
      </c>
      <c r="D17" s="207" t="s">
        <v>721</v>
      </c>
      <c r="E17" s="194" t="s">
        <v>709</v>
      </c>
      <c r="F17" s="158" t="s">
        <v>729</v>
      </c>
      <c r="G17" s="158" t="s">
        <v>727</v>
      </c>
      <c r="H17" s="158" t="s">
        <v>728</v>
      </c>
      <c r="I17" s="158" t="s">
        <v>732</v>
      </c>
      <c r="J17" s="177">
        <v>3</v>
      </c>
      <c r="K17" s="159" t="str">
        <f t="shared" si="0"/>
        <v>ALTO</v>
      </c>
      <c r="L17" s="177">
        <v>20</v>
      </c>
      <c r="M17" s="159" t="str">
        <f t="shared" si="1"/>
        <v>ALTO</v>
      </c>
      <c r="N17" s="190">
        <f t="shared" si="2"/>
        <v>60</v>
      </c>
      <c r="O17" s="236" t="s">
        <v>730</v>
      </c>
      <c r="P17" s="236" t="s">
        <v>731</v>
      </c>
      <c r="Q17" s="177">
        <v>3</v>
      </c>
      <c r="R17" s="159" t="str">
        <f t="shared" si="3"/>
        <v>ALTO</v>
      </c>
      <c r="S17" s="177">
        <v>20</v>
      </c>
      <c r="T17" s="159" t="str">
        <f t="shared" si="4"/>
        <v>ALTO</v>
      </c>
      <c r="U17" s="190">
        <f t="shared" si="5"/>
        <v>60</v>
      </c>
      <c r="V17" s="178"/>
      <c r="W17" s="178" t="s">
        <v>116</v>
      </c>
      <c r="X17" s="178"/>
      <c r="Y17" s="178"/>
      <c r="Z17" s="197" t="s">
        <v>733</v>
      </c>
      <c r="AA17" s="197" t="s">
        <v>734</v>
      </c>
      <c r="AB17" s="124" t="s">
        <v>735</v>
      </c>
      <c r="AC17" s="198" t="s">
        <v>216</v>
      </c>
      <c r="AD17" s="200" t="s">
        <v>1006</v>
      </c>
      <c r="AE17" s="404"/>
      <c r="AG17" s="52"/>
      <c r="AH17" s="52"/>
      <c r="AI17" s="52"/>
      <c r="AJ17" s="52"/>
      <c r="AO17" s="231"/>
    </row>
    <row r="18" spans="2:41" s="48" customFormat="1" ht="215.25" customHeight="1" x14ac:dyDescent="0.2">
      <c r="B18" s="401"/>
      <c r="C18" s="379" t="s">
        <v>69</v>
      </c>
      <c r="D18" s="339" t="s">
        <v>87</v>
      </c>
      <c r="E18" s="45" t="s">
        <v>665</v>
      </c>
      <c r="F18" s="117" t="s">
        <v>674</v>
      </c>
      <c r="G18" s="117" t="s">
        <v>470</v>
      </c>
      <c r="H18" s="117" t="s">
        <v>675</v>
      </c>
      <c r="I18" s="117" t="s">
        <v>676</v>
      </c>
      <c r="J18" s="56">
        <v>2</v>
      </c>
      <c r="K18" s="159" t="str">
        <f t="shared" si="0"/>
        <v>MEDIO</v>
      </c>
      <c r="L18" s="56">
        <v>20</v>
      </c>
      <c r="M18" s="159" t="str">
        <f t="shared" si="1"/>
        <v>ALTO</v>
      </c>
      <c r="N18" s="190">
        <f t="shared" si="2"/>
        <v>40</v>
      </c>
      <c r="O18" s="196" t="s">
        <v>678</v>
      </c>
      <c r="P18" s="196" t="s">
        <v>677</v>
      </c>
      <c r="Q18" s="56">
        <v>1</v>
      </c>
      <c r="R18" s="159" t="str">
        <f t="shared" si="3"/>
        <v>BAJO</v>
      </c>
      <c r="S18" s="56">
        <v>20</v>
      </c>
      <c r="T18" s="159" t="str">
        <f t="shared" si="4"/>
        <v>ALTO</v>
      </c>
      <c r="U18" s="190">
        <f t="shared" si="5"/>
        <v>20</v>
      </c>
      <c r="V18" s="164"/>
      <c r="W18" s="164" t="s">
        <v>116</v>
      </c>
      <c r="X18" s="164"/>
      <c r="Y18" s="164"/>
      <c r="Z18" s="124" t="s">
        <v>812</v>
      </c>
      <c r="AA18" s="124" t="s">
        <v>634</v>
      </c>
      <c r="AB18" s="197" t="s">
        <v>679</v>
      </c>
      <c r="AC18" s="125" t="s">
        <v>216</v>
      </c>
      <c r="AD18" s="127" t="s">
        <v>680</v>
      </c>
      <c r="AE18" s="404"/>
      <c r="AG18" s="235"/>
      <c r="AH18" s="52"/>
      <c r="AI18" s="52"/>
      <c r="AJ18" s="234"/>
      <c r="AO18" s="82"/>
    </row>
    <row r="19" spans="2:41" s="48" customFormat="1" ht="153" customHeight="1" x14ac:dyDescent="0.2">
      <c r="B19" s="401"/>
      <c r="C19" s="379" t="s">
        <v>69</v>
      </c>
      <c r="D19" s="187" t="s">
        <v>716</v>
      </c>
      <c r="E19" s="45" t="s">
        <v>612</v>
      </c>
      <c r="F19" s="117" t="s">
        <v>813</v>
      </c>
      <c r="G19" s="117" t="s">
        <v>613</v>
      </c>
      <c r="H19" s="117" t="s">
        <v>623</v>
      </c>
      <c r="I19" s="117" t="s">
        <v>624</v>
      </c>
      <c r="J19" s="56">
        <v>2</v>
      </c>
      <c r="K19" s="56" t="str">
        <f t="shared" si="0"/>
        <v>MEDIO</v>
      </c>
      <c r="L19" s="56">
        <v>10</v>
      </c>
      <c r="M19" s="56" t="str">
        <f t="shared" si="1"/>
        <v>MEDIO</v>
      </c>
      <c r="N19" s="88">
        <f t="shared" si="2"/>
        <v>20</v>
      </c>
      <c r="O19" s="196" t="s">
        <v>615</v>
      </c>
      <c r="P19" s="196" t="s">
        <v>616</v>
      </c>
      <c r="Q19" s="56">
        <v>1</v>
      </c>
      <c r="R19" s="56" t="str">
        <f t="shared" si="3"/>
        <v>BAJO</v>
      </c>
      <c r="S19" s="56">
        <v>10</v>
      </c>
      <c r="T19" s="56" t="str">
        <f t="shared" si="4"/>
        <v>MEDIO</v>
      </c>
      <c r="U19" s="88">
        <f t="shared" si="5"/>
        <v>10</v>
      </c>
      <c r="V19" s="164"/>
      <c r="W19" s="164" t="s">
        <v>116</v>
      </c>
      <c r="X19" s="164"/>
      <c r="Y19" s="164"/>
      <c r="Z19" s="124" t="s">
        <v>627</v>
      </c>
      <c r="AA19" s="125" t="s">
        <v>625</v>
      </c>
      <c r="AB19" s="125" t="s">
        <v>626</v>
      </c>
      <c r="AC19" s="125" t="s">
        <v>216</v>
      </c>
      <c r="AD19" s="127" t="s">
        <v>611</v>
      </c>
      <c r="AE19" s="404"/>
      <c r="AG19" s="235"/>
      <c r="AH19" s="52"/>
      <c r="AI19" s="52"/>
      <c r="AJ19" s="234"/>
      <c r="AO19" s="82"/>
    </row>
    <row r="20" spans="2:41" s="48" customFormat="1" ht="99" customHeight="1" x14ac:dyDescent="0.2">
      <c r="B20" s="401"/>
      <c r="C20" s="379" t="s">
        <v>72</v>
      </c>
      <c r="D20" s="336" t="s">
        <v>716</v>
      </c>
      <c r="E20" s="45" t="s">
        <v>642</v>
      </c>
      <c r="F20" s="117" t="s">
        <v>643</v>
      </c>
      <c r="G20" s="117" t="s">
        <v>390</v>
      </c>
      <c r="H20" s="117" t="s">
        <v>644</v>
      </c>
      <c r="I20" s="117" t="s">
        <v>206</v>
      </c>
      <c r="J20" s="56" t="s">
        <v>83</v>
      </c>
      <c r="K20" s="56" t="str">
        <f t="shared" si="0"/>
        <v>N/A</v>
      </c>
      <c r="L20" s="56" t="s">
        <v>83</v>
      </c>
      <c r="M20" s="56" t="str">
        <f t="shared" si="1"/>
        <v>N/A</v>
      </c>
      <c r="N20" s="88" t="e">
        <f t="shared" si="2"/>
        <v>#VALUE!</v>
      </c>
      <c r="O20" s="351"/>
      <c r="P20" s="351"/>
      <c r="Q20" s="56" t="s">
        <v>83</v>
      </c>
      <c r="R20" s="56" t="str">
        <f t="shared" si="3"/>
        <v>N/A</v>
      </c>
      <c r="S20" s="56" t="s">
        <v>83</v>
      </c>
      <c r="T20" s="56" t="str">
        <f t="shared" si="4"/>
        <v>N/A</v>
      </c>
      <c r="U20" s="88" t="e">
        <f t="shared" si="5"/>
        <v>#VALUE!</v>
      </c>
      <c r="V20" s="221"/>
      <c r="W20" s="221"/>
      <c r="X20" s="221"/>
      <c r="Y20" s="221"/>
      <c r="Z20" s="124" t="s">
        <v>645</v>
      </c>
      <c r="AA20" s="125" t="s">
        <v>634</v>
      </c>
      <c r="AB20" s="125" t="s">
        <v>395</v>
      </c>
      <c r="AC20" s="125" t="s">
        <v>646</v>
      </c>
      <c r="AD20" s="127" t="s">
        <v>611</v>
      </c>
      <c r="AE20" s="404"/>
      <c r="AG20" s="235"/>
      <c r="AH20" s="52"/>
      <c r="AI20" s="52"/>
      <c r="AJ20" s="234"/>
      <c r="AO20" s="82"/>
    </row>
    <row r="21" spans="2:41" s="29" customFormat="1" ht="176.25" customHeight="1" thickBot="1" x14ac:dyDescent="0.25">
      <c r="B21" s="402"/>
      <c r="C21" s="211" t="s">
        <v>72</v>
      </c>
      <c r="D21" s="212" t="s">
        <v>716</v>
      </c>
      <c r="E21" s="213" t="s">
        <v>658</v>
      </c>
      <c r="F21" s="214" t="s">
        <v>659</v>
      </c>
      <c r="G21" s="214" t="s">
        <v>470</v>
      </c>
      <c r="H21" s="214" t="s">
        <v>814</v>
      </c>
      <c r="I21" s="214" t="s">
        <v>660</v>
      </c>
      <c r="J21" s="57" t="s">
        <v>83</v>
      </c>
      <c r="K21" s="57" t="str">
        <f t="shared" si="0"/>
        <v>N/A</v>
      </c>
      <c r="L21" s="57" t="s">
        <v>83</v>
      </c>
      <c r="M21" s="57" t="str">
        <f t="shared" si="1"/>
        <v>N/A</v>
      </c>
      <c r="N21" s="90" t="e">
        <f t="shared" si="2"/>
        <v>#VALUE!</v>
      </c>
      <c r="O21" s="224"/>
      <c r="P21" s="224"/>
      <c r="Q21" s="57" t="s">
        <v>83</v>
      </c>
      <c r="R21" s="57" t="str">
        <f t="shared" si="3"/>
        <v>N/A</v>
      </c>
      <c r="S21" s="57" t="s">
        <v>83</v>
      </c>
      <c r="T21" s="57" t="str">
        <f t="shared" si="4"/>
        <v>N/A</v>
      </c>
      <c r="U21" s="90" t="e">
        <f t="shared" si="5"/>
        <v>#VALUE!</v>
      </c>
      <c r="V21" s="228"/>
      <c r="W21" s="228"/>
      <c r="X21" s="228"/>
      <c r="Y21" s="228"/>
      <c r="Z21" s="219" t="s">
        <v>662</v>
      </c>
      <c r="AA21" s="129" t="s">
        <v>663</v>
      </c>
      <c r="AB21" s="129" t="s">
        <v>661</v>
      </c>
      <c r="AC21" s="130" t="s">
        <v>216</v>
      </c>
      <c r="AD21" s="250" t="s">
        <v>611</v>
      </c>
      <c r="AE21" s="405"/>
      <c r="AG21" s="51">
        <v>1</v>
      </c>
      <c r="AH21" s="52"/>
      <c r="AI21" s="52"/>
      <c r="AJ21" s="50">
        <f t="shared" si="6"/>
        <v>1</v>
      </c>
      <c r="AK21" s="29">
        <v>4</v>
      </c>
      <c r="AO21" s="92"/>
    </row>
    <row r="22" spans="2:41" s="29" customFormat="1" ht="31.5" customHeight="1" thickBot="1" x14ac:dyDescent="0.25">
      <c r="B22" s="24"/>
      <c r="C22" s="24"/>
      <c r="D22" s="24"/>
      <c r="E22" s="24"/>
      <c r="F22" s="24"/>
      <c r="G22" s="24"/>
      <c r="H22" s="24"/>
      <c r="I22" s="24"/>
      <c r="J22" s="24"/>
      <c r="K22" s="24"/>
      <c r="L22" s="24"/>
      <c r="M22" s="24"/>
      <c r="N22" s="368">
        <f>AVERAGE(N9:N19)</f>
        <v>36.363636363636367</v>
      </c>
      <c r="O22" s="24"/>
      <c r="P22" s="24"/>
      <c r="Q22" s="24"/>
      <c r="R22" s="24"/>
      <c r="S22" s="24"/>
      <c r="T22" s="24"/>
      <c r="U22" s="368">
        <f>AVERAGE(U9:U19)</f>
        <v>20</v>
      </c>
      <c r="V22" s="24"/>
      <c r="W22" s="24"/>
      <c r="X22" s="24"/>
      <c r="Y22" s="24"/>
      <c r="Z22" s="24"/>
      <c r="AA22" s="24"/>
      <c r="AB22" s="24"/>
      <c r="AC22" s="24"/>
      <c r="AD22" s="85"/>
      <c r="AE22" s="47"/>
      <c r="AG22" s="173"/>
      <c r="AH22" s="174">
        <v>1</v>
      </c>
      <c r="AI22" s="174"/>
      <c r="AJ22" s="175">
        <f t="shared" si="6"/>
        <v>1</v>
      </c>
      <c r="AO22" s="93"/>
    </row>
    <row r="23" spans="2:41" s="29" customFormat="1" ht="69" customHeight="1" thickBot="1" x14ac:dyDescent="0.25">
      <c r="B23" s="24"/>
      <c r="C23" s="24"/>
      <c r="D23" s="24"/>
      <c r="E23" s="24"/>
      <c r="F23" s="109"/>
      <c r="G23" s="109"/>
      <c r="H23" s="462" t="s">
        <v>209</v>
      </c>
      <c r="I23" s="463"/>
      <c r="J23" s="463"/>
      <c r="K23" s="464"/>
      <c r="L23" s="24"/>
      <c r="M23" s="406" t="s">
        <v>446</v>
      </c>
      <c r="N23" s="407"/>
      <c r="O23" s="407"/>
      <c r="P23" s="408"/>
      <c r="Q23" s="110"/>
      <c r="R23" s="24"/>
      <c r="S23" s="24"/>
      <c r="T23" s="24"/>
      <c r="U23" s="24"/>
      <c r="V23" s="24"/>
      <c r="W23" s="24"/>
      <c r="X23" s="24"/>
      <c r="Y23" s="24"/>
      <c r="Z23" s="24"/>
      <c r="AA23" s="24"/>
      <c r="AB23" s="24"/>
      <c r="AC23" s="24"/>
      <c r="AD23" s="24"/>
      <c r="AE23" s="42"/>
      <c r="AG23" s="173">
        <v>1</v>
      </c>
      <c r="AH23" s="174"/>
      <c r="AI23" s="174"/>
      <c r="AJ23" s="175">
        <f t="shared" si="6"/>
        <v>1</v>
      </c>
      <c r="AK23" s="29" t="s">
        <v>84</v>
      </c>
      <c r="AO23" s="448" t="s">
        <v>76</v>
      </c>
    </row>
    <row r="24" spans="2:41" s="29" customFormat="1" ht="33.75" customHeight="1" x14ac:dyDescent="0.2">
      <c r="B24" s="24"/>
      <c r="C24" s="24"/>
      <c r="D24" s="24"/>
      <c r="E24" s="24"/>
      <c r="F24" s="438"/>
      <c r="G24" s="438"/>
      <c r="H24" s="465" t="s">
        <v>139</v>
      </c>
      <c r="I24" s="466"/>
      <c r="J24" s="26">
        <f>COUNTIF(U9:U21,"=5")</f>
        <v>0</v>
      </c>
      <c r="K24" s="27">
        <f>J24*100%/J27</f>
        <v>0</v>
      </c>
      <c r="L24" s="24"/>
      <c r="M24" s="485" t="s">
        <v>104</v>
      </c>
      <c r="N24" s="486"/>
      <c r="O24" s="486" t="s">
        <v>47</v>
      </c>
      <c r="P24" s="487"/>
      <c r="Q24" s="111"/>
      <c r="R24" s="24"/>
      <c r="S24" s="24"/>
      <c r="T24" s="24"/>
      <c r="U24" s="24"/>
      <c r="V24" s="24"/>
      <c r="W24" s="24"/>
      <c r="X24" s="24"/>
      <c r="Y24" s="24"/>
      <c r="Z24" s="24"/>
      <c r="AA24" s="24"/>
      <c r="AB24" s="24"/>
      <c r="AC24" s="24"/>
      <c r="AD24" s="24"/>
      <c r="AE24" s="42"/>
      <c r="AG24" s="173">
        <v>1</v>
      </c>
      <c r="AH24" s="174"/>
      <c r="AI24" s="174"/>
      <c r="AJ24" s="175">
        <f t="shared" si="6"/>
        <v>1</v>
      </c>
      <c r="AK24" s="29" t="s">
        <v>85</v>
      </c>
      <c r="AO24" s="449"/>
    </row>
    <row r="25" spans="2:41" s="29" customFormat="1" ht="30" customHeight="1" x14ac:dyDescent="0.2">
      <c r="B25" s="24"/>
      <c r="C25" s="24"/>
      <c r="D25" s="24"/>
      <c r="E25" s="24"/>
      <c r="F25" s="438"/>
      <c r="G25" s="438"/>
      <c r="H25" s="465" t="s">
        <v>140</v>
      </c>
      <c r="I25" s="466"/>
      <c r="J25" s="26">
        <f>COUNTIFS(U9:U21,"&gt;=6",U9:U21,"&lt;=30")</f>
        <v>9</v>
      </c>
      <c r="K25" s="27">
        <f>J25*100%/J27</f>
        <v>0.81818181818181823</v>
      </c>
      <c r="L25" s="24"/>
      <c r="M25" s="488" t="s">
        <v>105</v>
      </c>
      <c r="N25" s="489"/>
      <c r="O25" s="490" t="s">
        <v>48</v>
      </c>
      <c r="P25" s="491"/>
      <c r="Q25" s="111"/>
      <c r="R25" s="24"/>
      <c r="S25" s="24"/>
      <c r="T25" s="24"/>
      <c r="U25" s="24"/>
      <c r="V25" s="24"/>
      <c r="W25" s="24"/>
      <c r="X25" s="24"/>
      <c r="Y25" s="24"/>
      <c r="Z25" s="24"/>
      <c r="AA25" s="24"/>
      <c r="AB25" s="24"/>
      <c r="AC25" s="24"/>
      <c r="AD25" s="24"/>
      <c r="AE25" s="42"/>
      <c r="AG25" s="173">
        <v>1</v>
      </c>
      <c r="AH25" s="174"/>
      <c r="AI25" s="174"/>
      <c r="AJ25" s="175">
        <f t="shared" si="6"/>
        <v>1</v>
      </c>
      <c r="AO25" s="449"/>
    </row>
    <row r="26" spans="2:41" s="29" customFormat="1" ht="29.25" customHeight="1" thickBot="1" x14ac:dyDescent="0.25">
      <c r="B26" s="24"/>
      <c r="C26" s="24"/>
      <c r="D26" s="24"/>
      <c r="E26" s="24"/>
      <c r="F26" s="438"/>
      <c r="G26" s="438"/>
      <c r="H26" s="465" t="s">
        <v>141</v>
      </c>
      <c r="I26" s="466"/>
      <c r="J26" s="26">
        <f>COUNTIFS(U9:U21,"&gt;=40",U9:U21,"&lt;=60")</f>
        <v>2</v>
      </c>
      <c r="K26" s="27">
        <f>J26*100%/J27</f>
        <v>0.18181818181818182</v>
      </c>
      <c r="L26" s="24"/>
      <c r="M26" s="482" t="s">
        <v>106</v>
      </c>
      <c r="N26" s="483"/>
      <c r="O26" s="483" t="s">
        <v>20</v>
      </c>
      <c r="P26" s="484"/>
      <c r="Q26" s="111"/>
      <c r="R26" s="24"/>
      <c r="S26" s="24"/>
      <c r="T26" s="24"/>
      <c r="U26" s="24"/>
      <c r="V26" s="24"/>
      <c r="W26" s="24"/>
      <c r="X26" s="24"/>
      <c r="Y26" s="24"/>
      <c r="Z26" s="24"/>
      <c r="AA26" s="24"/>
      <c r="AB26" s="24"/>
      <c r="AC26" s="24"/>
      <c r="AD26" s="24"/>
      <c r="AE26" s="42"/>
      <c r="AG26" s="173">
        <v>1</v>
      </c>
      <c r="AH26" s="174"/>
      <c r="AI26" s="174"/>
      <c r="AJ26" s="175">
        <f t="shared" si="6"/>
        <v>1</v>
      </c>
      <c r="AO26" s="449"/>
    </row>
    <row r="27" spans="2:41" s="29" customFormat="1" ht="30" customHeight="1" thickBot="1" x14ac:dyDescent="0.25">
      <c r="B27" s="24"/>
      <c r="C27" s="24"/>
      <c r="D27" s="24"/>
      <c r="E27" s="24"/>
      <c r="F27" s="447"/>
      <c r="G27" s="447"/>
      <c r="H27" s="472" t="s">
        <v>142</v>
      </c>
      <c r="I27" s="473"/>
      <c r="J27" s="176">
        <f>+J24+J26+J25</f>
        <v>11</v>
      </c>
      <c r="K27" s="137">
        <f>K24+K25+K26</f>
        <v>1</v>
      </c>
      <c r="L27" s="24"/>
      <c r="M27" s="24"/>
      <c r="N27" s="24"/>
      <c r="O27" s="24"/>
      <c r="P27" s="24"/>
      <c r="Q27" s="24"/>
      <c r="R27" s="24"/>
      <c r="S27" s="24"/>
      <c r="T27" s="24"/>
      <c r="U27" s="24"/>
      <c r="V27" s="24"/>
      <c r="W27" s="24"/>
      <c r="X27" s="24"/>
      <c r="Y27" s="24"/>
      <c r="Z27" s="24"/>
      <c r="AA27" s="24"/>
      <c r="AB27" s="24"/>
      <c r="AC27" s="24"/>
      <c r="AD27" s="24"/>
      <c r="AE27" s="42"/>
      <c r="AG27" s="173">
        <v>1</v>
      </c>
      <c r="AH27" s="174"/>
      <c r="AI27" s="174"/>
      <c r="AJ27" s="175">
        <f t="shared" si="6"/>
        <v>1</v>
      </c>
      <c r="AO27" s="449"/>
    </row>
    <row r="28" spans="2:41" s="29" customFormat="1" ht="52.5" customHeight="1" thickBot="1" x14ac:dyDescent="0.25">
      <c r="B28" s="24"/>
      <c r="C28" s="24"/>
      <c r="D28" s="24"/>
      <c r="E28" s="24"/>
      <c r="F28" s="24"/>
      <c r="G28" s="24"/>
      <c r="H28" s="470" t="s">
        <v>208</v>
      </c>
      <c r="I28" s="471"/>
      <c r="J28" s="226">
        <f>COUNTIF(Q9:Q21,"N/A")</f>
        <v>2</v>
      </c>
      <c r="K28" s="227" t="str">
        <f>IF(J28&gt;=1,"100%",0)</f>
        <v>100%</v>
      </c>
      <c r="L28" s="24"/>
      <c r="M28" s="24"/>
      <c r="N28" s="24"/>
      <c r="O28" s="24"/>
      <c r="P28" s="24"/>
      <c r="Q28" s="24"/>
      <c r="R28" s="24"/>
      <c r="S28" s="24"/>
      <c r="T28" s="24"/>
      <c r="U28" s="24"/>
      <c r="V28" s="24"/>
      <c r="W28" s="24"/>
      <c r="X28" s="24"/>
      <c r="Y28" s="24"/>
      <c r="Z28" s="24"/>
      <c r="AA28" s="24"/>
      <c r="AB28" s="24"/>
      <c r="AC28" s="24"/>
      <c r="AD28" s="24"/>
      <c r="AE28" s="42"/>
      <c r="AG28" s="173"/>
      <c r="AH28" s="174">
        <v>1</v>
      </c>
      <c r="AI28" s="174"/>
      <c r="AJ28" s="175">
        <f t="shared" si="6"/>
        <v>1</v>
      </c>
      <c r="AO28" s="449"/>
    </row>
    <row r="29" spans="2:41" s="29" customFormat="1" ht="97.5" customHeight="1" x14ac:dyDescent="0.2">
      <c r="B29" s="24"/>
      <c r="C29" s="82"/>
      <c r="D29" s="82"/>
      <c r="E29" s="82"/>
      <c r="F29" s="82"/>
      <c r="G29" s="83"/>
      <c r="H29" s="83"/>
      <c r="I29" s="82"/>
      <c r="J29" s="24"/>
      <c r="K29" s="24"/>
      <c r="L29" s="24"/>
      <c r="M29" s="24"/>
      <c r="N29" s="24"/>
      <c r="O29" s="24"/>
      <c r="P29" s="24"/>
      <c r="Q29" s="24"/>
      <c r="R29" s="24"/>
      <c r="S29" s="24"/>
      <c r="T29" s="24"/>
      <c r="U29" s="24"/>
      <c r="V29" s="24"/>
      <c r="W29" s="24"/>
      <c r="X29" s="24"/>
      <c r="Y29" s="24"/>
      <c r="Z29" s="24"/>
      <c r="AA29" s="24"/>
      <c r="AB29" s="24"/>
      <c r="AC29" s="24"/>
      <c r="AD29" s="24"/>
      <c r="AE29" s="42"/>
      <c r="AG29" s="173"/>
      <c r="AH29" s="174">
        <v>1</v>
      </c>
      <c r="AI29" s="174"/>
      <c r="AJ29" s="175">
        <f t="shared" si="6"/>
        <v>1</v>
      </c>
      <c r="AO29" s="449"/>
    </row>
    <row r="30" spans="2:41" s="29" customFormat="1" ht="107.25" customHeight="1" thickBot="1" x14ac:dyDescent="0.25">
      <c r="B30" s="24"/>
      <c r="C30" s="82"/>
      <c r="D30" s="82"/>
      <c r="E30" s="82"/>
      <c r="F30" s="83"/>
      <c r="G30" s="83"/>
      <c r="H30" s="83"/>
      <c r="I30" s="83"/>
      <c r="J30" s="24"/>
      <c r="K30" s="24"/>
      <c r="L30" s="24"/>
      <c r="M30" s="24"/>
      <c r="N30" s="24"/>
      <c r="O30" s="24"/>
      <c r="P30" s="24"/>
      <c r="Q30" s="24"/>
      <c r="R30" s="24"/>
      <c r="S30" s="24"/>
      <c r="T30" s="24"/>
      <c r="U30" s="24"/>
      <c r="V30" s="24"/>
      <c r="W30" s="24"/>
      <c r="X30" s="24"/>
      <c r="Y30" s="24"/>
      <c r="Z30" s="24"/>
      <c r="AA30" s="24"/>
      <c r="AB30" s="24"/>
      <c r="AC30" s="24"/>
      <c r="AD30" s="24"/>
      <c r="AE30" s="42"/>
      <c r="AG30" s="173">
        <v>1</v>
      </c>
      <c r="AH30" s="174"/>
      <c r="AI30" s="174"/>
      <c r="AJ30" s="175">
        <f t="shared" si="6"/>
        <v>1</v>
      </c>
      <c r="AO30" s="450"/>
    </row>
    <row r="31" spans="2:41" s="28" customFormat="1" ht="80.25" customHeight="1" x14ac:dyDescent="0.2">
      <c r="B31" s="24"/>
      <c r="C31" s="82"/>
      <c r="D31" s="82"/>
      <c r="E31" s="84"/>
      <c r="F31" s="84"/>
      <c r="G31" s="84"/>
      <c r="H31" s="84"/>
      <c r="I31" s="84"/>
      <c r="J31" s="24"/>
      <c r="K31" s="24"/>
      <c r="L31" s="24"/>
      <c r="M31" s="24"/>
      <c r="N31" s="24"/>
      <c r="O31" s="24"/>
      <c r="P31" s="24"/>
      <c r="Q31" s="24"/>
      <c r="R31" s="24"/>
      <c r="S31" s="24"/>
      <c r="T31" s="24"/>
      <c r="U31" s="24"/>
      <c r="V31" s="24"/>
      <c r="W31" s="24"/>
      <c r="X31" s="24"/>
      <c r="Y31" s="24"/>
      <c r="Z31" s="24"/>
      <c r="AA31" s="24"/>
      <c r="AB31" s="24"/>
      <c r="AC31" s="24"/>
      <c r="AD31" s="24"/>
      <c r="AE31" s="42"/>
      <c r="AG31" s="39"/>
      <c r="AH31" s="49"/>
      <c r="AI31" s="49"/>
      <c r="AJ31" s="40"/>
      <c r="AO31" s="448" t="s">
        <v>77</v>
      </c>
    </row>
    <row r="32" spans="2:41" s="29" customFormat="1" ht="101.25" customHeight="1" x14ac:dyDescent="0.2">
      <c r="B32" s="24"/>
      <c r="C32" s="83"/>
      <c r="D32" s="83"/>
      <c r="E32" s="48"/>
      <c r="F32" s="48"/>
      <c r="G32" s="48"/>
      <c r="H32" s="48"/>
      <c r="I32" s="48"/>
      <c r="J32" s="24"/>
      <c r="K32" s="24"/>
      <c r="L32" s="24"/>
      <c r="M32" s="24"/>
      <c r="N32" s="24"/>
      <c r="O32" s="24"/>
      <c r="P32" s="24"/>
      <c r="Q32" s="24"/>
      <c r="R32" s="24"/>
      <c r="S32" s="24"/>
      <c r="T32" s="24"/>
      <c r="U32" s="24"/>
      <c r="V32" s="24"/>
      <c r="W32" s="24"/>
      <c r="X32" s="24"/>
      <c r="Y32" s="24"/>
      <c r="Z32" s="24"/>
      <c r="AA32" s="24"/>
      <c r="AB32" s="24"/>
      <c r="AC32" s="24"/>
      <c r="AD32" s="24"/>
      <c r="AE32" s="42"/>
      <c r="AG32" s="173">
        <v>1</v>
      </c>
      <c r="AH32" s="174"/>
      <c r="AI32" s="174"/>
      <c r="AJ32" s="175">
        <f t="shared" si="6"/>
        <v>1</v>
      </c>
      <c r="AO32" s="449"/>
    </row>
    <row r="33" spans="2:41" s="29" customFormat="1" ht="109.5" customHeight="1" x14ac:dyDescent="0.2">
      <c r="B33" s="24"/>
      <c r="C33" s="83"/>
      <c r="D33" s="83"/>
      <c r="I33" s="24"/>
      <c r="J33" s="24"/>
      <c r="K33" s="24"/>
      <c r="L33" s="24"/>
      <c r="M33" s="24"/>
      <c r="N33" s="24"/>
      <c r="O33" s="24"/>
      <c r="P33" s="24"/>
      <c r="Q33" s="24"/>
      <c r="R33" s="24"/>
      <c r="S33" s="24"/>
      <c r="T33" s="24"/>
      <c r="U33" s="24"/>
      <c r="V33" s="24"/>
      <c r="W33" s="24"/>
      <c r="X33" s="24"/>
      <c r="Y33" s="24"/>
      <c r="Z33" s="24"/>
      <c r="AA33" s="24"/>
      <c r="AB33" s="24"/>
      <c r="AC33" s="24"/>
      <c r="AD33" s="24"/>
      <c r="AE33" s="42"/>
      <c r="AG33" s="173"/>
      <c r="AH33" s="174">
        <v>1</v>
      </c>
      <c r="AI33" s="174"/>
      <c r="AJ33" s="175">
        <f t="shared" si="6"/>
        <v>1</v>
      </c>
      <c r="AO33" s="449"/>
    </row>
    <row r="34" spans="2:41" s="29" customFormat="1" ht="67.5" customHeight="1" x14ac:dyDescent="0.2">
      <c r="B34" s="24"/>
      <c r="C34" s="83"/>
      <c r="D34" s="83"/>
      <c r="H34" s="24"/>
      <c r="I34" s="24"/>
      <c r="J34" s="24"/>
      <c r="K34" s="24"/>
      <c r="L34" s="24"/>
      <c r="M34" s="24"/>
      <c r="N34" s="24"/>
      <c r="O34" s="24"/>
      <c r="P34" s="24"/>
      <c r="Q34" s="24"/>
      <c r="R34" s="24"/>
      <c r="S34" s="24"/>
      <c r="T34" s="24"/>
      <c r="U34" s="24"/>
      <c r="V34" s="24"/>
      <c r="W34" s="24"/>
      <c r="X34" s="24"/>
      <c r="Y34" s="24"/>
      <c r="Z34" s="24"/>
      <c r="AA34" s="24"/>
      <c r="AB34" s="24"/>
      <c r="AC34" s="24"/>
      <c r="AD34" s="24"/>
      <c r="AE34" s="42"/>
      <c r="AG34" s="173"/>
      <c r="AH34" s="174">
        <v>1</v>
      </c>
      <c r="AI34" s="174"/>
      <c r="AJ34" s="175">
        <v>1</v>
      </c>
      <c r="AO34" s="449"/>
    </row>
    <row r="35" spans="2:41" s="29" customFormat="1" ht="83.25" customHeight="1" x14ac:dyDescent="0.2">
      <c r="B35" s="24"/>
      <c r="C35" s="82"/>
      <c r="D35" s="82"/>
      <c r="G35" s="24"/>
      <c r="H35" s="24"/>
      <c r="I35" s="24"/>
      <c r="J35" s="24"/>
      <c r="K35" s="24"/>
      <c r="L35" s="24"/>
      <c r="M35" s="24"/>
      <c r="N35" s="24"/>
      <c r="O35" s="24"/>
      <c r="P35" s="24"/>
      <c r="Q35" s="24"/>
      <c r="R35" s="24"/>
      <c r="S35" s="24"/>
      <c r="T35" s="24"/>
      <c r="U35" s="24"/>
      <c r="V35" s="24"/>
      <c r="W35" s="24"/>
      <c r="X35" s="24"/>
      <c r="Y35" s="24"/>
      <c r="Z35" s="24"/>
      <c r="AA35" s="24"/>
      <c r="AB35" s="24"/>
      <c r="AC35" s="24"/>
      <c r="AD35" s="24"/>
      <c r="AE35" s="42"/>
      <c r="AG35" s="173"/>
      <c r="AH35" s="174">
        <v>1</v>
      </c>
      <c r="AI35" s="174"/>
      <c r="AJ35" s="175">
        <v>1</v>
      </c>
      <c r="AO35" s="449"/>
    </row>
    <row r="36" spans="2:41" s="29" customFormat="1" ht="75.75" customHeight="1" thickBot="1" x14ac:dyDescent="0.25">
      <c r="B36" s="24"/>
      <c r="C36" s="82"/>
      <c r="D36" s="82"/>
      <c r="G36" s="24"/>
      <c r="H36" s="24"/>
      <c r="I36" s="24"/>
      <c r="J36" s="24"/>
      <c r="K36" s="24"/>
      <c r="L36" s="24"/>
      <c r="M36" s="24"/>
      <c r="N36" s="24"/>
      <c r="O36" s="24"/>
      <c r="P36" s="24"/>
      <c r="Q36" s="24"/>
      <c r="R36" s="24"/>
      <c r="S36" s="24"/>
      <c r="T36" s="24"/>
      <c r="U36" s="24"/>
      <c r="V36" s="24"/>
      <c r="W36" s="24"/>
      <c r="X36" s="24"/>
      <c r="Y36" s="24"/>
      <c r="Z36" s="24"/>
      <c r="AA36" s="24"/>
      <c r="AB36" s="24"/>
      <c r="AC36" s="24"/>
      <c r="AD36" s="24"/>
      <c r="AE36" s="42"/>
      <c r="AG36" s="173"/>
      <c r="AH36" s="174"/>
      <c r="AI36" s="174"/>
      <c r="AJ36" s="175"/>
      <c r="AO36" s="450"/>
    </row>
    <row r="37" spans="2:41" s="29" customFormat="1" ht="73.5" customHeight="1" x14ac:dyDescent="0.2">
      <c r="B37" s="24"/>
      <c r="C37" s="82"/>
      <c r="D37" s="82"/>
      <c r="F37" s="24"/>
      <c r="G37" s="24"/>
      <c r="H37" s="24"/>
      <c r="I37" s="24"/>
      <c r="J37" s="24"/>
      <c r="K37" s="24"/>
      <c r="L37" s="24"/>
      <c r="M37" s="24"/>
      <c r="N37" s="24"/>
      <c r="O37" s="24"/>
      <c r="P37" s="24"/>
      <c r="Q37" s="24"/>
      <c r="R37" s="24"/>
      <c r="S37" s="24"/>
      <c r="T37" s="24"/>
      <c r="U37" s="24"/>
      <c r="V37" s="24"/>
      <c r="W37" s="24"/>
      <c r="X37" s="24"/>
      <c r="Y37" s="24"/>
      <c r="Z37" s="24"/>
      <c r="AA37" s="24"/>
      <c r="AB37" s="24"/>
      <c r="AC37" s="24"/>
      <c r="AD37" s="24"/>
      <c r="AE37" s="42"/>
      <c r="AG37" s="173"/>
      <c r="AH37" s="174">
        <v>1</v>
      </c>
      <c r="AI37" s="174"/>
      <c r="AJ37" s="175">
        <v>1</v>
      </c>
      <c r="AO37" s="448" t="s">
        <v>78</v>
      </c>
    </row>
    <row r="38" spans="2:41" s="29" customFormat="1" ht="58.5" customHeight="1" x14ac:dyDescent="0.2">
      <c r="B38" s="24"/>
      <c r="C38" s="83"/>
      <c r="D38" s="83"/>
      <c r="J38" s="24"/>
      <c r="K38" s="24"/>
      <c r="L38" s="24"/>
      <c r="M38" s="24"/>
      <c r="N38" s="24"/>
      <c r="O38" s="24"/>
      <c r="P38" s="24"/>
      <c r="Q38" s="24"/>
      <c r="R38" s="24"/>
      <c r="S38" s="24"/>
      <c r="T38" s="24"/>
      <c r="U38" s="24"/>
      <c r="V38" s="24"/>
      <c r="W38" s="24"/>
      <c r="X38" s="24"/>
      <c r="Y38" s="24"/>
      <c r="Z38" s="24"/>
      <c r="AA38" s="24"/>
      <c r="AB38" s="24"/>
      <c r="AC38" s="24"/>
      <c r="AD38" s="24"/>
      <c r="AE38" s="42"/>
      <c r="AG38" s="173">
        <v>1</v>
      </c>
      <c r="AH38" s="174"/>
      <c r="AI38" s="174"/>
      <c r="AJ38" s="175">
        <v>1</v>
      </c>
      <c r="AO38" s="449"/>
    </row>
    <row r="39" spans="2:41" s="29" customFormat="1" ht="73.5" customHeight="1" x14ac:dyDescent="0.2">
      <c r="B39" s="24"/>
      <c r="C39" s="83"/>
      <c r="D39" s="83"/>
      <c r="E39" s="24"/>
      <c r="F39" s="24"/>
      <c r="G39" s="24"/>
      <c r="H39" s="24"/>
      <c r="I39" s="24"/>
      <c r="J39" s="24"/>
      <c r="K39" s="24"/>
      <c r="L39" s="24"/>
      <c r="M39" s="24"/>
      <c r="N39" s="24"/>
      <c r="O39" s="24"/>
      <c r="P39" s="24"/>
      <c r="Q39" s="24"/>
      <c r="R39" s="24"/>
      <c r="S39" s="24"/>
      <c r="T39" s="24"/>
      <c r="U39" s="24"/>
      <c r="V39" s="24"/>
      <c r="W39" s="24"/>
      <c r="X39" s="24"/>
      <c r="Y39" s="24"/>
      <c r="Z39" s="24"/>
      <c r="AA39" s="24"/>
      <c r="AB39" s="24"/>
      <c r="AC39" s="24"/>
      <c r="AD39" s="24"/>
      <c r="AE39" s="42"/>
      <c r="AG39" s="173"/>
      <c r="AH39" s="174">
        <v>1</v>
      </c>
      <c r="AI39" s="174"/>
      <c r="AJ39" s="175">
        <v>1</v>
      </c>
      <c r="AO39" s="449"/>
    </row>
    <row r="40" spans="2:41" s="29" customFormat="1" ht="102" customHeight="1" thickBot="1" x14ac:dyDescent="0.25">
      <c r="B40" s="24"/>
      <c r="C40" s="83"/>
      <c r="D40" s="83"/>
      <c r="E40" s="24"/>
      <c r="F40" s="24"/>
      <c r="G40" s="24"/>
      <c r="H40" s="24"/>
      <c r="I40" s="24"/>
      <c r="J40" s="24"/>
      <c r="K40" s="24"/>
      <c r="L40" s="24"/>
      <c r="M40" s="24"/>
      <c r="N40" s="24"/>
      <c r="O40" s="24"/>
      <c r="P40" s="24"/>
      <c r="Q40" s="24"/>
      <c r="R40" s="24"/>
      <c r="S40" s="24"/>
      <c r="T40" s="24"/>
      <c r="U40" s="24"/>
      <c r="V40" s="24"/>
      <c r="W40" s="24"/>
      <c r="X40" s="24"/>
      <c r="Y40" s="24"/>
      <c r="Z40" s="24"/>
      <c r="AA40" s="24"/>
      <c r="AB40" s="24"/>
      <c r="AC40" s="24"/>
      <c r="AD40" s="24"/>
      <c r="AE40" s="42"/>
      <c r="AG40" s="173">
        <v>1</v>
      </c>
      <c r="AH40" s="174"/>
      <c r="AI40" s="174"/>
      <c r="AJ40" s="175">
        <v>1</v>
      </c>
      <c r="AO40" s="449"/>
    </row>
    <row r="41" spans="2:41" s="29" customFormat="1" ht="86.25" customHeight="1" x14ac:dyDescent="0.2">
      <c r="B41" s="24"/>
      <c r="C41" s="83"/>
      <c r="D41" s="83"/>
      <c r="E41" s="24"/>
      <c r="F41" s="24"/>
      <c r="G41" s="24"/>
      <c r="H41" s="24"/>
      <c r="I41" s="24"/>
      <c r="J41" s="24"/>
      <c r="K41" s="24"/>
      <c r="L41" s="24"/>
      <c r="M41" s="24"/>
      <c r="N41" s="24"/>
      <c r="O41" s="24"/>
      <c r="P41" s="24"/>
      <c r="Q41" s="24"/>
      <c r="R41" s="24"/>
      <c r="S41" s="24"/>
      <c r="T41" s="24"/>
      <c r="U41" s="24"/>
      <c r="V41" s="24"/>
      <c r="W41" s="24"/>
      <c r="X41" s="24"/>
      <c r="Y41" s="24"/>
      <c r="Z41" s="24"/>
      <c r="AA41" s="24"/>
      <c r="AB41" s="24"/>
      <c r="AC41" s="24"/>
      <c r="AD41" s="24"/>
      <c r="AE41" s="42"/>
      <c r="AG41" s="173"/>
      <c r="AH41" s="174">
        <v>1</v>
      </c>
      <c r="AI41" s="174"/>
      <c r="AJ41" s="175">
        <v>1</v>
      </c>
      <c r="AO41" s="451" t="s">
        <v>79</v>
      </c>
    </row>
    <row r="42" spans="2:41" s="29" customFormat="1" ht="70.5" customHeight="1" thickBot="1" x14ac:dyDescent="0.25">
      <c r="B42" s="24"/>
      <c r="C42" s="83"/>
      <c r="D42" s="83"/>
      <c r="E42" s="24"/>
      <c r="F42" s="24"/>
      <c r="G42" s="24"/>
      <c r="H42" s="24"/>
      <c r="I42" s="24"/>
      <c r="J42" s="24"/>
      <c r="K42" s="24"/>
      <c r="L42" s="24"/>
      <c r="M42" s="24"/>
      <c r="N42" s="24"/>
      <c r="O42" s="24"/>
      <c r="P42" s="24"/>
      <c r="Q42" s="24"/>
      <c r="R42" s="24"/>
      <c r="S42" s="24"/>
      <c r="T42" s="24"/>
      <c r="U42" s="24"/>
      <c r="V42" s="24"/>
      <c r="W42" s="24"/>
      <c r="X42" s="24"/>
      <c r="Y42" s="24"/>
      <c r="Z42" s="24"/>
      <c r="AA42" s="24"/>
      <c r="AB42" s="24"/>
      <c r="AC42" s="24"/>
      <c r="AD42" s="24"/>
      <c r="AE42" s="42"/>
      <c r="AG42" s="173">
        <v>1</v>
      </c>
      <c r="AH42" s="174"/>
      <c r="AI42" s="174"/>
      <c r="AJ42" s="175">
        <v>1</v>
      </c>
      <c r="AO42" s="452"/>
    </row>
    <row r="43" spans="2:41" s="29" customFormat="1" ht="62.25" customHeight="1" x14ac:dyDescent="0.2">
      <c r="B43" s="24"/>
      <c r="C43" s="83"/>
      <c r="D43" s="83"/>
      <c r="E43" s="24"/>
      <c r="F43" s="24"/>
      <c r="G43" s="24"/>
      <c r="H43" s="24"/>
      <c r="I43" s="24"/>
      <c r="J43" s="24"/>
      <c r="K43" s="24"/>
      <c r="L43" s="24"/>
      <c r="M43" s="24"/>
      <c r="N43" s="24"/>
      <c r="O43" s="24"/>
      <c r="P43" s="24"/>
      <c r="Q43" s="24"/>
      <c r="R43" s="24"/>
      <c r="S43" s="24"/>
      <c r="T43" s="24"/>
      <c r="U43" s="24"/>
      <c r="V43" s="24"/>
      <c r="W43" s="24"/>
      <c r="X43" s="24"/>
      <c r="Y43" s="24"/>
      <c r="Z43" s="24"/>
      <c r="AA43" s="24"/>
      <c r="AB43" s="24"/>
      <c r="AC43" s="24"/>
      <c r="AD43" s="24"/>
      <c r="AE43" s="42"/>
      <c r="AG43" s="173">
        <v>1</v>
      </c>
      <c r="AH43" s="174"/>
      <c r="AI43" s="174"/>
      <c r="AJ43" s="175">
        <v>1</v>
      </c>
      <c r="AO43" s="451" t="s">
        <v>80</v>
      </c>
    </row>
    <row r="44" spans="2:41" s="29" customFormat="1" ht="45.75" customHeight="1" x14ac:dyDescent="0.2">
      <c r="B44" s="24"/>
      <c r="C44" s="83"/>
      <c r="D44" s="83"/>
      <c r="E44" s="24"/>
      <c r="F44" s="24"/>
      <c r="G44" s="24"/>
      <c r="H44" s="24"/>
      <c r="I44" s="24"/>
      <c r="J44" s="24"/>
      <c r="K44" s="24"/>
      <c r="L44" s="24"/>
      <c r="M44" s="24"/>
      <c r="N44" s="24"/>
      <c r="O44" s="24"/>
      <c r="P44" s="24"/>
      <c r="Q44" s="24"/>
      <c r="R44" s="24"/>
      <c r="S44" s="24"/>
      <c r="T44" s="24"/>
      <c r="U44" s="24"/>
      <c r="V44" s="24"/>
      <c r="W44" s="24"/>
      <c r="X44" s="24"/>
      <c r="Y44" s="24"/>
      <c r="Z44" s="24"/>
      <c r="AA44" s="24"/>
      <c r="AB44" s="24"/>
      <c r="AC44" s="24"/>
      <c r="AD44" s="24"/>
      <c r="AE44" s="42"/>
      <c r="AG44" s="173"/>
      <c r="AH44" s="174"/>
      <c r="AI44" s="174">
        <v>1</v>
      </c>
      <c r="AJ44" s="175">
        <v>1</v>
      </c>
      <c r="AO44" s="453"/>
    </row>
    <row r="45" spans="2:41" s="29" customFormat="1" ht="43.5" customHeight="1" x14ac:dyDescent="0.2">
      <c r="B45" s="24"/>
      <c r="C45" s="83"/>
      <c r="D45" s="83"/>
      <c r="E45" s="24"/>
      <c r="F45" s="24"/>
      <c r="G45" s="24"/>
      <c r="H45" s="24"/>
      <c r="I45" s="24"/>
      <c r="J45" s="24"/>
      <c r="K45" s="24"/>
      <c r="L45" s="24"/>
      <c r="M45" s="24"/>
      <c r="N45" s="24"/>
      <c r="O45" s="24"/>
      <c r="P45" s="24"/>
      <c r="Q45" s="24"/>
      <c r="R45" s="24"/>
      <c r="S45" s="24"/>
      <c r="T45" s="24"/>
      <c r="U45" s="24"/>
      <c r="V45" s="24"/>
      <c r="W45" s="24"/>
      <c r="X45" s="24"/>
      <c r="Y45" s="24"/>
      <c r="Z45" s="24"/>
      <c r="AA45" s="24"/>
      <c r="AB45" s="24"/>
      <c r="AC45" s="24"/>
      <c r="AD45" s="24"/>
      <c r="AE45" s="42"/>
      <c r="AG45" s="173">
        <v>1</v>
      </c>
      <c r="AH45" s="174"/>
      <c r="AI45" s="174"/>
      <c r="AJ45" s="175">
        <v>1</v>
      </c>
      <c r="AO45" s="453"/>
    </row>
    <row r="46" spans="2:41" s="29" customFormat="1" ht="61.5" customHeight="1" thickBot="1" x14ac:dyDescent="0.25">
      <c r="B46" s="24"/>
      <c r="C46" s="83"/>
      <c r="D46" s="83"/>
      <c r="J46" s="24"/>
      <c r="K46" s="24"/>
      <c r="L46" s="24"/>
      <c r="M46" s="24"/>
      <c r="N46" s="24"/>
      <c r="O46" s="24"/>
      <c r="P46" s="24"/>
      <c r="Q46" s="24"/>
      <c r="R46" s="24"/>
      <c r="S46" s="24"/>
      <c r="T46" s="24"/>
      <c r="U46" s="24"/>
      <c r="V46" s="24"/>
      <c r="W46" s="24"/>
      <c r="X46" s="24"/>
      <c r="Y46" s="24"/>
      <c r="Z46" s="24"/>
      <c r="AA46" s="24"/>
      <c r="AB46" s="24"/>
      <c r="AC46" s="24"/>
      <c r="AD46" s="24"/>
      <c r="AE46" s="42"/>
      <c r="AG46" s="454"/>
      <c r="AH46" s="455"/>
      <c r="AI46" s="455">
        <v>1</v>
      </c>
      <c r="AJ46" s="456">
        <v>1</v>
      </c>
      <c r="AO46" s="452"/>
    </row>
    <row r="47" spans="2:41" s="29" customFormat="1" ht="70.5" customHeight="1" x14ac:dyDescent="0.2">
      <c r="B47" s="24"/>
      <c r="C47" s="83"/>
      <c r="D47" s="83"/>
      <c r="E47" s="24"/>
      <c r="F47" s="24"/>
      <c r="G47" s="24"/>
      <c r="H47" s="24"/>
      <c r="I47" s="24"/>
      <c r="J47" s="24"/>
      <c r="K47" s="24"/>
      <c r="L47" s="24"/>
      <c r="M47" s="24"/>
      <c r="N47" s="24"/>
      <c r="O47" s="24"/>
      <c r="P47" s="24"/>
      <c r="Q47" s="24"/>
      <c r="R47" s="24"/>
      <c r="S47" s="24"/>
      <c r="T47" s="24"/>
      <c r="U47" s="24"/>
      <c r="V47" s="24"/>
      <c r="W47" s="24"/>
      <c r="X47" s="24"/>
      <c r="Y47" s="24"/>
      <c r="Z47" s="24"/>
      <c r="AA47" s="24"/>
      <c r="AB47" s="24"/>
      <c r="AC47" s="24"/>
      <c r="AD47" s="24"/>
      <c r="AE47" s="42"/>
      <c r="AG47" s="454"/>
      <c r="AH47" s="455"/>
      <c r="AI47" s="455"/>
      <c r="AJ47" s="456"/>
      <c r="AO47" s="448" t="s">
        <v>81</v>
      </c>
    </row>
    <row r="48" spans="2:41" s="29" customFormat="1" ht="59.25" customHeight="1" x14ac:dyDescent="0.2">
      <c r="B48" s="24"/>
      <c r="C48" s="83"/>
      <c r="D48" s="83"/>
      <c r="E48" s="24"/>
      <c r="F48" s="24"/>
      <c r="G48" s="24"/>
      <c r="H48" s="24"/>
      <c r="I48" s="24"/>
      <c r="J48" s="24"/>
      <c r="K48" s="24"/>
      <c r="L48" s="24"/>
      <c r="M48" s="24"/>
      <c r="N48" s="24"/>
      <c r="O48" s="24"/>
      <c r="P48" s="24"/>
      <c r="Q48" s="24"/>
      <c r="R48" s="24"/>
      <c r="S48" s="24"/>
      <c r="T48" s="24"/>
      <c r="U48" s="24"/>
      <c r="V48" s="24"/>
      <c r="W48" s="24"/>
      <c r="X48" s="24"/>
      <c r="Y48" s="24"/>
      <c r="Z48" s="24"/>
      <c r="AA48" s="24"/>
      <c r="AB48" s="24"/>
      <c r="AC48" s="24"/>
      <c r="AD48" s="24"/>
      <c r="AE48" s="42"/>
      <c r="AG48" s="173">
        <v>1</v>
      </c>
      <c r="AH48" s="174"/>
      <c r="AI48" s="174"/>
      <c r="AJ48" s="175">
        <v>1</v>
      </c>
      <c r="AO48" s="449"/>
    </row>
    <row r="49" spans="2:41" s="29" customFormat="1" ht="122.25" customHeight="1" x14ac:dyDescent="0.2">
      <c r="B49" s="24"/>
      <c r="C49" s="83"/>
      <c r="D49" s="83"/>
      <c r="E49" s="24"/>
      <c r="F49" s="24"/>
      <c r="G49" s="24"/>
      <c r="H49" s="24"/>
      <c r="I49" s="24"/>
      <c r="J49" s="24"/>
      <c r="K49" s="24"/>
      <c r="L49" s="24"/>
      <c r="M49" s="24"/>
      <c r="N49" s="24"/>
      <c r="O49" s="24"/>
      <c r="P49" s="24"/>
      <c r="Q49" s="24"/>
      <c r="R49" s="24"/>
      <c r="S49" s="24"/>
      <c r="T49" s="24"/>
      <c r="U49" s="24"/>
      <c r="V49" s="24"/>
      <c r="W49" s="24"/>
      <c r="X49" s="24"/>
      <c r="Y49" s="24"/>
      <c r="Z49" s="24"/>
      <c r="AA49" s="24"/>
      <c r="AB49" s="24"/>
      <c r="AC49" s="24"/>
      <c r="AD49" s="24"/>
      <c r="AE49" s="42"/>
      <c r="AG49" s="173">
        <v>1</v>
      </c>
      <c r="AH49" s="174"/>
      <c r="AI49" s="174"/>
      <c r="AJ49" s="175">
        <v>1</v>
      </c>
      <c r="AO49" s="449"/>
    </row>
    <row r="50" spans="2:41" s="29" customFormat="1" ht="97.5" customHeight="1" x14ac:dyDescent="0.2">
      <c r="B50" s="24"/>
      <c r="C50" s="83"/>
      <c r="D50" s="83"/>
      <c r="E50" s="24"/>
      <c r="F50" s="24"/>
      <c r="G50" s="24"/>
      <c r="H50" s="24"/>
      <c r="I50" s="24"/>
      <c r="J50" s="24"/>
      <c r="K50" s="24"/>
      <c r="L50" s="24"/>
      <c r="M50" s="24"/>
      <c r="N50" s="24"/>
      <c r="O50" s="24"/>
      <c r="P50" s="24"/>
      <c r="Q50" s="24"/>
      <c r="R50" s="24"/>
      <c r="S50" s="24"/>
      <c r="T50" s="24"/>
      <c r="U50" s="24"/>
      <c r="V50" s="24"/>
      <c r="W50" s="24"/>
      <c r="X50" s="24"/>
      <c r="Y50" s="24"/>
      <c r="Z50" s="24"/>
      <c r="AA50" s="24"/>
      <c r="AB50" s="24"/>
      <c r="AC50" s="24"/>
      <c r="AD50" s="24"/>
      <c r="AE50" s="42"/>
      <c r="AG50" s="173">
        <v>1</v>
      </c>
      <c r="AH50" s="174"/>
      <c r="AI50" s="174"/>
      <c r="AJ50" s="175">
        <v>1</v>
      </c>
      <c r="AO50" s="449"/>
    </row>
    <row r="51" spans="2:41" s="29" customFormat="1" ht="49.5" customHeight="1" thickBot="1" x14ac:dyDescent="0.25">
      <c r="B51" s="24"/>
      <c r="C51" s="83"/>
      <c r="D51" s="83"/>
      <c r="E51" s="24"/>
      <c r="F51" s="24"/>
      <c r="G51" s="24"/>
      <c r="H51" s="24"/>
      <c r="I51" s="24"/>
      <c r="J51" s="24"/>
      <c r="K51" s="24"/>
      <c r="L51" s="24"/>
      <c r="M51" s="24"/>
      <c r="N51" s="24"/>
      <c r="O51" s="24"/>
      <c r="P51" s="24"/>
      <c r="Q51" s="24"/>
      <c r="R51" s="24"/>
      <c r="S51" s="24"/>
      <c r="T51" s="24"/>
      <c r="U51" s="24"/>
      <c r="V51" s="24"/>
      <c r="W51" s="24"/>
      <c r="X51" s="24"/>
      <c r="Y51" s="24"/>
      <c r="Z51" s="24"/>
      <c r="AA51" s="24"/>
      <c r="AB51" s="24"/>
      <c r="AC51" s="24"/>
      <c r="AD51" s="24"/>
      <c r="AE51" s="42"/>
      <c r="AG51" s="173">
        <v>1</v>
      </c>
      <c r="AH51" s="174"/>
      <c r="AI51" s="174"/>
      <c r="AJ51" s="175">
        <v>1</v>
      </c>
      <c r="AO51" s="450"/>
    </row>
    <row r="52" spans="2:41" s="29" customFormat="1" ht="61.5" customHeight="1" x14ac:dyDescent="0.2">
      <c r="B52" s="24"/>
      <c r="C52" s="83"/>
      <c r="D52" s="83"/>
      <c r="E52" s="24"/>
      <c r="F52" s="24"/>
      <c r="G52" s="24"/>
      <c r="H52" s="24"/>
      <c r="I52" s="24"/>
      <c r="J52" s="24"/>
      <c r="K52" s="24"/>
      <c r="L52" s="24"/>
      <c r="M52" s="24"/>
      <c r="N52" s="24"/>
      <c r="O52" s="24"/>
      <c r="P52" s="24"/>
      <c r="Q52" s="24"/>
      <c r="R52" s="24"/>
      <c r="S52" s="24"/>
      <c r="T52" s="24"/>
      <c r="U52" s="24"/>
      <c r="V52" s="24"/>
      <c r="W52" s="24"/>
      <c r="X52" s="24"/>
      <c r="Y52" s="24"/>
      <c r="Z52" s="24"/>
      <c r="AA52" s="24"/>
      <c r="AB52" s="24"/>
      <c r="AC52" s="24"/>
      <c r="AD52" s="24"/>
      <c r="AE52" s="42"/>
      <c r="AG52" s="173"/>
      <c r="AH52" s="174">
        <v>1</v>
      </c>
      <c r="AI52" s="174"/>
      <c r="AJ52" s="175">
        <v>1</v>
      </c>
      <c r="AO52" s="448" t="s">
        <v>82</v>
      </c>
    </row>
    <row r="53" spans="2:41" s="29" customFormat="1" ht="44.25" customHeight="1" x14ac:dyDescent="0.2">
      <c r="B53" s="24"/>
      <c r="C53" s="83"/>
      <c r="D53" s="83"/>
      <c r="E53" s="24"/>
      <c r="F53" s="24"/>
      <c r="G53" s="24"/>
      <c r="H53" s="24"/>
      <c r="I53" s="24"/>
      <c r="J53" s="24"/>
      <c r="K53" s="24"/>
      <c r="L53" s="24"/>
      <c r="M53" s="24"/>
      <c r="N53" s="24"/>
      <c r="O53" s="24"/>
      <c r="P53" s="24"/>
      <c r="Q53" s="24"/>
      <c r="R53" s="24"/>
      <c r="S53" s="24"/>
      <c r="T53" s="24"/>
      <c r="U53" s="24"/>
      <c r="V53" s="24"/>
      <c r="W53" s="24"/>
      <c r="X53" s="24"/>
      <c r="Y53" s="24"/>
      <c r="Z53" s="24"/>
      <c r="AA53" s="24"/>
      <c r="AB53" s="24"/>
      <c r="AC53" s="24"/>
      <c r="AD53" s="24"/>
      <c r="AE53" s="42"/>
      <c r="AG53" s="173">
        <v>1</v>
      </c>
      <c r="AH53" s="174"/>
      <c r="AI53" s="174"/>
      <c r="AJ53" s="175">
        <v>1</v>
      </c>
      <c r="AO53" s="449"/>
    </row>
    <row r="54" spans="2:41" s="29" customFormat="1" ht="97.5" customHeight="1" x14ac:dyDescent="0.2">
      <c r="B54" s="24"/>
      <c r="C54" s="83"/>
      <c r="D54" s="83"/>
      <c r="J54" s="24"/>
      <c r="K54" s="24"/>
      <c r="L54" s="24"/>
      <c r="M54" s="24"/>
      <c r="N54" s="24"/>
      <c r="O54" s="24"/>
      <c r="P54" s="24"/>
      <c r="Q54" s="24"/>
      <c r="R54" s="24"/>
      <c r="S54" s="24"/>
      <c r="T54" s="24"/>
      <c r="U54" s="24"/>
      <c r="V54" s="24"/>
      <c r="W54" s="24"/>
      <c r="X54" s="24"/>
      <c r="Y54" s="24"/>
      <c r="Z54" s="24"/>
      <c r="AA54" s="24"/>
      <c r="AB54" s="24"/>
      <c r="AC54" s="24"/>
      <c r="AD54" s="24"/>
      <c r="AE54" s="42"/>
      <c r="AG54" s="173">
        <v>1</v>
      </c>
      <c r="AH54" s="174"/>
      <c r="AI54" s="174"/>
      <c r="AJ54" s="175">
        <v>1</v>
      </c>
      <c r="AO54" s="449"/>
    </row>
    <row r="55" spans="2:41" s="29" customFormat="1" ht="54.75" customHeight="1" thickBot="1" x14ac:dyDescent="0.25">
      <c r="B55" s="24"/>
      <c r="C55" s="83"/>
      <c r="D55" s="83"/>
      <c r="E55" s="24"/>
      <c r="F55" s="24"/>
      <c r="G55" s="24"/>
      <c r="H55" s="24"/>
      <c r="I55" s="24"/>
      <c r="J55" s="24"/>
      <c r="K55" s="24"/>
      <c r="L55" s="24"/>
      <c r="M55" s="24"/>
      <c r="N55" s="24"/>
      <c r="O55" s="24"/>
      <c r="P55" s="24"/>
      <c r="Q55" s="24"/>
      <c r="R55" s="24"/>
      <c r="S55" s="24"/>
      <c r="T55" s="24"/>
      <c r="U55" s="24"/>
      <c r="V55" s="24"/>
      <c r="W55" s="24"/>
      <c r="X55" s="24"/>
      <c r="Y55" s="24"/>
      <c r="Z55" s="24"/>
      <c r="AA55" s="24"/>
      <c r="AB55" s="24"/>
      <c r="AC55" s="24"/>
      <c r="AD55" s="24"/>
      <c r="AE55" s="42"/>
      <c r="AG55" s="173">
        <v>1</v>
      </c>
      <c r="AH55" s="174"/>
      <c r="AI55" s="174"/>
      <c r="AJ55" s="175">
        <v>1</v>
      </c>
      <c r="AO55" s="450"/>
    </row>
    <row r="56" spans="2:41" s="29" customFormat="1" ht="83.25" customHeight="1" x14ac:dyDescent="0.2">
      <c r="B56" s="24"/>
      <c r="C56" s="83"/>
      <c r="D56" s="83"/>
      <c r="E56" s="24"/>
      <c r="F56" s="24"/>
      <c r="G56" s="24"/>
      <c r="H56" s="24"/>
      <c r="I56" s="24"/>
      <c r="J56" s="24"/>
      <c r="K56" s="24"/>
      <c r="L56" s="24"/>
      <c r="M56" s="24"/>
      <c r="N56" s="24"/>
      <c r="O56" s="24"/>
      <c r="P56" s="24"/>
      <c r="Q56" s="24"/>
      <c r="R56" s="24"/>
      <c r="S56" s="24"/>
      <c r="T56" s="24"/>
      <c r="U56" s="24"/>
      <c r="V56" s="24"/>
      <c r="W56" s="24"/>
      <c r="X56" s="24"/>
      <c r="Y56" s="24"/>
      <c r="Z56" s="24"/>
      <c r="AA56" s="24"/>
      <c r="AB56" s="24"/>
      <c r="AC56" s="24"/>
      <c r="AD56" s="24"/>
      <c r="AE56" s="42"/>
      <c r="AG56" s="173">
        <v>1</v>
      </c>
      <c r="AH56" s="174"/>
      <c r="AI56" s="174"/>
      <c r="AJ56" s="175">
        <v>1</v>
      </c>
      <c r="AO56" s="448" t="s">
        <v>73</v>
      </c>
    </row>
    <row r="57" spans="2:41" s="29" customFormat="1" ht="82.5" customHeight="1" x14ac:dyDescent="0.2">
      <c r="B57" s="24"/>
      <c r="C57" s="83"/>
      <c r="D57" s="83"/>
      <c r="E57" s="24"/>
      <c r="F57" s="24"/>
      <c r="G57" s="24"/>
      <c r="H57" s="24"/>
      <c r="I57" s="24"/>
      <c r="J57" s="24"/>
      <c r="K57" s="24"/>
      <c r="L57" s="24"/>
      <c r="M57" s="24"/>
      <c r="N57" s="24"/>
      <c r="O57" s="24"/>
      <c r="P57" s="24"/>
      <c r="Q57" s="24"/>
      <c r="R57" s="24"/>
      <c r="S57" s="24"/>
      <c r="T57" s="24"/>
      <c r="U57" s="24"/>
      <c r="V57" s="24"/>
      <c r="W57" s="24"/>
      <c r="X57" s="24"/>
      <c r="Y57" s="24"/>
      <c r="Z57" s="24"/>
      <c r="AA57" s="24"/>
      <c r="AB57" s="24"/>
      <c r="AC57" s="24"/>
      <c r="AD57" s="24"/>
      <c r="AE57" s="42"/>
      <c r="AG57" s="173"/>
      <c r="AH57" s="174"/>
      <c r="AI57" s="174">
        <v>1</v>
      </c>
      <c r="AJ57" s="175">
        <v>1</v>
      </c>
      <c r="AO57" s="449"/>
    </row>
    <row r="58" spans="2:41" s="29" customFormat="1" ht="67.5" customHeight="1" x14ac:dyDescent="0.2">
      <c r="B58" s="24"/>
      <c r="C58" s="83"/>
      <c r="D58" s="83"/>
      <c r="E58" s="24"/>
      <c r="F58" s="24"/>
      <c r="G58" s="24"/>
      <c r="H58" s="24"/>
      <c r="I58" s="24"/>
      <c r="J58" s="24"/>
      <c r="K58" s="24"/>
      <c r="L58" s="24"/>
      <c r="M58" s="24"/>
      <c r="N58" s="24"/>
      <c r="O58" s="24"/>
      <c r="P58" s="24"/>
      <c r="Q58" s="24"/>
      <c r="R58" s="24"/>
      <c r="S58" s="24"/>
      <c r="T58" s="24"/>
      <c r="U58" s="24"/>
      <c r="V58" s="24"/>
      <c r="W58" s="24"/>
      <c r="X58" s="24"/>
      <c r="Y58" s="24"/>
      <c r="Z58" s="24"/>
      <c r="AA58" s="24"/>
      <c r="AB58" s="24"/>
      <c r="AC58" s="24"/>
      <c r="AD58" s="24"/>
      <c r="AE58" s="42"/>
      <c r="AG58" s="173"/>
      <c r="AH58" s="174">
        <v>1</v>
      </c>
      <c r="AI58" s="174"/>
      <c r="AJ58" s="175">
        <v>1</v>
      </c>
      <c r="AO58" s="449"/>
    </row>
    <row r="59" spans="2:41" s="29" customFormat="1" ht="65.25" customHeight="1" thickBot="1" x14ac:dyDescent="0.25">
      <c r="B59" s="24"/>
      <c r="C59" s="83"/>
      <c r="D59" s="83"/>
      <c r="E59" s="24"/>
      <c r="F59" s="24"/>
      <c r="G59" s="24"/>
      <c r="H59" s="24"/>
      <c r="I59" s="24"/>
      <c r="J59" s="24"/>
      <c r="K59" s="24"/>
      <c r="L59" s="24"/>
      <c r="M59" s="24"/>
      <c r="N59" s="24"/>
      <c r="O59" s="24"/>
      <c r="P59" s="24"/>
      <c r="Q59" s="24"/>
      <c r="R59" s="24"/>
      <c r="S59" s="24"/>
      <c r="T59" s="24"/>
      <c r="U59" s="24"/>
      <c r="V59" s="24"/>
      <c r="W59" s="24"/>
      <c r="X59" s="24"/>
      <c r="Y59" s="24"/>
      <c r="Z59" s="24"/>
      <c r="AA59" s="24"/>
      <c r="AB59" s="24"/>
      <c r="AC59" s="24"/>
      <c r="AD59" s="24"/>
      <c r="AE59" s="42"/>
      <c r="AG59" s="173">
        <v>1</v>
      </c>
      <c r="AH59" s="174"/>
      <c r="AI59" s="174"/>
      <c r="AJ59" s="175">
        <v>1</v>
      </c>
      <c r="AO59" s="450"/>
    </row>
    <row r="60" spans="2:41" s="29" customFormat="1" ht="36.75" customHeight="1" x14ac:dyDescent="0.2">
      <c r="B60" s="24"/>
      <c r="C60" s="83"/>
      <c r="D60" s="83"/>
      <c r="E60" s="24"/>
      <c r="F60" s="24"/>
      <c r="G60" s="24"/>
      <c r="H60" s="24"/>
      <c r="I60" s="24"/>
      <c r="J60" s="24"/>
      <c r="K60" s="24"/>
      <c r="L60" s="24"/>
      <c r="M60" s="24"/>
      <c r="N60" s="24"/>
      <c r="O60" s="24"/>
      <c r="P60" s="24"/>
      <c r="Q60" s="24"/>
      <c r="R60" s="24"/>
      <c r="S60" s="24"/>
      <c r="T60" s="24"/>
      <c r="U60" s="24"/>
      <c r="V60" s="24"/>
      <c r="W60" s="24"/>
      <c r="X60" s="24"/>
      <c r="Y60" s="24"/>
      <c r="Z60" s="24"/>
      <c r="AA60" s="24"/>
      <c r="AB60" s="24"/>
      <c r="AC60" s="24"/>
      <c r="AD60" s="24"/>
      <c r="AE60" s="42"/>
      <c r="AG60" s="173"/>
      <c r="AH60" s="174"/>
      <c r="AI60" s="174"/>
      <c r="AJ60" s="175"/>
    </row>
    <row r="61" spans="2:41" s="29" customFormat="1" ht="151.5" customHeight="1" x14ac:dyDescent="0.2">
      <c r="B61" s="24"/>
      <c r="C61" s="83"/>
      <c r="D61" s="83"/>
      <c r="I61" s="24"/>
      <c r="J61" s="24"/>
      <c r="K61" s="24"/>
      <c r="L61" s="24"/>
      <c r="M61" s="24"/>
      <c r="N61" s="24"/>
      <c r="O61" s="24"/>
      <c r="P61" s="24"/>
      <c r="Q61" s="24"/>
      <c r="R61" s="24"/>
      <c r="S61" s="24"/>
      <c r="T61" s="24"/>
      <c r="U61" s="24"/>
      <c r="V61" s="24"/>
      <c r="W61" s="24"/>
      <c r="X61" s="24"/>
      <c r="Y61" s="24"/>
      <c r="Z61" s="24"/>
      <c r="AA61" s="24"/>
      <c r="AB61" s="24"/>
      <c r="AC61" s="24"/>
      <c r="AD61" s="24"/>
      <c r="AE61" s="42"/>
      <c r="AG61" s="173"/>
      <c r="AH61" s="174"/>
      <c r="AI61" s="174">
        <v>1</v>
      </c>
      <c r="AJ61" s="175">
        <v>1</v>
      </c>
    </row>
    <row r="62" spans="2:41" s="29" customFormat="1" ht="100.5" customHeight="1" x14ac:dyDescent="0.2">
      <c r="B62" s="24"/>
      <c r="C62" s="83"/>
      <c r="D62" s="83"/>
      <c r="E62" s="24"/>
      <c r="F62" s="24"/>
      <c r="G62" s="24"/>
      <c r="H62" s="24"/>
      <c r="I62" s="24"/>
      <c r="J62" s="24"/>
      <c r="K62" s="24"/>
      <c r="L62" s="24"/>
      <c r="M62" s="24"/>
      <c r="N62" s="24"/>
      <c r="O62" s="24"/>
      <c r="P62" s="24"/>
      <c r="Q62" s="24"/>
      <c r="R62" s="24"/>
      <c r="S62" s="24"/>
      <c r="T62" s="24"/>
      <c r="U62" s="24"/>
      <c r="V62" s="24"/>
      <c r="W62" s="24"/>
      <c r="X62" s="24"/>
      <c r="Y62" s="24"/>
      <c r="Z62" s="24"/>
      <c r="AA62" s="24"/>
      <c r="AB62" s="24"/>
      <c r="AC62" s="24"/>
      <c r="AD62" s="24"/>
      <c r="AE62" s="42"/>
      <c r="AG62" s="173"/>
      <c r="AH62" s="174"/>
      <c r="AI62" s="174">
        <v>1</v>
      </c>
      <c r="AJ62" s="175">
        <v>1</v>
      </c>
    </row>
    <row r="63" spans="2:41" s="29" customFormat="1" ht="113.25" customHeight="1" x14ac:dyDescent="0.2">
      <c r="B63" s="24"/>
      <c r="C63" s="83"/>
      <c r="D63" s="83"/>
      <c r="E63" s="24"/>
      <c r="F63" s="24"/>
      <c r="G63" s="24"/>
      <c r="H63" s="24"/>
      <c r="I63" s="24"/>
      <c r="J63" s="24"/>
      <c r="K63" s="24"/>
      <c r="L63" s="24"/>
      <c r="M63" s="24"/>
      <c r="N63" s="24"/>
      <c r="O63" s="24"/>
      <c r="P63" s="24"/>
      <c r="Q63" s="24"/>
      <c r="R63" s="24"/>
      <c r="S63" s="24"/>
      <c r="T63" s="24"/>
      <c r="U63" s="24"/>
      <c r="V63" s="24"/>
      <c r="W63" s="24"/>
      <c r="X63" s="24"/>
      <c r="Y63" s="24"/>
      <c r="Z63" s="24"/>
      <c r="AA63" s="24"/>
      <c r="AB63" s="24"/>
      <c r="AC63" s="24"/>
      <c r="AD63" s="24"/>
      <c r="AE63" s="42"/>
      <c r="AG63" s="173"/>
      <c r="AH63" s="174">
        <v>1</v>
      </c>
      <c r="AI63" s="174"/>
      <c r="AJ63" s="175">
        <v>1</v>
      </c>
    </row>
    <row r="64" spans="2:41" ht="54.75" customHeight="1" x14ac:dyDescent="0.2">
      <c r="C64" s="83"/>
      <c r="D64" s="83"/>
      <c r="AE64" s="42"/>
      <c r="AF64" s="29"/>
      <c r="AG64" s="34"/>
      <c r="AH64" s="30">
        <v>1</v>
      </c>
      <c r="AI64" s="30"/>
      <c r="AJ64" s="35">
        <v>1</v>
      </c>
    </row>
    <row r="65" spans="3:36" ht="45.75" customHeight="1" x14ac:dyDescent="0.2">
      <c r="C65" s="83"/>
      <c r="D65" s="83"/>
      <c r="AE65" s="42"/>
      <c r="AF65" s="29"/>
      <c r="AG65" s="34"/>
      <c r="AH65" s="30">
        <v>1</v>
      </c>
      <c r="AI65" s="30"/>
      <c r="AJ65" s="35">
        <v>1</v>
      </c>
    </row>
    <row r="66" spans="3:36" ht="54.75" customHeight="1" x14ac:dyDescent="0.2">
      <c r="C66" s="83"/>
      <c r="D66" s="83"/>
      <c r="AE66" s="42"/>
      <c r="AF66" s="29"/>
      <c r="AG66" s="34"/>
      <c r="AH66" s="30">
        <v>1</v>
      </c>
      <c r="AI66" s="30"/>
      <c r="AJ66" s="35">
        <v>1</v>
      </c>
    </row>
    <row r="67" spans="3:36" ht="201.75" customHeight="1" x14ac:dyDescent="0.2">
      <c r="C67" s="83"/>
      <c r="D67" s="83"/>
      <c r="AE67" s="42"/>
      <c r="AF67" s="29"/>
      <c r="AG67" s="34"/>
      <c r="AH67" s="30">
        <v>1</v>
      </c>
      <c r="AI67" s="30"/>
      <c r="AJ67" s="35">
        <v>1</v>
      </c>
    </row>
    <row r="68" spans="3:36" ht="125.25" customHeight="1" x14ac:dyDescent="0.2">
      <c r="C68" s="83"/>
      <c r="D68" s="83"/>
      <c r="AE68" s="42"/>
      <c r="AF68" s="29"/>
      <c r="AG68" s="34"/>
      <c r="AH68" s="30">
        <v>1</v>
      </c>
      <c r="AI68" s="30"/>
      <c r="AJ68" s="35">
        <v>1</v>
      </c>
    </row>
    <row r="69" spans="3:36" ht="112.5" customHeight="1" thickBot="1" x14ac:dyDescent="0.25">
      <c r="C69" s="83"/>
      <c r="D69" s="83"/>
      <c r="AE69" s="42"/>
      <c r="AG69" s="36">
        <f>SUM(AG9:AG64)</f>
        <v>24</v>
      </c>
      <c r="AH69" s="37">
        <f>SUM(AH9:AH68)</f>
        <v>18</v>
      </c>
      <c r="AI69" s="37">
        <f>SUM(AI9:AI68)</f>
        <v>5</v>
      </c>
      <c r="AJ69" s="38">
        <f>SUM(AJ9:AJ68)</f>
        <v>47</v>
      </c>
    </row>
    <row r="70" spans="3:36" ht="94.5" customHeight="1" x14ac:dyDescent="0.2">
      <c r="C70" s="83"/>
      <c r="D70" s="83"/>
      <c r="AE70" s="42"/>
    </row>
    <row r="71" spans="3:36" ht="100.5" customHeight="1" x14ac:dyDescent="0.2">
      <c r="C71" s="83"/>
      <c r="D71" s="83"/>
      <c r="AE71" s="42"/>
    </row>
    <row r="72" spans="3:36" ht="226.5" customHeight="1" x14ac:dyDescent="0.2">
      <c r="C72" s="83"/>
      <c r="D72" s="83"/>
      <c r="AE72" s="42"/>
    </row>
    <row r="73" spans="3:36" ht="67.5" customHeight="1" x14ac:dyDescent="0.2">
      <c r="C73" s="83"/>
      <c r="D73" s="83"/>
      <c r="AE73" s="42"/>
    </row>
    <row r="74" spans="3:36" ht="90.75" customHeight="1" x14ac:dyDescent="0.2">
      <c r="C74" s="83"/>
      <c r="D74" s="83"/>
      <c r="AE74" s="42"/>
    </row>
    <row r="75" spans="3:36" ht="75" customHeight="1" x14ac:dyDescent="0.2">
      <c r="C75" s="83"/>
      <c r="D75" s="83"/>
      <c r="AE75" s="42"/>
    </row>
    <row r="76" spans="3:36" x14ac:dyDescent="0.2">
      <c r="C76" s="83"/>
      <c r="D76" s="83"/>
      <c r="AE76" s="42"/>
    </row>
    <row r="77" spans="3:36" ht="43.5" customHeight="1" x14ac:dyDescent="0.2">
      <c r="C77" s="83"/>
      <c r="D77" s="83"/>
      <c r="AE77" s="42"/>
    </row>
    <row r="78" spans="3:36" ht="49.5" customHeight="1" x14ac:dyDescent="0.2">
      <c r="C78" s="83"/>
      <c r="D78" s="83"/>
      <c r="AE78" s="42"/>
    </row>
    <row r="79" spans="3:36" ht="232.5" customHeight="1" x14ac:dyDescent="0.2">
      <c r="C79" s="83"/>
      <c r="D79" s="83"/>
      <c r="H79" s="83"/>
      <c r="I79" s="83"/>
      <c r="AE79" s="42"/>
    </row>
    <row r="80" spans="3:36" x14ac:dyDescent="0.2">
      <c r="C80" s="83"/>
      <c r="D80" s="83"/>
      <c r="AE80" s="42"/>
    </row>
    <row r="81" spans="3:31" ht="241.5" customHeight="1" x14ac:dyDescent="0.2">
      <c r="C81" s="83"/>
      <c r="D81" s="83"/>
      <c r="AE81" s="42"/>
    </row>
    <row r="82" spans="3:31" x14ac:dyDescent="0.2">
      <c r="AE82" s="42"/>
    </row>
    <row r="83" spans="3:31" x14ac:dyDescent="0.2">
      <c r="AE83" s="42"/>
    </row>
    <row r="84" spans="3:31" x14ac:dyDescent="0.2">
      <c r="AE84" s="42"/>
    </row>
    <row r="85" spans="3:31" x14ac:dyDescent="0.2">
      <c r="AE85" s="42"/>
    </row>
  </sheetData>
  <autoFilter ref="B8:AC21"/>
  <mergeCells count="56">
    <mergeCell ref="B5:AE5"/>
    <mergeCell ref="B2:AE2"/>
    <mergeCell ref="B3:F3"/>
    <mergeCell ref="G3:N3"/>
    <mergeCell ref="O3:T3"/>
    <mergeCell ref="U3:AA3"/>
    <mergeCell ref="AB3:AE3"/>
    <mergeCell ref="B4:F4"/>
    <mergeCell ref="G4:N4"/>
    <mergeCell ref="O4:T4"/>
    <mergeCell ref="U4:AA4"/>
    <mergeCell ref="AB4:AE4"/>
    <mergeCell ref="B6:I6"/>
    <mergeCell ref="J6:N7"/>
    <mergeCell ref="O6:P6"/>
    <mergeCell ref="Q6:U7"/>
    <mergeCell ref="V6:AE6"/>
    <mergeCell ref="B7:B8"/>
    <mergeCell ref="C7:C8"/>
    <mergeCell ref="D7:D8"/>
    <mergeCell ref="O7:P7"/>
    <mergeCell ref="V7:Y7"/>
    <mergeCell ref="Z7:AD7"/>
    <mergeCell ref="AE7:AE8"/>
    <mergeCell ref="AG7:AJ7"/>
    <mergeCell ref="B9:B21"/>
    <mergeCell ref="AE9:AE21"/>
    <mergeCell ref="H28:I28"/>
    <mergeCell ref="AO23:AO30"/>
    <mergeCell ref="F24:G24"/>
    <mergeCell ref="H24:I24"/>
    <mergeCell ref="M24:N24"/>
    <mergeCell ref="O24:P24"/>
    <mergeCell ref="F25:G25"/>
    <mergeCell ref="H25:I25"/>
    <mergeCell ref="M25:N25"/>
    <mergeCell ref="O25:P25"/>
    <mergeCell ref="F26:G26"/>
    <mergeCell ref="H23:K23"/>
    <mergeCell ref="M23:P23"/>
    <mergeCell ref="H26:I26"/>
    <mergeCell ref="M26:N26"/>
    <mergeCell ref="O26:P26"/>
    <mergeCell ref="F27:G27"/>
    <mergeCell ref="H27:I27"/>
    <mergeCell ref="AG46:AG47"/>
    <mergeCell ref="AH46:AH47"/>
    <mergeCell ref="AI46:AI47"/>
    <mergeCell ref="AJ46:AJ47"/>
    <mergeCell ref="AO47:AO51"/>
    <mergeCell ref="AO52:AO55"/>
    <mergeCell ref="AO56:AO59"/>
    <mergeCell ref="AO31:AO36"/>
    <mergeCell ref="AO37:AO40"/>
    <mergeCell ref="AO41:AO42"/>
    <mergeCell ref="AO43:AO46"/>
  </mergeCells>
  <conditionalFormatting sqref="N9:P21">
    <cfRule type="cellIs" dxfId="212" priority="21" operator="equal">
      <formula>5</formula>
    </cfRule>
    <cfRule type="cellIs" priority="22" operator="equal">
      <formula>5</formula>
    </cfRule>
    <cfRule type="cellIs" dxfId="211" priority="23" operator="between">
      <formula>6</formula>
      <formula>30</formula>
    </cfRule>
    <cfRule type="cellIs" dxfId="210" priority="24" operator="between">
      <formula>31</formula>
      <formula>60</formula>
    </cfRule>
  </conditionalFormatting>
  <conditionalFormatting sqref="N9:P21">
    <cfRule type="containsErrors" dxfId="209" priority="20">
      <formula>ISERROR(N9)</formula>
    </cfRule>
  </conditionalFormatting>
  <conditionalFormatting sqref="J9:J21">
    <cfRule type="containsText" dxfId="208" priority="19" operator="containsText" text="N/A">
      <formula>NOT(ISERROR(SEARCH("N/A",J9)))</formula>
    </cfRule>
  </conditionalFormatting>
  <conditionalFormatting sqref="L9:L21">
    <cfRule type="containsText" dxfId="207" priority="18" operator="containsText" text="N/A">
      <formula>NOT(ISERROR(SEARCH("N/A",L9)))</formula>
    </cfRule>
  </conditionalFormatting>
  <conditionalFormatting sqref="V9:Y21">
    <cfRule type="containsErrors" dxfId="206" priority="17">
      <formula>ISERROR(V9)</formula>
    </cfRule>
  </conditionalFormatting>
  <conditionalFormatting sqref="U9:U21">
    <cfRule type="cellIs" dxfId="205" priority="13" operator="equal">
      <formula>5</formula>
    </cfRule>
    <cfRule type="cellIs" priority="14" operator="equal">
      <formula>5</formula>
    </cfRule>
    <cfRule type="cellIs" dxfId="204" priority="15" operator="between">
      <formula>6</formula>
      <formula>30</formula>
    </cfRule>
    <cfRule type="cellIs" dxfId="203" priority="16" operator="between">
      <formula>31</formula>
      <formula>60</formula>
    </cfRule>
  </conditionalFormatting>
  <conditionalFormatting sqref="U9:U21">
    <cfRule type="containsErrors" dxfId="202" priority="12">
      <formula>ISERROR(U9)</formula>
    </cfRule>
  </conditionalFormatting>
  <conditionalFormatting sqref="Q9:Q21">
    <cfRule type="containsText" dxfId="201" priority="11" operator="containsText" text="N/A">
      <formula>NOT(ISERROR(SEARCH("N/A",Q9)))</formula>
    </cfRule>
  </conditionalFormatting>
  <conditionalFormatting sqref="S9:S21">
    <cfRule type="containsText" dxfId="200" priority="10" operator="containsText" text="N/A">
      <formula>NOT(ISERROR(SEARCH("N/A",S9)))</formula>
    </cfRule>
  </conditionalFormatting>
  <conditionalFormatting sqref="M25 O25">
    <cfRule type="cellIs" dxfId="199" priority="6" operator="equal">
      <formula>5</formula>
    </cfRule>
    <cfRule type="cellIs" priority="7" operator="equal">
      <formula>5</formula>
    </cfRule>
    <cfRule type="cellIs" dxfId="198" priority="8" operator="between">
      <formula>6</formula>
      <formula>30</formula>
    </cfRule>
    <cfRule type="cellIs" dxfId="197" priority="9" operator="between">
      <formula>31</formula>
      <formula>60</formula>
    </cfRule>
  </conditionalFormatting>
  <conditionalFormatting sqref="M25 O25">
    <cfRule type="containsErrors" dxfId="196" priority="5">
      <formula>ISERROR(M25)</formula>
    </cfRule>
  </conditionalFormatting>
  <conditionalFormatting sqref="K9:K21">
    <cfRule type="containsText" dxfId="195" priority="4" operator="containsText" text="N/A">
      <formula>NOT(ISERROR(SEARCH("N/A",K9)))</formula>
    </cfRule>
  </conditionalFormatting>
  <conditionalFormatting sqref="M9:M21">
    <cfRule type="containsText" dxfId="194" priority="3" operator="containsText" text="N/A">
      <formula>NOT(ISERROR(SEARCH("N/A",M9)))</formula>
    </cfRule>
  </conditionalFormatting>
  <conditionalFormatting sqref="R9:R21">
    <cfRule type="containsText" dxfId="193" priority="2" operator="containsText" text="N/A">
      <formula>NOT(ISERROR(SEARCH("N/A",R9)))</formula>
    </cfRule>
  </conditionalFormatting>
  <conditionalFormatting sqref="T9:T21">
    <cfRule type="containsText" dxfId="192" priority="1" operator="containsText" text="N/A">
      <formula>NOT(ISERROR(SEARCH("N/A",T9)))</formula>
    </cfRule>
  </conditionalFormatting>
  <dataValidations count="3">
    <dataValidation type="list" allowBlank="1" showInputMessage="1" showErrorMessage="1" sqref="C9:C21">
      <formula1>$AM$8:$AM$9</formula1>
    </dataValidation>
    <dataValidation type="list" allowBlank="1" showInputMessage="1" showErrorMessage="1" sqref="L9:L21 S9:S21">
      <formula1>$AL$8:$AL$11</formula1>
    </dataValidation>
    <dataValidation type="list" allowBlank="1" showInputMessage="1" showErrorMessage="1" sqref="J9:J21 Q9:Q21">
      <formula1>$AK$8:$AK$11</formula1>
    </dataValidation>
  </dataValidations>
  <printOptions verticalCentered="1"/>
  <pageMargins left="0.19685039370078741" right="0.59055118110236227" top="0.39370078740157483" bottom="0.47244094488188981" header="0" footer="0"/>
  <pageSetup scale="16" fitToHeight="0" orientation="landscape" r:id="rId1"/>
  <headerFooter alignWithMargins="0">
    <oddFooter>&amp;C&amp;8Página &amp;P de &amp;N</oddFooter>
  </headerFooter>
  <colBreaks count="1" manualBreakCount="1">
    <brk id="31" max="1048575" man="1"/>
  </colBreaks>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B1:Y17"/>
  <sheetViews>
    <sheetView showGridLines="0" view="pageBreakPreview" topLeftCell="H1" zoomScale="120" zoomScaleNormal="75" zoomScaleSheetLayoutView="120" zoomScalePageLayoutView="75" workbookViewId="0">
      <selection activeCell="N9" sqref="N9"/>
    </sheetView>
  </sheetViews>
  <sheetFormatPr baseColWidth="10" defaultColWidth="10.85546875" defaultRowHeight="12.75" x14ac:dyDescent="0.2"/>
  <cols>
    <col min="1" max="1" width="1.42578125" style="1" customWidth="1"/>
    <col min="2" max="2" width="18.5703125" style="1" customWidth="1"/>
    <col min="3" max="3" width="17" style="1" customWidth="1"/>
    <col min="4" max="4" width="14.5703125" style="1" customWidth="1"/>
    <col min="5" max="5" width="17.85546875" style="1" customWidth="1"/>
    <col min="6" max="6" width="12.85546875" style="1" customWidth="1"/>
    <col min="7" max="7" width="12.5703125" style="1" customWidth="1"/>
    <col min="8" max="8" width="15" style="1" customWidth="1"/>
    <col min="9" max="9" width="9.85546875" style="1" customWidth="1"/>
    <col min="10" max="10" width="16.42578125" style="1" customWidth="1"/>
    <col min="11" max="11" width="4.140625" style="1" customWidth="1"/>
    <col min="12" max="12" width="4.85546875" style="1" customWidth="1"/>
    <col min="13" max="13" width="16" style="1" customWidth="1"/>
    <col min="14" max="14" width="17.5703125" style="1" customWidth="1"/>
    <col min="15" max="17" width="10.85546875" style="1"/>
    <col min="18" max="18" width="3.140625" style="1" customWidth="1"/>
    <col min="19" max="16384" width="10.85546875" style="1"/>
  </cols>
  <sheetData>
    <row r="1" spans="2:25" ht="44.1" customHeight="1" x14ac:dyDescent="0.2">
      <c r="B1" s="529" t="s">
        <v>103</v>
      </c>
      <c r="C1" s="529"/>
      <c r="D1" s="529"/>
      <c r="E1" s="529"/>
      <c r="F1" s="529"/>
      <c r="G1" s="529"/>
      <c r="H1" s="529"/>
      <c r="I1" s="529"/>
      <c r="J1" s="529"/>
      <c r="K1" s="529"/>
      <c r="L1" s="529"/>
      <c r="M1" s="529"/>
      <c r="N1" s="529"/>
      <c r="O1" s="529"/>
      <c r="P1" s="529"/>
      <c r="Q1" s="529"/>
      <c r="R1" s="529"/>
      <c r="S1" s="529"/>
      <c r="T1" s="529"/>
      <c r="U1" s="529"/>
      <c r="V1" s="529"/>
    </row>
    <row r="2" spans="2:25" ht="15.75" customHeight="1" x14ac:dyDescent="0.2">
      <c r="B2" s="530" t="s">
        <v>14</v>
      </c>
      <c r="C2" s="530"/>
      <c r="D2" s="530"/>
      <c r="E2" s="530"/>
      <c r="F2" s="530"/>
      <c r="G2" s="530"/>
      <c r="H2" s="530"/>
      <c r="I2" s="530"/>
      <c r="J2" s="530"/>
      <c r="M2" s="530" t="s">
        <v>67</v>
      </c>
      <c r="N2" s="530"/>
      <c r="O2" s="530"/>
      <c r="P2" s="530"/>
      <c r="Q2" s="530"/>
      <c r="R2" s="530"/>
    </row>
    <row r="3" spans="2:25" ht="13.5" thickBot="1" x14ac:dyDescent="0.25"/>
    <row r="4" spans="2:25" ht="16.5" thickBot="1" x14ac:dyDescent="0.25">
      <c r="B4" s="543" t="s">
        <v>12</v>
      </c>
      <c r="C4" s="544"/>
      <c r="D4" s="544"/>
      <c r="E4" s="545"/>
      <c r="G4" s="540" t="s">
        <v>2</v>
      </c>
      <c r="H4" s="541"/>
      <c r="I4" s="541"/>
      <c r="J4" s="542"/>
      <c r="M4" s="22" t="s">
        <v>33</v>
      </c>
      <c r="N4" s="21" t="s">
        <v>29</v>
      </c>
      <c r="O4" s="5"/>
      <c r="P4" s="5"/>
      <c r="Q4" s="20"/>
      <c r="S4" s="531" t="s">
        <v>19</v>
      </c>
      <c r="T4" s="532"/>
      <c r="U4" s="532"/>
      <c r="V4" s="533"/>
    </row>
    <row r="5" spans="2:25" ht="57" customHeight="1" thickBot="1" x14ac:dyDescent="0.25">
      <c r="B5" s="546" t="s">
        <v>15</v>
      </c>
      <c r="C5" s="547"/>
      <c r="D5" s="547"/>
      <c r="E5" s="548"/>
      <c r="G5" s="549" t="s">
        <v>18</v>
      </c>
      <c r="H5" s="550"/>
      <c r="I5" s="550"/>
      <c r="J5" s="551"/>
      <c r="L5" s="3"/>
      <c r="M5" s="19" t="s">
        <v>32</v>
      </c>
      <c r="N5" s="18">
        <v>3</v>
      </c>
      <c r="O5" s="143">
        <v>15</v>
      </c>
      <c r="P5" s="17">
        <v>30</v>
      </c>
      <c r="Q5" s="16">
        <v>60</v>
      </c>
      <c r="S5" s="534" t="s">
        <v>446</v>
      </c>
      <c r="T5" s="535"/>
      <c r="U5" s="535"/>
      <c r="V5" s="536"/>
    </row>
    <row r="6" spans="2:25" ht="15.75" x14ac:dyDescent="0.2">
      <c r="B6" s="552" t="s">
        <v>16</v>
      </c>
      <c r="C6" s="553"/>
      <c r="D6" s="558">
        <v>3</v>
      </c>
      <c r="E6" s="559"/>
      <c r="G6" s="562" t="s">
        <v>4</v>
      </c>
      <c r="H6" s="563"/>
      <c r="I6" s="558">
        <v>20</v>
      </c>
      <c r="J6" s="559"/>
      <c r="L6" s="3"/>
      <c r="M6" s="15" t="s">
        <v>31</v>
      </c>
      <c r="N6" s="14">
        <v>2</v>
      </c>
      <c r="O6" s="144">
        <v>10</v>
      </c>
      <c r="P6" s="145">
        <v>20</v>
      </c>
      <c r="Q6" s="13">
        <v>40</v>
      </c>
      <c r="S6" s="539" t="s">
        <v>24</v>
      </c>
      <c r="T6" s="537"/>
      <c r="U6" s="537" t="s">
        <v>22</v>
      </c>
      <c r="V6" s="538"/>
    </row>
    <row r="7" spans="2:25" ht="16.5" thickBot="1" x14ac:dyDescent="0.25">
      <c r="B7" s="525" t="s">
        <v>34</v>
      </c>
      <c r="C7" s="526"/>
      <c r="D7" s="570">
        <v>2</v>
      </c>
      <c r="E7" s="571"/>
      <c r="G7" s="564" t="s">
        <v>5</v>
      </c>
      <c r="H7" s="565"/>
      <c r="I7" s="570">
        <v>10</v>
      </c>
      <c r="J7" s="571"/>
      <c r="L7" s="4"/>
      <c r="M7" s="12" t="s">
        <v>30</v>
      </c>
      <c r="N7" s="11">
        <v>1</v>
      </c>
      <c r="O7" s="10">
        <v>5</v>
      </c>
      <c r="P7" s="146">
        <v>10</v>
      </c>
      <c r="Q7" s="146">
        <v>20</v>
      </c>
      <c r="S7" s="560" t="s">
        <v>3</v>
      </c>
      <c r="T7" s="554"/>
      <c r="U7" s="554" t="s">
        <v>21</v>
      </c>
      <c r="V7" s="555"/>
    </row>
    <row r="8" spans="2:25" ht="16.5" thickBot="1" x14ac:dyDescent="0.25">
      <c r="B8" s="527" t="s">
        <v>17</v>
      </c>
      <c r="C8" s="528"/>
      <c r="D8" s="568">
        <v>1</v>
      </c>
      <c r="E8" s="569"/>
      <c r="G8" s="566" t="s">
        <v>6</v>
      </c>
      <c r="H8" s="567"/>
      <c r="I8" s="568">
        <v>5</v>
      </c>
      <c r="J8" s="569"/>
      <c r="L8" s="4"/>
      <c r="M8" s="5"/>
      <c r="N8" s="9" t="s">
        <v>29</v>
      </c>
      <c r="O8" s="8">
        <v>5</v>
      </c>
      <c r="P8" s="7">
        <v>10</v>
      </c>
      <c r="Q8" s="6">
        <v>20</v>
      </c>
      <c r="S8" s="561" t="s">
        <v>23</v>
      </c>
      <c r="T8" s="556"/>
      <c r="U8" s="556" t="s">
        <v>20</v>
      </c>
      <c r="V8" s="557"/>
    </row>
    <row r="9" spans="2:25" ht="15.75" x14ac:dyDescent="0.2">
      <c r="L9" s="4"/>
      <c r="M9" s="5"/>
      <c r="N9" s="60" t="s">
        <v>965</v>
      </c>
      <c r="O9" s="61" t="s">
        <v>28</v>
      </c>
      <c r="P9" s="62" t="s">
        <v>27</v>
      </c>
      <c r="Q9" s="63" t="s">
        <v>26</v>
      </c>
    </row>
    <row r="10" spans="2:25" ht="15.75" thickBot="1" x14ac:dyDescent="0.25">
      <c r="B10" s="64"/>
      <c r="C10" s="64"/>
      <c r="D10" s="64"/>
      <c r="E10" s="64"/>
      <c r="F10" s="64"/>
      <c r="G10" s="64"/>
      <c r="H10" s="64"/>
      <c r="I10" s="64"/>
      <c r="J10" s="64"/>
      <c r="K10" s="64"/>
      <c r="L10" s="65"/>
      <c r="M10" s="64"/>
      <c r="N10" s="64"/>
      <c r="O10" s="64"/>
      <c r="P10" s="64"/>
      <c r="Q10" s="64"/>
      <c r="R10" s="64"/>
      <c r="S10" s="64"/>
      <c r="T10" s="64"/>
      <c r="U10" s="64"/>
      <c r="V10" s="64"/>
      <c r="W10" s="66"/>
      <c r="X10" s="66"/>
      <c r="Y10" s="66"/>
    </row>
    <row r="11" spans="2:25" ht="15.75" thickBot="1" x14ac:dyDescent="0.25">
      <c r="F11" s="2"/>
      <c r="L11" s="4"/>
    </row>
    <row r="12" spans="2:25" ht="54" customHeight="1" thickBot="1" x14ac:dyDescent="0.25">
      <c r="B12" s="315" t="s">
        <v>405</v>
      </c>
      <c r="C12" s="316" t="s">
        <v>406</v>
      </c>
      <c r="D12" s="316" t="s">
        <v>9</v>
      </c>
      <c r="E12" s="316" t="s">
        <v>407</v>
      </c>
      <c r="G12" s="516" t="s">
        <v>417</v>
      </c>
      <c r="H12" s="518" t="s">
        <v>418</v>
      </c>
      <c r="I12" s="516" t="s">
        <v>419</v>
      </c>
      <c r="J12" s="516" t="s">
        <v>420</v>
      </c>
      <c r="K12" s="518" t="s">
        <v>421</v>
      </c>
      <c r="L12" s="519"/>
      <c r="M12" s="520"/>
      <c r="N12" s="516" t="s">
        <v>422</v>
      </c>
      <c r="P12" s="322" t="s">
        <v>438</v>
      </c>
      <c r="Q12" s="499" t="s">
        <v>439</v>
      </c>
      <c r="R12" s="500"/>
      <c r="S12" s="500"/>
      <c r="T12" s="500"/>
      <c r="U12" s="500"/>
      <c r="V12" s="501"/>
    </row>
    <row r="13" spans="2:25" ht="66.75" customHeight="1" thickBot="1" x14ac:dyDescent="0.25">
      <c r="B13" s="317">
        <v>3</v>
      </c>
      <c r="C13" s="318" t="s">
        <v>408</v>
      </c>
      <c r="D13" s="318" t="s">
        <v>409</v>
      </c>
      <c r="E13" s="318" t="s">
        <v>410</v>
      </c>
      <c r="G13" s="517"/>
      <c r="H13" s="521"/>
      <c r="I13" s="517"/>
      <c r="J13" s="517"/>
      <c r="K13" s="521"/>
      <c r="L13" s="522"/>
      <c r="M13" s="523"/>
      <c r="N13" s="517"/>
      <c r="P13" s="323" t="s">
        <v>34</v>
      </c>
      <c r="Q13" s="502" t="s">
        <v>440</v>
      </c>
      <c r="R13" s="503"/>
      <c r="S13" s="503"/>
      <c r="T13" s="503"/>
      <c r="U13" s="503"/>
      <c r="V13" s="504"/>
    </row>
    <row r="14" spans="2:25" ht="50.25" customHeight="1" thickBot="1" x14ac:dyDescent="0.25">
      <c r="B14" s="317">
        <v>2</v>
      </c>
      <c r="C14" s="318" t="s">
        <v>411</v>
      </c>
      <c r="D14" s="318" t="s">
        <v>412</v>
      </c>
      <c r="E14" s="318" t="s">
        <v>413</v>
      </c>
      <c r="G14" s="514" t="s">
        <v>443</v>
      </c>
      <c r="H14" s="514" t="s">
        <v>423</v>
      </c>
      <c r="I14" s="514" t="s">
        <v>424</v>
      </c>
      <c r="J14" s="524" t="s">
        <v>425</v>
      </c>
      <c r="K14" s="505" t="s">
        <v>426</v>
      </c>
      <c r="L14" s="506"/>
      <c r="M14" s="507"/>
      <c r="N14" s="514" t="s">
        <v>427</v>
      </c>
      <c r="P14" s="324" t="s">
        <v>441</v>
      </c>
      <c r="Q14" s="499" t="s">
        <v>442</v>
      </c>
      <c r="R14" s="500"/>
      <c r="S14" s="500"/>
      <c r="T14" s="500"/>
      <c r="U14" s="500"/>
      <c r="V14" s="501"/>
    </row>
    <row r="15" spans="2:25" ht="46.5" customHeight="1" thickBot="1" x14ac:dyDescent="0.25">
      <c r="B15" s="317">
        <v>1</v>
      </c>
      <c r="C15" s="318" t="s">
        <v>414</v>
      </c>
      <c r="D15" s="318" t="s">
        <v>415</v>
      </c>
      <c r="E15" s="318" t="s">
        <v>416</v>
      </c>
      <c r="G15" s="515"/>
      <c r="H15" s="515"/>
      <c r="I15" s="515"/>
      <c r="J15" s="515"/>
      <c r="K15" s="508"/>
      <c r="L15" s="509"/>
      <c r="M15" s="510"/>
      <c r="N15" s="515"/>
    </row>
    <row r="16" spans="2:25" ht="75.75" customHeight="1" thickBot="1" x14ac:dyDescent="0.25">
      <c r="G16" s="320" t="s">
        <v>444</v>
      </c>
      <c r="H16" s="321" t="s">
        <v>428</v>
      </c>
      <c r="I16" s="320" t="s">
        <v>429</v>
      </c>
      <c r="J16" s="319" t="s">
        <v>430</v>
      </c>
      <c r="K16" s="511" t="s">
        <v>431</v>
      </c>
      <c r="L16" s="512"/>
      <c r="M16" s="513"/>
      <c r="N16" s="320" t="s">
        <v>432</v>
      </c>
    </row>
    <row r="17" spans="7:14" ht="92.25" customHeight="1" thickBot="1" x14ac:dyDescent="0.25">
      <c r="G17" s="320" t="s">
        <v>445</v>
      </c>
      <c r="H17" s="321" t="s">
        <v>433</v>
      </c>
      <c r="I17" s="320" t="s">
        <v>434</v>
      </c>
      <c r="J17" s="319" t="s">
        <v>435</v>
      </c>
      <c r="K17" s="511" t="s">
        <v>436</v>
      </c>
      <c r="L17" s="512"/>
      <c r="M17" s="513"/>
      <c r="N17" s="320" t="s">
        <v>437</v>
      </c>
    </row>
  </sheetData>
  <mergeCells count="44">
    <mergeCell ref="D6:E6"/>
    <mergeCell ref="S7:T7"/>
    <mergeCell ref="S8:T8"/>
    <mergeCell ref="G6:H6"/>
    <mergeCell ref="I6:J6"/>
    <mergeCell ref="G7:H7"/>
    <mergeCell ref="G8:H8"/>
    <mergeCell ref="I8:J8"/>
    <mergeCell ref="I7:J7"/>
    <mergeCell ref="D7:E7"/>
    <mergeCell ref="D8:E8"/>
    <mergeCell ref="B7:C7"/>
    <mergeCell ref="B8:C8"/>
    <mergeCell ref="B1:V1"/>
    <mergeCell ref="B2:J2"/>
    <mergeCell ref="S4:V4"/>
    <mergeCell ref="S5:V5"/>
    <mergeCell ref="U6:V6"/>
    <mergeCell ref="S6:T6"/>
    <mergeCell ref="G4:J4"/>
    <mergeCell ref="B4:E4"/>
    <mergeCell ref="B5:E5"/>
    <mergeCell ref="G5:J5"/>
    <mergeCell ref="B6:C6"/>
    <mergeCell ref="U7:V7"/>
    <mergeCell ref="U8:V8"/>
    <mergeCell ref="M2:R2"/>
    <mergeCell ref="K17:M17"/>
    <mergeCell ref="K12:M13"/>
    <mergeCell ref="G12:G13"/>
    <mergeCell ref="G14:G15"/>
    <mergeCell ref="H14:H15"/>
    <mergeCell ref="I14:I15"/>
    <mergeCell ref="J14:J15"/>
    <mergeCell ref="H12:H13"/>
    <mergeCell ref="I12:I13"/>
    <mergeCell ref="J12:J13"/>
    <mergeCell ref="Q12:V12"/>
    <mergeCell ref="Q13:V13"/>
    <mergeCell ref="Q14:V14"/>
    <mergeCell ref="K14:M15"/>
    <mergeCell ref="K16:M16"/>
    <mergeCell ref="N14:N15"/>
    <mergeCell ref="N12:N13"/>
  </mergeCells>
  <phoneticPr fontId="4" type="noConversion"/>
  <pageMargins left="0.75000000000000011" right="0.75000000000000011" top="1" bottom="1" header="0" footer="0"/>
  <pageSetup scale="42" orientation="landscape" r:id="rId1"/>
  <headerFooter alignWithMargins="0"/>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N38"/>
  <sheetViews>
    <sheetView topLeftCell="A2" zoomScaleNormal="100" zoomScaleSheetLayoutView="99" workbookViewId="0">
      <selection activeCell="O29" sqref="O29"/>
    </sheetView>
  </sheetViews>
  <sheetFormatPr baseColWidth="10" defaultRowHeight="12.75" x14ac:dyDescent="0.2"/>
  <cols>
    <col min="2" max="2" width="24.42578125" customWidth="1"/>
    <col min="3" max="3" width="13.85546875" customWidth="1"/>
    <col min="6" max="6" width="14.42578125" customWidth="1"/>
    <col min="7" max="7" width="14.7109375" customWidth="1"/>
    <col min="8" max="8" width="14.140625" customWidth="1"/>
  </cols>
  <sheetData>
    <row r="1" spans="1:14" x14ac:dyDescent="0.2">
      <c r="A1" s="574"/>
      <c r="B1" s="574"/>
      <c r="C1" s="574"/>
      <c r="D1" s="574"/>
      <c r="E1" s="574"/>
      <c r="F1" s="574"/>
      <c r="G1" s="574"/>
      <c r="H1" s="574"/>
      <c r="I1" s="574"/>
      <c r="J1" s="574"/>
      <c r="K1" s="574"/>
      <c r="L1" s="574"/>
      <c r="M1" s="574"/>
      <c r="N1" s="574"/>
    </row>
    <row r="2" spans="1:14" x14ac:dyDescent="0.2">
      <c r="A2" s="574"/>
      <c r="B2" s="574"/>
      <c r="C2" s="574"/>
      <c r="D2" s="574"/>
      <c r="E2" s="574"/>
      <c r="F2" s="574"/>
      <c r="G2" s="574"/>
      <c r="H2" s="574"/>
      <c r="I2" s="574"/>
      <c r="J2" s="574"/>
      <c r="K2" s="574"/>
      <c r="L2" s="574"/>
      <c r="M2" s="574"/>
      <c r="N2" s="574"/>
    </row>
    <row r="3" spans="1:14" x14ac:dyDescent="0.2">
      <c r="A3" s="574"/>
      <c r="B3" s="574"/>
      <c r="C3" s="574"/>
      <c r="D3" s="574"/>
      <c r="E3" s="574"/>
      <c r="F3" s="574"/>
      <c r="G3" s="574"/>
      <c r="H3" s="574"/>
      <c r="I3" s="574"/>
      <c r="J3" s="574"/>
      <c r="K3" s="574"/>
      <c r="L3" s="574"/>
      <c r="M3" s="574"/>
      <c r="N3" s="574"/>
    </row>
    <row r="4" spans="1:14" x14ac:dyDescent="0.2">
      <c r="A4" s="574"/>
      <c r="B4" s="574"/>
      <c r="C4" s="574"/>
      <c r="D4" s="574"/>
      <c r="E4" s="574"/>
      <c r="F4" s="574"/>
      <c r="G4" s="574"/>
      <c r="H4" s="574"/>
      <c r="I4" s="574"/>
      <c r="J4" s="574"/>
      <c r="K4" s="574"/>
      <c r="L4" s="574"/>
      <c r="M4" s="574"/>
      <c r="N4" s="574"/>
    </row>
    <row r="5" spans="1:14" x14ac:dyDescent="0.2">
      <c r="A5" s="574"/>
      <c r="B5" s="574"/>
      <c r="C5" s="574"/>
      <c r="D5" s="574"/>
      <c r="E5" s="574"/>
      <c r="F5" s="574"/>
      <c r="G5" s="574"/>
      <c r="H5" s="574"/>
      <c r="I5" s="574"/>
      <c r="J5" s="574"/>
      <c r="K5" s="574"/>
      <c r="L5" s="574"/>
      <c r="M5" s="574"/>
      <c r="N5" s="574"/>
    </row>
    <row r="6" spans="1:14" x14ac:dyDescent="0.2">
      <c r="A6" s="574"/>
      <c r="B6" s="574"/>
      <c r="C6" s="574"/>
      <c r="D6" s="574"/>
      <c r="E6" s="574"/>
      <c r="F6" s="574"/>
      <c r="G6" s="574"/>
      <c r="H6" s="574"/>
      <c r="I6" s="574"/>
      <c r="J6" s="574"/>
      <c r="K6" s="574"/>
      <c r="L6" s="574"/>
      <c r="M6" s="574"/>
      <c r="N6" s="574"/>
    </row>
    <row r="7" spans="1:14" x14ac:dyDescent="0.2">
      <c r="A7" s="574"/>
      <c r="B7" s="574"/>
      <c r="C7" s="574"/>
      <c r="D7" s="574"/>
      <c r="E7" s="574"/>
      <c r="F7" s="574"/>
      <c r="G7" s="574"/>
      <c r="H7" s="574"/>
      <c r="I7" s="574"/>
      <c r="J7" s="574"/>
      <c r="K7" s="574"/>
      <c r="L7" s="574"/>
      <c r="M7" s="574"/>
      <c r="N7" s="574"/>
    </row>
    <row r="8" spans="1:14" x14ac:dyDescent="0.2">
      <c r="A8" s="574"/>
      <c r="B8" s="574"/>
      <c r="C8" s="574"/>
      <c r="D8" s="574"/>
      <c r="E8" s="574"/>
      <c r="F8" s="574"/>
      <c r="G8" s="574"/>
      <c r="H8" s="574"/>
      <c r="I8" s="574"/>
      <c r="J8" s="574"/>
      <c r="K8" s="574"/>
      <c r="L8" s="574"/>
      <c r="M8" s="574"/>
      <c r="N8" s="574"/>
    </row>
    <row r="9" spans="1:14" x14ac:dyDescent="0.2">
      <c r="A9" s="574"/>
      <c r="B9" s="574"/>
      <c r="C9" s="574"/>
      <c r="D9" s="574"/>
      <c r="E9" s="574"/>
      <c r="F9" s="574"/>
      <c r="G9" s="574"/>
      <c r="H9" s="574"/>
      <c r="I9" s="574"/>
      <c r="J9" s="574"/>
      <c r="K9" s="574"/>
      <c r="L9" s="574"/>
      <c r="M9" s="574"/>
      <c r="N9" s="574"/>
    </row>
    <row r="10" spans="1:14" x14ac:dyDescent="0.2">
      <c r="A10" s="574"/>
      <c r="B10" s="574"/>
      <c r="C10" s="574"/>
      <c r="D10" s="574"/>
      <c r="E10" s="574"/>
      <c r="F10" s="574"/>
      <c r="G10" s="574"/>
      <c r="H10" s="574"/>
      <c r="I10" s="574"/>
      <c r="J10" s="574"/>
      <c r="K10" s="574"/>
      <c r="L10" s="574"/>
      <c r="M10" s="574"/>
      <c r="N10" s="574"/>
    </row>
    <row r="11" spans="1:14" x14ac:dyDescent="0.2">
      <c r="A11" s="574"/>
      <c r="B11" s="574"/>
      <c r="C11" s="574"/>
      <c r="D11" s="574"/>
      <c r="E11" s="574"/>
      <c r="F11" s="574"/>
      <c r="G11" s="574"/>
      <c r="H11" s="574"/>
      <c r="I11" s="574"/>
      <c r="J11" s="574"/>
      <c r="K11" s="574"/>
      <c r="L11" s="574"/>
      <c r="M11" s="574"/>
      <c r="N11" s="574"/>
    </row>
    <row r="12" spans="1:14" x14ac:dyDescent="0.2">
      <c r="A12" s="574"/>
      <c r="B12" s="574"/>
      <c r="C12" s="574"/>
      <c r="D12" s="574"/>
      <c r="E12" s="574"/>
      <c r="F12" s="574"/>
      <c r="G12" s="574"/>
      <c r="H12" s="574"/>
      <c r="I12" s="574"/>
      <c r="J12" s="574"/>
      <c r="K12" s="574"/>
      <c r="L12" s="574"/>
      <c r="M12" s="574"/>
      <c r="N12" s="574"/>
    </row>
    <row r="13" spans="1:14" x14ac:dyDescent="0.2">
      <c r="A13" s="574"/>
      <c r="B13" s="574"/>
      <c r="C13" s="574"/>
      <c r="D13" s="574"/>
      <c r="E13" s="574"/>
      <c r="F13" s="574"/>
      <c r="G13" s="574"/>
      <c r="H13" s="574"/>
      <c r="I13" s="574"/>
      <c r="J13" s="574"/>
      <c r="K13" s="574"/>
      <c r="L13" s="574"/>
      <c r="M13" s="574"/>
      <c r="N13" s="574"/>
    </row>
    <row r="14" spans="1:14" x14ac:dyDescent="0.2">
      <c r="A14" s="574"/>
      <c r="B14" s="574"/>
      <c r="C14" s="574"/>
      <c r="D14" s="574"/>
      <c r="E14" s="574"/>
      <c r="F14" s="574"/>
      <c r="G14" s="574"/>
      <c r="H14" s="574"/>
      <c r="I14" s="574"/>
      <c r="J14" s="574"/>
      <c r="K14" s="574"/>
      <c r="L14" s="574"/>
      <c r="M14" s="574"/>
      <c r="N14" s="574"/>
    </row>
    <row r="15" spans="1:14" x14ac:dyDescent="0.2">
      <c r="A15" s="574"/>
      <c r="B15" s="574"/>
      <c r="C15" s="574"/>
      <c r="D15" s="574"/>
      <c r="E15" s="574"/>
      <c r="F15" s="574"/>
      <c r="G15" s="574"/>
      <c r="H15" s="574"/>
      <c r="I15" s="574"/>
      <c r="J15" s="574"/>
      <c r="K15" s="574"/>
      <c r="L15" s="574"/>
      <c r="M15" s="574"/>
      <c r="N15" s="574"/>
    </row>
    <row r="16" spans="1:14" x14ac:dyDescent="0.2">
      <c r="A16" s="574"/>
      <c r="B16" s="574"/>
      <c r="C16" s="574"/>
      <c r="D16" s="574"/>
      <c r="E16" s="574"/>
      <c r="F16" s="574"/>
      <c r="G16" s="574"/>
      <c r="H16" s="574"/>
      <c r="I16" s="574"/>
      <c r="J16" s="574"/>
      <c r="K16" s="574"/>
      <c r="L16" s="574"/>
      <c r="M16" s="574"/>
      <c r="N16" s="574"/>
    </row>
    <row r="17" spans="1:14" x14ac:dyDescent="0.2">
      <c r="A17" s="574"/>
      <c r="B17" s="574"/>
      <c r="C17" s="574"/>
      <c r="D17" s="574"/>
      <c r="E17" s="574"/>
      <c r="F17" s="574"/>
      <c r="G17" s="574"/>
      <c r="H17" s="574"/>
      <c r="I17" s="574"/>
      <c r="J17" s="574"/>
      <c r="K17" s="574"/>
      <c r="L17" s="574"/>
      <c r="M17" s="574"/>
      <c r="N17" s="574"/>
    </row>
    <row r="18" spans="1:14" x14ac:dyDescent="0.2">
      <c r="A18" s="574"/>
      <c r="B18" s="574"/>
      <c r="C18" s="574"/>
      <c r="D18" s="574"/>
      <c r="E18" s="574"/>
      <c r="F18" s="574"/>
      <c r="G18" s="574"/>
      <c r="H18" s="574"/>
      <c r="I18" s="574"/>
      <c r="J18" s="574"/>
      <c r="K18" s="574"/>
      <c r="L18" s="574"/>
      <c r="M18" s="574"/>
      <c r="N18" s="574"/>
    </row>
    <row r="19" spans="1:14" x14ac:dyDescent="0.2">
      <c r="A19" s="574"/>
      <c r="B19" s="574"/>
      <c r="C19" s="574"/>
      <c r="D19" s="574"/>
      <c r="E19" s="574"/>
      <c r="F19" s="574"/>
      <c r="G19" s="574"/>
      <c r="H19" s="574"/>
      <c r="I19" s="574"/>
      <c r="J19" s="574"/>
      <c r="K19" s="574"/>
      <c r="L19" s="574"/>
      <c r="M19" s="574"/>
      <c r="N19" s="574"/>
    </row>
    <row r="20" spans="1:14" x14ac:dyDescent="0.2">
      <c r="A20" s="574"/>
      <c r="B20" s="574"/>
      <c r="C20" s="574"/>
      <c r="D20" s="574"/>
      <c r="E20" s="574"/>
      <c r="F20" s="574"/>
      <c r="G20" s="574"/>
      <c r="H20" s="574"/>
      <c r="I20" s="574"/>
      <c r="J20" s="574"/>
      <c r="K20" s="574"/>
      <c r="L20" s="574"/>
      <c r="M20" s="574"/>
      <c r="N20" s="574"/>
    </row>
    <row r="21" spans="1:14" x14ac:dyDescent="0.2">
      <c r="A21" s="574"/>
      <c r="B21" s="574"/>
      <c r="C21" s="574"/>
      <c r="D21" s="574"/>
      <c r="E21" s="574"/>
      <c r="F21" s="574"/>
      <c r="G21" s="574"/>
      <c r="H21" s="574"/>
      <c r="I21" s="574"/>
      <c r="J21" s="574"/>
      <c r="K21" s="574"/>
      <c r="L21" s="574"/>
      <c r="M21" s="574"/>
      <c r="N21" s="574"/>
    </row>
    <row r="22" spans="1:14" x14ac:dyDescent="0.2">
      <c r="A22" s="574"/>
      <c r="B22" s="574"/>
      <c r="C22" s="574"/>
      <c r="D22" s="574"/>
      <c r="E22" s="574"/>
      <c r="F22" s="574"/>
      <c r="G22" s="574"/>
      <c r="H22" s="574"/>
      <c r="I22" s="574"/>
      <c r="J22" s="574"/>
      <c r="K22" s="574"/>
      <c r="L22" s="574"/>
      <c r="M22" s="574"/>
      <c r="N22" s="574"/>
    </row>
    <row r="23" spans="1:14" x14ac:dyDescent="0.2">
      <c r="A23" s="574"/>
      <c r="B23" s="574"/>
      <c r="C23" s="574"/>
      <c r="D23" s="574"/>
      <c r="E23" s="574"/>
      <c r="F23" s="574"/>
      <c r="G23" s="574"/>
      <c r="H23" s="574"/>
      <c r="I23" s="574"/>
      <c r="J23" s="574"/>
      <c r="K23" s="574"/>
      <c r="L23" s="574"/>
      <c r="M23" s="574"/>
      <c r="N23" s="574"/>
    </row>
    <row r="24" spans="1:14" x14ac:dyDescent="0.2">
      <c r="A24" s="574"/>
      <c r="B24" s="574"/>
      <c r="C24" s="574"/>
      <c r="D24" s="574"/>
      <c r="E24" s="574"/>
      <c r="F24" s="574"/>
      <c r="G24" s="574"/>
      <c r="H24" s="574"/>
      <c r="I24" s="574"/>
      <c r="J24" s="574"/>
      <c r="K24" s="574"/>
      <c r="L24" s="574"/>
      <c r="M24" s="574"/>
      <c r="N24" s="574"/>
    </row>
    <row r="25" spans="1:14" ht="13.5" thickBot="1" x14ac:dyDescent="0.25">
      <c r="A25" s="574"/>
      <c r="B25" s="574"/>
      <c r="C25" s="574"/>
      <c r="D25" s="574"/>
      <c r="E25" s="574"/>
      <c r="F25" s="574"/>
      <c r="G25" s="574"/>
      <c r="H25" s="574"/>
      <c r="I25" s="574"/>
      <c r="J25" s="574"/>
      <c r="K25" s="574"/>
      <c r="L25" s="574"/>
      <c r="M25" s="574"/>
      <c r="N25" s="574"/>
    </row>
    <row r="26" spans="1:14" ht="13.5" thickBot="1" x14ac:dyDescent="0.25">
      <c r="A26" s="575"/>
      <c r="B26" s="297" t="s">
        <v>68</v>
      </c>
      <c r="C26" s="295">
        <v>2018</v>
      </c>
      <c r="D26" s="296">
        <v>2019</v>
      </c>
      <c r="E26" s="296">
        <v>2020</v>
      </c>
      <c r="F26" s="572"/>
      <c r="G26" s="572"/>
      <c r="H26" s="574"/>
      <c r="I26" s="574"/>
      <c r="J26" s="574"/>
      <c r="K26" s="574"/>
      <c r="L26" s="574"/>
      <c r="M26" s="574"/>
      <c r="N26" s="574"/>
    </row>
    <row r="27" spans="1:14" x14ac:dyDescent="0.2">
      <c r="A27" s="575"/>
      <c r="B27" s="70" t="s">
        <v>44</v>
      </c>
      <c r="C27" s="67">
        <f>'[1]Riesgos por procesos 2018'!$E$13</f>
        <v>4</v>
      </c>
      <c r="D27" s="369">
        <f>SUM([2]GERENCIA!J21+[2]GCSC!J21+[2]GOP!J20+[2]GAD!J20+[2]SIG!J17+[2]GCF!J16+[2]GTI!J17+[2]GTC!J18+'[2]GJU-PH'!J28)</f>
        <v>5</v>
      </c>
      <c r="E27" s="290">
        <f>SUM(GERENCIA!J19+GCSC!J22+GOP!J19+GAD!J24+SIG!J18+GCF!J18+GTI!J19+GTC!J18+'GJU-PH'!J28)</f>
        <v>6</v>
      </c>
      <c r="F27" s="572"/>
      <c r="G27" s="572"/>
      <c r="H27" s="574"/>
      <c r="I27" s="574"/>
      <c r="J27" s="574"/>
      <c r="K27" s="574"/>
      <c r="L27" s="574"/>
      <c r="M27" s="574"/>
      <c r="N27" s="574"/>
    </row>
    <row r="28" spans="1:14" x14ac:dyDescent="0.2">
      <c r="A28" s="575"/>
      <c r="B28" s="71" t="s">
        <v>45</v>
      </c>
      <c r="C28" s="68">
        <f>'[1]Riesgos por procesos 2018'!$D$13</f>
        <v>41</v>
      </c>
      <c r="D28" s="291">
        <f>SUM([2]GERENCIA!J22+[2]GCSC!J22+[2]GOP!J21+[2]GAD!J21+[2]SIG!J18+[2]GCF!J17+[2]GTI!J18+[2]GTC!J19+'[2]GJU-PH'!J29)</f>
        <v>56</v>
      </c>
      <c r="E28" s="370">
        <f>SUM(GERENCIA!J20+GCSC!J23+GOP!J20+GAD!J25+SIG!J19+GCF!J19+GTI!J20+GTC!J19+'GJU-PH'!J29)</f>
        <v>70</v>
      </c>
      <c r="F28" s="572"/>
      <c r="G28" s="572"/>
      <c r="H28" s="574"/>
      <c r="I28" s="574"/>
      <c r="J28" s="574"/>
      <c r="K28" s="574"/>
      <c r="L28" s="574"/>
      <c r="M28" s="574"/>
      <c r="N28" s="574"/>
    </row>
    <row r="29" spans="1:14" ht="13.5" thickBot="1" x14ac:dyDescent="0.25">
      <c r="A29" s="575"/>
      <c r="B29" s="72" t="s">
        <v>46</v>
      </c>
      <c r="C29" s="69">
        <f>'[1]Riesgos por procesos 2018'!$C$13</f>
        <v>8</v>
      </c>
      <c r="D29" s="292">
        <f>SUM([2]GERENCIA!J23+[2]GCSC!J23+[2]GOP!J22+[2]GAD!J22+[2]SIG!J19+[2]GCF!J18+[2]GTI!J19+[2]GTC!J20+'[2]GJU-PH'!J30)</f>
        <v>3</v>
      </c>
      <c r="E29" s="292">
        <f>SUM(GERENCIA!J21+GCSC!J24+GOP!J21+GAD!J26+SIG!J20+GCF!J20+GTI!J21+GTC!J20+'GJU-PH'!J30)</f>
        <v>5</v>
      </c>
      <c r="F29" s="572"/>
      <c r="G29" s="572"/>
      <c r="H29" s="574"/>
      <c r="I29" s="574"/>
      <c r="J29" s="574"/>
      <c r="K29" s="574"/>
      <c r="L29" s="574"/>
      <c r="M29" s="574"/>
      <c r="N29" s="574"/>
    </row>
    <row r="30" spans="1:14" ht="13.5" thickBot="1" x14ac:dyDescent="0.25">
      <c r="A30" s="575"/>
      <c r="B30" s="298" t="s">
        <v>49</v>
      </c>
      <c r="C30" s="293">
        <f>SUM(C27:C29)</f>
        <v>53</v>
      </c>
      <c r="D30" s="294">
        <f>SUM(D27:D29)</f>
        <v>64</v>
      </c>
      <c r="E30" s="294">
        <f>SUM(E27:E29)</f>
        <v>81</v>
      </c>
      <c r="F30" s="572"/>
      <c r="G30" s="572"/>
      <c r="H30" s="574"/>
      <c r="I30" s="574"/>
      <c r="J30" s="574"/>
      <c r="K30" s="574"/>
      <c r="L30" s="574"/>
      <c r="M30" s="574"/>
      <c r="N30" s="574"/>
    </row>
    <row r="31" spans="1:14" ht="13.5" thickBot="1" x14ac:dyDescent="0.25">
      <c r="A31" s="575"/>
      <c r="B31" s="298" t="s">
        <v>208</v>
      </c>
      <c r="C31" s="371">
        <v>0</v>
      </c>
      <c r="D31" s="372">
        <f>SUM([2]GERENCIA!J25+[2]GCSC!J25+[2]GOP!J24+[2]GAD!J24+[2]SIG!J21+[2]GCF!J20+[2]GTI!J21+[2]GTC!J22+'[2]GJU-PH'!J32)</f>
        <v>15</v>
      </c>
      <c r="E31" s="372">
        <f>SUM(GERENCIA!J23+GCSC!J26+GOP!J23+GAD!J28+SIG!J22+GCF!J22+GTI!J23+GTC!J22+'GJU-PH'!J32)</f>
        <v>5</v>
      </c>
      <c r="F31" s="572"/>
      <c r="G31" s="572"/>
      <c r="H31" s="574"/>
      <c r="I31" s="574"/>
      <c r="J31" s="574"/>
      <c r="K31" s="574"/>
      <c r="L31" s="574"/>
      <c r="M31" s="574"/>
      <c r="N31" s="574"/>
    </row>
    <row r="32" spans="1:14" ht="13.5" thickBot="1" x14ac:dyDescent="0.25">
      <c r="A32" s="575"/>
      <c r="B32" s="298" t="s">
        <v>984</v>
      </c>
      <c r="C32" s="376">
        <f>($C$27+$C$28)/$C$30</f>
        <v>0.84905660377358494</v>
      </c>
      <c r="D32" s="376">
        <f>($D$27+$D$28)/$D$30</f>
        <v>0.953125</v>
      </c>
      <c r="E32" s="376">
        <f>($E$27+$E$28)/$E$30</f>
        <v>0.93827160493827155</v>
      </c>
      <c r="F32" s="572"/>
      <c r="G32" s="572"/>
      <c r="H32" s="574"/>
      <c r="I32" s="574"/>
      <c r="J32" s="574"/>
      <c r="K32" s="574"/>
      <c r="L32" s="574"/>
      <c r="M32" s="574"/>
      <c r="N32" s="574"/>
    </row>
    <row r="33" spans="1:14" ht="13.5" thickBot="1" x14ac:dyDescent="0.25">
      <c r="A33" s="575"/>
      <c r="B33" s="375" t="s">
        <v>985</v>
      </c>
      <c r="C33" s="377"/>
      <c r="D33" s="373"/>
      <c r="E33" s="374">
        <v>0.91</v>
      </c>
      <c r="F33" s="572"/>
      <c r="G33" s="572"/>
      <c r="H33" s="574"/>
      <c r="I33" s="574"/>
      <c r="J33" s="574"/>
      <c r="K33" s="574"/>
      <c r="L33" s="574"/>
      <c r="M33" s="574"/>
      <c r="N33" s="574"/>
    </row>
    <row r="34" spans="1:14" x14ac:dyDescent="0.2">
      <c r="B34" s="573"/>
      <c r="C34" s="573"/>
      <c r="D34" s="573"/>
      <c r="E34" s="573"/>
      <c r="F34" s="572"/>
      <c r="G34" s="572"/>
      <c r="H34" s="574"/>
      <c r="I34" s="574"/>
      <c r="J34" s="574"/>
      <c r="K34" s="574"/>
      <c r="L34" s="574"/>
      <c r="M34" s="574"/>
      <c r="N34" s="574"/>
    </row>
    <row r="35" spans="1:14" x14ac:dyDescent="0.2">
      <c r="B35" s="574"/>
      <c r="C35" s="574"/>
      <c r="D35" s="574"/>
      <c r="E35" s="574"/>
      <c r="F35" s="572"/>
      <c r="G35" s="572"/>
      <c r="H35" s="574"/>
      <c r="I35" s="574"/>
      <c r="J35" s="574"/>
      <c r="K35" s="574"/>
      <c r="L35" s="574"/>
      <c r="M35" s="574"/>
      <c r="N35" s="574"/>
    </row>
    <row r="36" spans="1:14" x14ac:dyDescent="0.2">
      <c r="H36" s="574"/>
      <c r="I36" s="574"/>
      <c r="J36" s="574"/>
      <c r="K36" s="574"/>
      <c r="L36" s="574"/>
      <c r="M36" s="574"/>
      <c r="N36" s="574"/>
    </row>
    <row r="37" spans="1:14" x14ac:dyDescent="0.2">
      <c r="H37" s="574"/>
      <c r="I37" s="574"/>
      <c r="J37" s="574"/>
      <c r="K37" s="574"/>
      <c r="L37" s="574"/>
      <c r="M37" s="574"/>
      <c r="N37" s="574"/>
    </row>
    <row r="38" spans="1:14" x14ac:dyDescent="0.2">
      <c r="H38" s="574"/>
      <c r="I38" s="574"/>
      <c r="J38" s="574"/>
      <c r="K38" s="574"/>
      <c r="L38" s="574"/>
      <c r="M38" s="574"/>
      <c r="N38" s="574"/>
    </row>
  </sheetData>
  <mergeCells count="5">
    <mergeCell ref="F26:G35"/>
    <mergeCell ref="B34:E35"/>
    <mergeCell ref="A1:G25"/>
    <mergeCell ref="H1:N38"/>
    <mergeCell ref="A26:A33"/>
  </mergeCells>
  <pageMargins left="0.7" right="0.7" top="0.75" bottom="0.75" header="0.3" footer="0.3"/>
  <pageSetup paperSize="9" scale="45"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11</vt:i4>
      </vt:variant>
      <vt:variant>
        <vt:lpstr>Rangos con nombre</vt:lpstr>
      </vt:variant>
      <vt:variant>
        <vt:i4>20</vt:i4>
      </vt:variant>
    </vt:vector>
  </HeadingPairs>
  <TitlesOfParts>
    <vt:vector size="31" baseType="lpstr">
      <vt:lpstr>GERENCIA</vt:lpstr>
      <vt:lpstr>SIG</vt:lpstr>
      <vt:lpstr>GTC</vt:lpstr>
      <vt:lpstr>GJU-PH</vt:lpstr>
      <vt:lpstr>GCSC</vt:lpstr>
      <vt:lpstr>GOP</vt:lpstr>
      <vt:lpstr>GCF</vt:lpstr>
      <vt:lpstr>GTI</vt:lpstr>
      <vt:lpstr>GAD</vt:lpstr>
      <vt:lpstr>Valoración</vt:lpstr>
      <vt:lpstr>Indicador Comparativo 2018-2020</vt:lpstr>
      <vt:lpstr>GAD!Área_de_impresión</vt:lpstr>
      <vt:lpstr>GCF!Área_de_impresión</vt:lpstr>
      <vt:lpstr>GCSC!Área_de_impresión</vt:lpstr>
      <vt:lpstr>GERENCIA!Área_de_impresión</vt:lpstr>
      <vt:lpstr>'GJU-PH'!Área_de_impresión</vt:lpstr>
      <vt:lpstr>GOP!Área_de_impresión</vt:lpstr>
      <vt:lpstr>GTC!Área_de_impresión</vt:lpstr>
      <vt:lpstr>GTI!Área_de_impresión</vt:lpstr>
      <vt:lpstr>'Indicador Comparativo 2018-2020'!Área_de_impresión</vt:lpstr>
      <vt:lpstr>SIG!Área_de_impresión</vt:lpstr>
      <vt:lpstr>Valoración!Área_de_impresión</vt:lpstr>
      <vt:lpstr>GAD!Títulos_a_imprimir</vt:lpstr>
      <vt:lpstr>GCF!Títulos_a_imprimir</vt:lpstr>
      <vt:lpstr>GCSC!Títulos_a_imprimir</vt:lpstr>
      <vt:lpstr>GERENCIA!Títulos_a_imprimir</vt:lpstr>
      <vt:lpstr>'GJU-PH'!Títulos_a_imprimir</vt:lpstr>
      <vt:lpstr>GOP!Títulos_a_imprimir</vt:lpstr>
      <vt:lpstr>GTC!Títulos_a_imprimir</vt:lpstr>
      <vt:lpstr>GTI!Títulos_a_imprimir</vt:lpstr>
      <vt:lpstr>SIG!Títulos_a_imprimir</vt:lpstr>
    </vt:vector>
  </TitlesOfParts>
  <Company>Jhon monoga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jhon</dc:creator>
  <cp:lastModifiedBy>ZFIP004</cp:lastModifiedBy>
  <cp:lastPrinted>2020-06-16T20:32:09Z</cp:lastPrinted>
  <dcterms:created xsi:type="dcterms:W3CDTF">2009-08-05T17:15:36Z</dcterms:created>
  <dcterms:modified xsi:type="dcterms:W3CDTF">2020-08-13T01:08:19Z</dcterms:modified>
</cp:coreProperties>
</file>