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checkCompatibility="1" autoCompressPictures="0"/>
  <mc:AlternateContent xmlns:mc="http://schemas.openxmlformats.org/markup-compatibility/2006">
    <mc:Choice Requires="x15">
      <x15ac:absPath xmlns:x15ac="http://schemas.microsoft.com/office/spreadsheetml/2010/11/ac" url="C:\Users\ZFIP-SIG\Documents\Sistema Integado de Gestión\SIG\Sistema Integrado de Gestión\Procedimientos documentados\1. Gestion del riesgo\Riesgos 2019\"/>
    </mc:Choice>
  </mc:AlternateContent>
  <bookViews>
    <workbookView xWindow="0" yWindow="0" windowWidth="20490" windowHeight="9045" firstSheet="3" activeTab="10"/>
  </bookViews>
  <sheets>
    <sheet name="GERENCIA" sheetId="33" r:id="rId1"/>
    <sheet name="GCSC" sheetId="32" r:id="rId2"/>
    <sheet name="GOP" sheetId="34" r:id="rId3"/>
    <sheet name="GAD" sheetId="36" r:id="rId4"/>
    <sheet name="SIG" sheetId="37" r:id="rId5"/>
    <sheet name="GCF" sheetId="35" r:id="rId6"/>
    <sheet name="GTI" sheetId="38" r:id="rId7"/>
    <sheet name="GTC" sheetId="39" r:id="rId8"/>
    <sheet name="GJU-PH" sheetId="40" r:id="rId9"/>
    <sheet name="Valoración" sheetId="5" r:id="rId10"/>
    <sheet name="Indicador Comparativo 2018-2019" sheetId="23" r:id="rId11"/>
  </sheets>
  <externalReferences>
    <externalReference r:id="rId12"/>
    <externalReference r:id="rId13"/>
  </externalReferences>
  <definedNames>
    <definedName name="_xlnm._FilterDatabase" localSheetId="3" hidden="1">GAD!$B$8:$AC$17</definedName>
    <definedName name="_xlnm._FilterDatabase" localSheetId="5" hidden="1">GCF!$B$8:$AC$13</definedName>
    <definedName name="_xlnm._FilterDatabase" localSheetId="1" hidden="1">GCSC!$B$8:$AC$18</definedName>
    <definedName name="_xlnm._FilterDatabase" localSheetId="0" hidden="1">GERENCIA!$B$8:$AC$18</definedName>
    <definedName name="_xlnm._FilterDatabase" localSheetId="8" hidden="1">'GJU-PH'!$B$8:$AC$25</definedName>
    <definedName name="_xlnm._FilterDatabase" localSheetId="2" hidden="1">GOP!$B$8:$AC$17</definedName>
    <definedName name="_xlnm._FilterDatabase" localSheetId="7" hidden="1">GTC!$B$8:$AC$15</definedName>
    <definedName name="_xlnm._FilterDatabase" localSheetId="6" hidden="1">GTI!$B$8:$AC$14</definedName>
    <definedName name="_xlnm._FilterDatabase" localSheetId="4" hidden="1">SIG!$B$8:$AC$14</definedName>
    <definedName name="_xlnm.Print_Area" localSheetId="3">GAD!$B$2:$AE$24</definedName>
    <definedName name="_xlnm.Print_Area" localSheetId="5">GCF!$B$2:$AE$20</definedName>
    <definedName name="_xlnm.Print_Area" localSheetId="1">GCSC!$B$2:$AE$25</definedName>
    <definedName name="_xlnm.Print_Area" localSheetId="0">GERENCIA!$B$2:$AE$25</definedName>
    <definedName name="_xlnm.Print_Area" localSheetId="8">'GJU-PH'!$B$2:$AE$32</definedName>
    <definedName name="_xlnm.Print_Area" localSheetId="2">GOP!$B$2:$AE$24</definedName>
    <definedName name="_xlnm.Print_Area" localSheetId="7">GTC!$B$2:$AE$22</definedName>
    <definedName name="_xlnm.Print_Area" localSheetId="6">GTI!$B$2:$AE$21</definedName>
    <definedName name="_xlnm.Print_Area" localSheetId="10">'Indicador Comparativo 2018-2019'!$A$1:$M$46</definedName>
    <definedName name="_xlnm.Print_Area" localSheetId="4">SIG!$B$2:$AE$21</definedName>
    <definedName name="_xlnm.Print_Area" localSheetId="9">Valoración!$A$1:$Y$23</definedName>
    <definedName name="_xlnm.Print_Titles" localSheetId="3">GAD!$6:$8</definedName>
    <definedName name="_xlnm.Print_Titles" localSheetId="5">GCF!$6:$8</definedName>
    <definedName name="_xlnm.Print_Titles" localSheetId="1">GCSC!$6:$8</definedName>
    <definedName name="_xlnm.Print_Titles" localSheetId="0">GERENCIA!$6:$8</definedName>
    <definedName name="_xlnm.Print_Titles" localSheetId="8">'GJU-PH'!$6:$8</definedName>
    <definedName name="_xlnm.Print_Titles" localSheetId="2">GOP!$6:$8</definedName>
    <definedName name="_xlnm.Print_Titles" localSheetId="7">GTC!$6:$8</definedName>
    <definedName name="_xlnm.Print_Titles" localSheetId="6">GTI!$6:$8</definedName>
    <definedName name="_xlnm.Print_Titles" localSheetId="4">SIG!$6:$8</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J22" i="34" l="1"/>
  <c r="N14" i="33" l="1"/>
  <c r="N14" i="36"/>
  <c r="M14" i="36"/>
  <c r="K14" i="36"/>
  <c r="K13" i="36"/>
  <c r="M13" i="36"/>
  <c r="N13" i="36"/>
  <c r="R13" i="36"/>
  <c r="T13" i="36"/>
  <c r="U13" i="36"/>
  <c r="U14" i="39"/>
  <c r="T14" i="39"/>
  <c r="R14" i="39"/>
  <c r="N14" i="39"/>
  <c r="M14" i="39"/>
  <c r="K14" i="39"/>
  <c r="U23" i="40"/>
  <c r="U24" i="40"/>
  <c r="U25" i="40"/>
  <c r="T23" i="40"/>
  <c r="T24" i="40"/>
  <c r="T25" i="40"/>
  <c r="R23" i="40"/>
  <c r="R24" i="40"/>
  <c r="R25" i="40"/>
  <c r="N23" i="40"/>
  <c r="N24" i="40"/>
  <c r="N25" i="40"/>
  <c r="M23" i="40"/>
  <c r="M24" i="40"/>
  <c r="M25" i="40"/>
  <c r="K23" i="40"/>
  <c r="K24" i="40"/>
  <c r="K25" i="40"/>
  <c r="U21" i="40"/>
  <c r="U22" i="40"/>
  <c r="T21" i="40"/>
  <c r="T22" i="40"/>
  <c r="R21" i="40"/>
  <c r="R22" i="40"/>
  <c r="N21" i="40"/>
  <c r="N22" i="40"/>
  <c r="M21" i="40"/>
  <c r="M22" i="40"/>
  <c r="K21" i="40"/>
  <c r="K22" i="40"/>
  <c r="U12" i="40"/>
  <c r="U13" i="40"/>
  <c r="U14" i="40"/>
  <c r="U15" i="40"/>
  <c r="U16" i="40"/>
  <c r="U17" i="40"/>
  <c r="U18" i="40"/>
  <c r="U19" i="40"/>
  <c r="U20" i="40"/>
  <c r="T12" i="40"/>
  <c r="T13" i="40"/>
  <c r="T14" i="40"/>
  <c r="T15" i="40"/>
  <c r="T16" i="40"/>
  <c r="T17" i="40"/>
  <c r="T18" i="40"/>
  <c r="T19" i="40"/>
  <c r="T20" i="40"/>
  <c r="R12" i="40"/>
  <c r="R13" i="40"/>
  <c r="R14" i="40"/>
  <c r="R15" i="40"/>
  <c r="R16" i="40"/>
  <c r="R17" i="40"/>
  <c r="R18" i="40"/>
  <c r="R19" i="40"/>
  <c r="R20" i="40"/>
  <c r="K12" i="40"/>
  <c r="K13" i="40"/>
  <c r="K14" i="40"/>
  <c r="K15" i="40"/>
  <c r="K16" i="40"/>
  <c r="K17" i="40"/>
  <c r="K18" i="40"/>
  <c r="K19" i="40"/>
  <c r="K20" i="40"/>
  <c r="M12" i="40"/>
  <c r="M13" i="40"/>
  <c r="M14" i="40"/>
  <c r="M15" i="40"/>
  <c r="M16" i="40"/>
  <c r="M17" i="40"/>
  <c r="M18" i="40"/>
  <c r="M19" i="40"/>
  <c r="M20" i="40"/>
  <c r="N12" i="40"/>
  <c r="N13" i="40"/>
  <c r="N14" i="40"/>
  <c r="N15" i="40"/>
  <c r="N16" i="40"/>
  <c r="N17" i="40"/>
  <c r="N18" i="40"/>
  <c r="N19" i="40"/>
  <c r="N20" i="40"/>
  <c r="N12" i="39"/>
  <c r="N13" i="39"/>
  <c r="M12" i="39"/>
  <c r="M13" i="39"/>
  <c r="K12" i="39"/>
  <c r="K13" i="39"/>
  <c r="U12" i="39"/>
  <c r="U13" i="39"/>
  <c r="T12" i="39"/>
  <c r="T13" i="39"/>
  <c r="R12" i="39"/>
  <c r="R13" i="39"/>
  <c r="K21" i="38"/>
  <c r="K19" i="38"/>
  <c r="K18" i="38"/>
  <c r="K17" i="38"/>
  <c r="K20" i="38"/>
  <c r="K21" i="37"/>
  <c r="K19" i="37"/>
  <c r="K18" i="37"/>
  <c r="K17" i="37"/>
  <c r="K20" i="37"/>
  <c r="J24" i="34"/>
  <c r="K24" i="34"/>
  <c r="U11" i="34"/>
  <c r="U12" i="34"/>
  <c r="U13" i="34"/>
  <c r="U14" i="34"/>
  <c r="U15" i="34"/>
  <c r="U16" i="34"/>
  <c r="J20" i="34"/>
  <c r="J21" i="34"/>
  <c r="J23" i="34"/>
  <c r="K22" i="34" s="1"/>
  <c r="AI73" i="40"/>
  <c r="AH73" i="40"/>
  <c r="AG73" i="40"/>
  <c r="AJ37" i="40"/>
  <c r="AJ36" i="40"/>
  <c r="AJ34" i="40"/>
  <c r="AJ33" i="40"/>
  <c r="AJ32" i="40"/>
  <c r="J32" i="40"/>
  <c r="AJ31" i="40"/>
  <c r="AJ30" i="40"/>
  <c r="AJ29" i="40"/>
  <c r="AJ28" i="40"/>
  <c r="AJ27" i="40"/>
  <c r="AJ26" i="40"/>
  <c r="AJ11" i="40"/>
  <c r="U11" i="40"/>
  <c r="J29" i="40"/>
  <c r="T11" i="40"/>
  <c r="R11" i="40"/>
  <c r="N11" i="40"/>
  <c r="M11" i="40"/>
  <c r="K11" i="40"/>
  <c r="AJ10" i="40"/>
  <c r="U10" i="40"/>
  <c r="J30" i="40"/>
  <c r="T10" i="40"/>
  <c r="R10" i="40"/>
  <c r="N10" i="40"/>
  <c r="M10" i="40"/>
  <c r="K10" i="40"/>
  <c r="AJ9" i="40"/>
  <c r="U9" i="40"/>
  <c r="T9" i="40"/>
  <c r="R9" i="40"/>
  <c r="N9" i="40"/>
  <c r="M9" i="40"/>
  <c r="K9" i="40"/>
  <c r="U12" i="38"/>
  <c r="U13" i="38"/>
  <c r="T12" i="38"/>
  <c r="T13" i="38"/>
  <c r="R12" i="38"/>
  <c r="R13" i="38"/>
  <c r="N12" i="38"/>
  <c r="N13" i="38"/>
  <c r="M12" i="38"/>
  <c r="M13" i="38"/>
  <c r="K12" i="38"/>
  <c r="K13" i="38"/>
  <c r="AI63" i="39"/>
  <c r="AH63" i="39"/>
  <c r="AG63" i="39"/>
  <c r="AJ27" i="39"/>
  <c r="AJ26" i="39"/>
  <c r="AJ24" i="39"/>
  <c r="AJ23" i="39"/>
  <c r="AJ22" i="39"/>
  <c r="J22" i="39"/>
  <c r="K22" i="39"/>
  <c r="AJ21" i="39"/>
  <c r="AJ20" i="39"/>
  <c r="AJ19" i="39"/>
  <c r="AJ18" i="39"/>
  <c r="AJ17" i="39"/>
  <c r="AJ16" i="39"/>
  <c r="AJ15" i="39"/>
  <c r="U15" i="39"/>
  <c r="T15" i="39"/>
  <c r="R15" i="39"/>
  <c r="N15" i="39"/>
  <c r="M15" i="39"/>
  <c r="K15" i="39"/>
  <c r="AJ11" i="39"/>
  <c r="U11" i="39"/>
  <c r="T11" i="39"/>
  <c r="R11" i="39"/>
  <c r="N11" i="39"/>
  <c r="M11" i="39"/>
  <c r="K11" i="39"/>
  <c r="AJ10" i="39"/>
  <c r="U10" i="39"/>
  <c r="T10" i="39"/>
  <c r="R10" i="39"/>
  <c r="N10" i="39"/>
  <c r="M10" i="39"/>
  <c r="K10" i="39"/>
  <c r="AJ9" i="39"/>
  <c r="AJ63" i="39"/>
  <c r="U9" i="39"/>
  <c r="T9" i="39"/>
  <c r="R9" i="39"/>
  <c r="N9" i="39"/>
  <c r="M9" i="39"/>
  <c r="K9" i="39"/>
  <c r="U12" i="35"/>
  <c r="U13" i="35"/>
  <c r="T12" i="35"/>
  <c r="T13" i="35"/>
  <c r="R12" i="35"/>
  <c r="R13" i="35"/>
  <c r="N12" i="35"/>
  <c r="N13" i="35"/>
  <c r="M12" i="35"/>
  <c r="M13" i="35"/>
  <c r="K12" i="35"/>
  <c r="K13" i="35"/>
  <c r="AJ73" i="40"/>
  <c r="J28" i="40"/>
  <c r="K32" i="40"/>
  <c r="J20" i="39"/>
  <c r="J18" i="39"/>
  <c r="J19" i="39"/>
  <c r="AI62" i="38"/>
  <c r="AH62" i="38"/>
  <c r="AG62" i="38"/>
  <c r="AJ26" i="38"/>
  <c r="AJ25" i="38"/>
  <c r="AJ23" i="38"/>
  <c r="AJ22" i="38"/>
  <c r="AJ21" i="38"/>
  <c r="J21" i="38"/>
  <c r="AJ20" i="38"/>
  <c r="AJ19" i="38"/>
  <c r="AJ18" i="38"/>
  <c r="AJ17" i="38"/>
  <c r="AJ16" i="38"/>
  <c r="AJ15" i="38"/>
  <c r="AJ14" i="38"/>
  <c r="U14" i="38"/>
  <c r="T14" i="38"/>
  <c r="R14" i="38"/>
  <c r="N14" i="38"/>
  <c r="M14" i="38"/>
  <c r="K14" i="38"/>
  <c r="AJ11" i="38"/>
  <c r="U11" i="38"/>
  <c r="T11" i="38"/>
  <c r="R11" i="38"/>
  <c r="N11" i="38"/>
  <c r="M11" i="38"/>
  <c r="K11" i="38"/>
  <c r="AJ10" i="38"/>
  <c r="U10" i="38"/>
  <c r="J19" i="38"/>
  <c r="T10" i="38"/>
  <c r="R10" i="38"/>
  <c r="N10" i="38"/>
  <c r="M10" i="38"/>
  <c r="K10" i="38"/>
  <c r="AJ9" i="38"/>
  <c r="AJ62" i="38"/>
  <c r="U9" i="38"/>
  <c r="T9" i="38"/>
  <c r="R9" i="38"/>
  <c r="N9" i="38"/>
  <c r="M9" i="38"/>
  <c r="K9" i="38"/>
  <c r="U13" i="37"/>
  <c r="T13" i="37"/>
  <c r="R13" i="37"/>
  <c r="N13" i="37"/>
  <c r="M13" i="37"/>
  <c r="K13" i="37"/>
  <c r="U12" i="37"/>
  <c r="T12" i="37"/>
  <c r="R12" i="37"/>
  <c r="N12" i="37"/>
  <c r="M12" i="37"/>
  <c r="K12" i="37"/>
  <c r="AI62" i="37"/>
  <c r="AH62" i="37"/>
  <c r="AG62" i="37"/>
  <c r="AJ26" i="37"/>
  <c r="AJ25" i="37"/>
  <c r="AJ23" i="37"/>
  <c r="AJ22" i="37"/>
  <c r="AJ21" i="37"/>
  <c r="J21" i="37"/>
  <c r="AJ20" i="37"/>
  <c r="AJ19" i="37"/>
  <c r="AJ18" i="37"/>
  <c r="AJ17" i="37"/>
  <c r="AJ16" i="37"/>
  <c r="AJ15" i="37"/>
  <c r="AJ14" i="37"/>
  <c r="U14" i="37"/>
  <c r="T14" i="37"/>
  <c r="R14" i="37"/>
  <c r="N14" i="37"/>
  <c r="M14" i="37"/>
  <c r="K14" i="37"/>
  <c r="AJ11" i="37"/>
  <c r="U11" i="37"/>
  <c r="T11" i="37"/>
  <c r="R11" i="37"/>
  <c r="N11" i="37"/>
  <c r="M11" i="37"/>
  <c r="K11" i="37"/>
  <c r="AJ10" i="37"/>
  <c r="U10" i="37"/>
  <c r="T10" i="37"/>
  <c r="R10" i="37"/>
  <c r="N10" i="37"/>
  <c r="M10" i="37"/>
  <c r="K10" i="37"/>
  <c r="AJ9" i="37"/>
  <c r="U9" i="37"/>
  <c r="T9" i="37"/>
  <c r="R9" i="37"/>
  <c r="N9" i="37"/>
  <c r="M9" i="37"/>
  <c r="K9" i="37"/>
  <c r="R14" i="36"/>
  <c r="T14" i="36"/>
  <c r="U14" i="36"/>
  <c r="U15" i="36"/>
  <c r="U16" i="36"/>
  <c r="T16" i="36"/>
  <c r="R16" i="36"/>
  <c r="N16" i="36"/>
  <c r="M16" i="36"/>
  <c r="K16" i="36"/>
  <c r="U12" i="36"/>
  <c r="T12" i="36"/>
  <c r="T15" i="36"/>
  <c r="R12" i="36"/>
  <c r="R15" i="36"/>
  <c r="N12" i="36"/>
  <c r="N15" i="36"/>
  <c r="M12" i="36"/>
  <c r="M15" i="36"/>
  <c r="K12" i="36"/>
  <c r="K15" i="36"/>
  <c r="J31" i="40"/>
  <c r="K29" i="40"/>
  <c r="J17" i="38"/>
  <c r="J21" i="39"/>
  <c r="J18" i="38"/>
  <c r="AJ62" i="37"/>
  <c r="J19" i="37"/>
  <c r="J18" i="37"/>
  <c r="J17" i="37"/>
  <c r="AI65" i="36"/>
  <c r="AH65" i="36"/>
  <c r="AG65" i="36"/>
  <c r="AJ29" i="36"/>
  <c r="AJ28" i="36"/>
  <c r="AJ26" i="36"/>
  <c r="AJ25" i="36"/>
  <c r="AJ24" i="36"/>
  <c r="J24" i="36"/>
  <c r="K24" i="36"/>
  <c r="AJ23" i="36"/>
  <c r="AJ22" i="36"/>
  <c r="AJ21" i="36"/>
  <c r="AJ20" i="36"/>
  <c r="AJ19" i="36"/>
  <c r="AJ18" i="36"/>
  <c r="AJ17" i="36"/>
  <c r="U17" i="36"/>
  <c r="T17" i="36"/>
  <c r="R17" i="36"/>
  <c r="N17" i="36"/>
  <c r="M17" i="36"/>
  <c r="K17" i="36"/>
  <c r="AJ11" i="36"/>
  <c r="U11" i="36"/>
  <c r="T11" i="36"/>
  <c r="R11" i="36"/>
  <c r="N11" i="36"/>
  <c r="M11" i="36"/>
  <c r="K11" i="36"/>
  <c r="AJ10" i="36"/>
  <c r="U10" i="36"/>
  <c r="T10" i="36"/>
  <c r="R10" i="36"/>
  <c r="N10" i="36"/>
  <c r="M10" i="36"/>
  <c r="K10" i="36"/>
  <c r="AJ9" i="36"/>
  <c r="AJ65" i="36"/>
  <c r="U9" i="36"/>
  <c r="T9" i="36"/>
  <c r="R9" i="36"/>
  <c r="N9" i="36"/>
  <c r="M9" i="36"/>
  <c r="K9" i="36"/>
  <c r="T10" i="35"/>
  <c r="T11" i="35"/>
  <c r="T9" i="35"/>
  <c r="R10" i="35"/>
  <c r="R11" i="35"/>
  <c r="R9" i="35"/>
  <c r="M10" i="35"/>
  <c r="M11" i="35"/>
  <c r="M9" i="35"/>
  <c r="K10" i="35"/>
  <c r="K11" i="35"/>
  <c r="K9" i="35"/>
  <c r="T10" i="34"/>
  <c r="T11" i="34"/>
  <c r="T12" i="34"/>
  <c r="T13" i="34"/>
  <c r="T14" i="34"/>
  <c r="T15" i="34"/>
  <c r="T16" i="34"/>
  <c r="T17" i="34"/>
  <c r="T9" i="34"/>
  <c r="R10" i="34"/>
  <c r="R11" i="34"/>
  <c r="R12" i="34"/>
  <c r="R13" i="34"/>
  <c r="R14" i="34"/>
  <c r="R15" i="34"/>
  <c r="R16" i="34"/>
  <c r="R17" i="34"/>
  <c r="R9" i="34"/>
  <c r="M10" i="34"/>
  <c r="M11" i="34"/>
  <c r="M12" i="34"/>
  <c r="M13" i="34"/>
  <c r="M14" i="34"/>
  <c r="M15" i="34"/>
  <c r="M16" i="34"/>
  <c r="M17" i="34"/>
  <c r="M9" i="34"/>
  <c r="K10" i="34"/>
  <c r="K11" i="34"/>
  <c r="K12" i="34"/>
  <c r="K13" i="34"/>
  <c r="K14" i="34"/>
  <c r="K15" i="34"/>
  <c r="K16" i="34"/>
  <c r="K17" i="34"/>
  <c r="K9" i="34"/>
  <c r="J20" i="35"/>
  <c r="K20" i="35"/>
  <c r="U17" i="32"/>
  <c r="T10" i="32"/>
  <c r="T11" i="32"/>
  <c r="T12" i="32"/>
  <c r="T13" i="32"/>
  <c r="T14" i="32"/>
  <c r="T15" i="32"/>
  <c r="T16" i="32"/>
  <c r="T17" i="32"/>
  <c r="T18" i="32"/>
  <c r="T9" i="32"/>
  <c r="J25" i="32"/>
  <c r="J25" i="33"/>
  <c r="K25" i="33"/>
  <c r="R10" i="32"/>
  <c r="R11" i="32"/>
  <c r="R12" i="32"/>
  <c r="R13" i="32"/>
  <c r="R14" i="32"/>
  <c r="R15" i="32"/>
  <c r="R16" i="32"/>
  <c r="R17" i="32"/>
  <c r="R18" i="32"/>
  <c r="R9" i="32"/>
  <c r="N17" i="32"/>
  <c r="M10" i="32"/>
  <c r="M11" i="32"/>
  <c r="M12" i="32"/>
  <c r="M13" i="32"/>
  <c r="M14" i="32"/>
  <c r="M15" i="32"/>
  <c r="M16" i="32"/>
  <c r="M17" i="32"/>
  <c r="M18" i="32"/>
  <c r="M9" i="32"/>
  <c r="K17" i="32"/>
  <c r="K18" i="32"/>
  <c r="K9" i="32"/>
  <c r="K10" i="32"/>
  <c r="K11" i="32"/>
  <c r="K12" i="32"/>
  <c r="K13" i="32"/>
  <c r="K15" i="32"/>
  <c r="K16" i="32"/>
  <c r="K14" i="32"/>
  <c r="T10" i="33"/>
  <c r="T11" i="33"/>
  <c r="T12" i="33"/>
  <c r="T13" i="33"/>
  <c r="T14" i="33"/>
  <c r="T15" i="33"/>
  <c r="T16" i="33"/>
  <c r="T17" i="33"/>
  <c r="T18" i="33"/>
  <c r="T9" i="33"/>
  <c r="R10" i="33"/>
  <c r="R11" i="33"/>
  <c r="R12" i="33"/>
  <c r="R13" i="33"/>
  <c r="R14" i="33"/>
  <c r="R15" i="33"/>
  <c r="R16" i="33"/>
  <c r="R17" i="33"/>
  <c r="R18" i="33"/>
  <c r="R9" i="33"/>
  <c r="M9" i="33"/>
  <c r="M10" i="33"/>
  <c r="M11" i="33"/>
  <c r="M12" i="33"/>
  <c r="M13" i="33"/>
  <c r="M14" i="33"/>
  <c r="M15" i="33"/>
  <c r="M16" i="33"/>
  <c r="M17" i="33"/>
  <c r="K9" i="33"/>
  <c r="K10" i="33"/>
  <c r="K11" i="33"/>
  <c r="K12" i="33"/>
  <c r="K13" i="33"/>
  <c r="K14" i="33"/>
  <c r="K15" i="33"/>
  <c r="K16" i="33"/>
  <c r="K17" i="33"/>
  <c r="M18" i="33"/>
  <c r="K18" i="33"/>
  <c r="U14" i="32"/>
  <c r="U15" i="32"/>
  <c r="N14" i="32"/>
  <c r="N15" i="32"/>
  <c r="U12" i="32"/>
  <c r="U13" i="32"/>
  <c r="N12" i="32"/>
  <c r="N13" i="32"/>
  <c r="U16" i="33"/>
  <c r="U17" i="33"/>
  <c r="N16" i="33"/>
  <c r="N17" i="33"/>
  <c r="E44" i="23"/>
  <c r="K25" i="32"/>
  <c r="K30" i="40"/>
  <c r="K28" i="40"/>
  <c r="K20" i="39"/>
  <c r="K18" i="39"/>
  <c r="K19" i="39"/>
  <c r="J20" i="38"/>
  <c r="J20" i="37"/>
  <c r="J22" i="36"/>
  <c r="J21" i="36"/>
  <c r="J20" i="36"/>
  <c r="K31" i="40"/>
  <c r="K21" i="39"/>
  <c r="J23" i="36"/>
  <c r="K20" i="36"/>
  <c r="K22" i="36"/>
  <c r="K21" i="36"/>
  <c r="U13" i="33"/>
  <c r="U14" i="33"/>
  <c r="N13" i="33"/>
  <c r="U12" i="33"/>
  <c r="U15" i="33"/>
  <c r="J23" i="33"/>
  <c r="N12" i="33"/>
  <c r="N15" i="33"/>
  <c r="N15" i="34"/>
  <c r="N16" i="34"/>
  <c r="N17" i="34"/>
  <c r="U17" i="34"/>
  <c r="AJ17" i="34"/>
  <c r="K23" i="36"/>
  <c r="N12" i="34"/>
  <c r="N13" i="34"/>
  <c r="N14" i="34"/>
  <c r="AI61" i="35"/>
  <c r="AH61" i="35"/>
  <c r="AG61" i="35"/>
  <c r="AJ25" i="35"/>
  <c r="AJ24" i="35"/>
  <c r="AJ22" i="35"/>
  <c r="AJ21" i="35"/>
  <c r="AJ20" i="35"/>
  <c r="AJ19" i="35"/>
  <c r="AJ18" i="35"/>
  <c r="AJ17" i="35"/>
  <c r="AJ16" i="35"/>
  <c r="AJ15" i="35"/>
  <c r="AJ14" i="35"/>
  <c r="AJ11" i="35"/>
  <c r="U11" i="35"/>
  <c r="N11" i="35"/>
  <c r="AJ10" i="35"/>
  <c r="U10" i="35"/>
  <c r="J18" i="35"/>
  <c r="N10" i="35"/>
  <c r="AJ9" i="35"/>
  <c r="U9" i="35"/>
  <c r="N9" i="35"/>
  <c r="AJ61" i="35"/>
  <c r="J17" i="35"/>
  <c r="J16" i="35"/>
  <c r="U16" i="32"/>
  <c r="N16" i="32"/>
  <c r="J19" i="35"/>
  <c r="K18" i="35"/>
  <c r="AI65" i="34"/>
  <c r="AH65" i="34"/>
  <c r="AG65" i="34"/>
  <c r="AJ29" i="34"/>
  <c r="AJ28" i="34"/>
  <c r="AJ26" i="34"/>
  <c r="AJ25" i="34"/>
  <c r="AJ24" i="34"/>
  <c r="AJ23" i="34"/>
  <c r="AJ22" i="34"/>
  <c r="AJ21" i="34"/>
  <c r="AJ20" i="34"/>
  <c r="AJ19" i="34"/>
  <c r="AJ18" i="34"/>
  <c r="AJ11" i="34"/>
  <c r="N11" i="34"/>
  <c r="AJ10" i="34"/>
  <c r="U10" i="34"/>
  <c r="N10" i="34"/>
  <c r="AJ9" i="34"/>
  <c r="U9" i="34"/>
  <c r="N9" i="34"/>
  <c r="K16" i="35"/>
  <c r="K17" i="35"/>
  <c r="AJ65" i="34"/>
  <c r="AI66" i="33"/>
  <c r="AH66" i="33"/>
  <c r="AG66" i="33"/>
  <c r="AJ30" i="33"/>
  <c r="AJ29" i="33"/>
  <c r="AJ27" i="33"/>
  <c r="AJ26" i="33"/>
  <c r="AJ25" i="33"/>
  <c r="AJ24" i="33"/>
  <c r="AJ23" i="33"/>
  <c r="AJ22" i="33"/>
  <c r="AJ21" i="33"/>
  <c r="AJ20" i="33"/>
  <c r="AJ19" i="33"/>
  <c r="AJ18" i="33"/>
  <c r="U18" i="33"/>
  <c r="N18" i="33"/>
  <c r="AJ11" i="33"/>
  <c r="U11" i="33"/>
  <c r="N11" i="33"/>
  <c r="AJ10" i="33"/>
  <c r="U10" i="33"/>
  <c r="N10" i="33"/>
  <c r="AJ9" i="33"/>
  <c r="AJ66" i="33"/>
  <c r="U9" i="33"/>
  <c r="N9" i="33"/>
  <c r="AI66" i="32"/>
  <c r="AH66" i="32"/>
  <c r="AG66" i="32"/>
  <c r="AJ30" i="32"/>
  <c r="AJ29" i="32"/>
  <c r="AJ27" i="32"/>
  <c r="AJ26" i="32"/>
  <c r="AJ25" i="32"/>
  <c r="AJ24" i="32"/>
  <c r="AJ23" i="32"/>
  <c r="AJ22" i="32"/>
  <c r="AJ21" i="32"/>
  <c r="AJ20" i="32"/>
  <c r="AJ19" i="32"/>
  <c r="AJ18" i="32"/>
  <c r="U18" i="32"/>
  <c r="N18" i="32"/>
  <c r="AJ11" i="32"/>
  <c r="U11" i="32"/>
  <c r="N11" i="32"/>
  <c r="AJ10" i="32"/>
  <c r="U10" i="32"/>
  <c r="N10" i="32"/>
  <c r="AJ9" i="32"/>
  <c r="U9" i="32"/>
  <c r="N9" i="32"/>
  <c r="K19" i="35"/>
  <c r="J23" i="32"/>
  <c r="J22" i="33"/>
  <c r="J22" i="32"/>
  <c r="J21" i="32"/>
  <c r="AJ66" i="32"/>
  <c r="J24" i="32"/>
  <c r="K23" i="32"/>
  <c r="D42" i="23"/>
  <c r="C42" i="23"/>
  <c r="D41" i="23"/>
  <c r="C41" i="23"/>
  <c r="D40" i="23"/>
  <c r="C40" i="23"/>
  <c r="K22" i="32"/>
  <c r="K21" i="32"/>
  <c r="K24" i="32"/>
  <c r="C43" i="23"/>
  <c r="D43" i="23"/>
  <c r="J21" i="33"/>
  <c r="J24" i="33"/>
  <c r="E41" i="23"/>
  <c r="E42" i="23"/>
  <c r="K21" i="33"/>
  <c r="K22" i="33"/>
  <c r="K23" i="33"/>
  <c r="E40" i="23"/>
  <c r="E43" i="23"/>
  <c r="K24" i="33"/>
  <c r="K20" i="34" l="1"/>
  <c r="K21" i="34"/>
  <c r="K23" i="34" l="1"/>
</calcChain>
</file>

<file path=xl/sharedStrings.xml><?xml version="1.0" encoding="utf-8"?>
<sst xmlns="http://schemas.openxmlformats.org/spreadsheetml/2006/main" count="2108" uniqueCount="988">
  <si>
    <t>IDENTIFICACIÓN</t>
  </si>
  <si>
    <t>Escala de Consecuencias</t>
  </si>
  <si>
    <t>CONSECUENCIA</t>
  </si>
  <si>
    <t>MEDIO</t>
    <phoneticPr fontId="4" type="noConversion"/>
  </si>
  <si>
    <t>Alto</t>
    <phoneticPr fontId="4" type="noConversion"/>
  </si>
  <si>
    <t>Medio</t>
    <phoneticPr fontId="4" type="noConversion"/>
  </si>
  <si>
    <t>Bajo</t>
    <phoneticPr fontId="4" type="noConversion"/>
  </si>
  <si>
    <t>¿Qué puede suceder en mi proceso?</t>
  </si>
  <si>
    <t>PROCESO</t>
  </si>
  <si>
    <t>Descripción</t>
  </si>
  <si>
    <t>Causas</t>
  </si>
  <si>
    <t>Escala de Probabilidad</t>
  </si>
  <si>
    <t>PROBABILIDAD</t>
  </si>
  <si>
    <t>Quién lo ocasiona (persona)?</t>
  </si>
  <si>
    <t>CRITERIOS DE VALORACIÓN</t>
  </si>
  <si>
    <t>Posibilidad de ocurrencia de un riesgo, que el riesgo se materialice.</t>
  </si>
  <si>
    <t>Alta</t>
  </si>
  <si>
    <t>Baja</t>
  </si>
  <si>
    <t>Daño que se deriva de la consecuencia de un riesgo. Es el impacto en términos: Económico - Operacionales - Imagen.</t>
  </si>
  <si>
    <t>EVALUACIÓN DEL RIESGO</t>
  </si>
  <si>
    <t>Igual a 5</t>
  </si>
  <si>
    <t>De 10 a 20</t>
  </si>
  <si>
    <t>De 30 a 60</t>
  </si>
  <si>
    <t>BAJO</t>
    <phoneticPr fontId="4" type="noConversion"/>
  </si>
  <si>
    <t>ALTO</t>
    <phoneticPr fontId="4" type="noConversion"/>
  </si>
  <si>
    <t>Fecha de revisión</t>
  </si>
  <si>
    <t>Alto</t>
    <phoneticPr fontId="1" type="noConversion"/>
  </si>
  <si>
    <t>Medio</t>
    <phoneticPr fontId="1" type="noConversion"/>
  </si>
  <si>
    <t>Bajo</t>
    <phoneticPr fontId="1" type="noConversion"/>
  </si>
  <si>
    <t xml:space="preserve">Concecuencia </t>
    <phoneticPr fontId="1" type="noConversion"/>
  </si>
  <si>
    <t xml:space="preserve">Valor </t>
    <phoneticPr fontId="1" type="noConversion"/>
  </si>
  <si>
    <t xml:space="preserve">Bajo </t>
    <phoneticPr fontId="1" type="noConversion"/>
  </si>
  <si>
    <t xml:space="preserve">Medio </t>
    <phoneticPr fontId="1" type="noConversion"/>
  </si>
  <si>
    <t xml:space="preserve">Alto </t>
    <phoneticPr fontId="1" type="noConversion"/>
  </si>
  <si>
    <t xml:space="preserve">Probabilidad </t>
    <phoneticPr fontId="1" type="noConversion"/>
  </si>
  <si>
    <t xml:space="preserve">Proceso utilizado por la organización para determinar la magnitud de los riesgos en la organización, con relación a los criterios: probabilidad  por concecuenncia. </t>
  </si>
  <si>
    <t>Medio</t>
  </si>
  <si>
    <t>PÁGINA</t>
  </si>
  <si>
    <t xml:space="preserve">FO-CL-14 </t>
  </si>
  <si>
    <t>CÓDIGO</t>
  </si>
  <si>
    <t>VERSIÓN</t>
  </si>
  <si>
    <t xml:space="preserve">BAJOS </t>
  </si>
  <si>
    <t xml:space="preserve">MEDIOS </t>
  </si>
  <si>
    <t>ALTOS</t>
  </si>
  <si>
    <t xml:space="preserve">TOTAL </t>
  </si>
  <si>
    <t xml:space="preserve">Ponderación </t>
  </si>
  <si>
    <t xml:space="preserve">RIESGOS BAJOS </t>
  </si>
  <si>
    <t xml:space="preserve">RIESGOS MEDIOS </t>
  </si>
  <si>
    <t xml:space="preserve">RIESGOS ALTOS </t>
  </si>
  <si>
    <t>De 31 a 60</t>
  </si>
  <si>
    <t>De 6 a 30</t>
  </si>
  <si>
    <t xml:space="preserve">Total </t>
  </si>
  <si>
    <t>1 de 1</t>
  </si>
  <si>
    <t xml:space="preserve">PLAN DE MEJORA </t>
  </si>
  <si>
    <t xml:space="preserve">ACTIVIDADES </t>
  </si>
  <si>
    <t xml:space="preserve">FECHA </t>
  </si>
  <si>
    <t xml:space="preserve">RESPONSABLE </t>
  </si>
  <si>
    <t>RECURSOS</t>
  </si>
  <si>
    <t xml:space="preserve">TRATAMIENTO </t>
  </si>
  <si>
    <t xml:space="preserve"> Impacto</t>
    <phoneticPr fontId="4" type="noConversion"/>
  </si>
  <si>
    <t>CLASIFICACIÓN: RIESGO (R) U OPORTUNIDAD (O)</t>
  </si>
  <si>
    <t>RIESGO / OPORTUNIDAD</t>
  </si>
  <si>
    <t>VALORACIÓN DEL RIESGO INHERENTE</t>
  </si>
  <si>
    <t>VALORACIÓN DEL RIESGO RESIDUAL</t>
  </si>
  <si>
    <t>Cómo sucede el riesgo u oportunidad?</t>
  </si>
  <si>
    <t>Por qué se ocasiona el riesgo u oportunidad?</t>
  </si>
  <si>
    <t>Consecuencia que ocasiona el riesgo en caso de materializarse u la oportunidad en caso de aprovecharse</t>
  </si>
  <si>
    <t>Aplicación y frecuencia del control// probabilidad del riesgo</t>
  </si>
  <si>
    <t>consecuencia del riesgo</t>
  </si>
  <si>
    <t>ESCALA DE EVALUACIÓN</t>
  </si>
  <si>
    <t>TIPO DE RIESGO/AÑO</t>
  </si>
  <si>
    <t>RIESGO</t>
  </si>
  <si>
    <t>CONTEXTO INTERNO</t>
  </si>
  <si>
    <t>Gerencia</t>
  </si>
  <si>
    <t>OPORTUNIDAD</t>
  </si>
  <si>
    <t xml:space="preserve">GOBIERNO </t>
  </si>
  <si>
    <t>CONTEXTO EXTERNO</t>
  </si>
  <si>
    <t>ANÁLISIS DE PROCESO</t>
  </si>
  <si>
    <t>TRABAJADORES</t>
  </si>
  <si>
    <t>BASC</t>
  </si>
  <si>
    <t>BUREAU VERITAS</t>
  </si>
  <si>
    <t xml:space="preserve">DIAN Y MINISTERIO DE COMERCIO INDUSTRIA Y TURISMO </t>
  </si>
  <si>
    <t xml:space="preserve">CONTRATISTAS Y/O PROVEEDORES </t>
  </si>
  <si>
    <t>ACCIONISTAS</t>
  </si>
  <si>
    <t>COMUNIDAD</t>
  </si>
  <si>
    <t>N/A</t>
  </si>
  <si>
    <t>SI</t>
  </si>
  <si>
    <t>NO</t>
  </si>
  <si>
    <t>ANÁLISIS DE LAS PI</t>
  </si>
  <si>
    <t>COMPROMISOS DE LA POLÍTICA</t>
  </si>
  <si>
    <t>ANÁLISIS DEL ALCANCE</t>
  </si>
  <si>
    <t>FUENTE DE IDENTIFICACIÓN</t>
  </si>
  <si>
    <t>CONTROL ACTUAL</t>
  </si>
  <si>
    <t>EFICACIA DEL CONTROL
(OBSERVACIONES)</t>
  </si>
  <si>
    <t>FORTALEZA</t>
  </si>
  <si>
    <t>NIVEL DE RIESGO INHERENTE</t>
  </si>
  <si>
    <t>POLÍTICA DE TRATAMIENTO</t>
  </si>
  <si>
    <t>ASUMIR</t>
  </si>
  <si>
    <t>EVITAR</t>
  </si>
  <si>
    <t>TRANSFERIR</t>
  </si>
  <si>
    <t>ELIMINAR</t>
  </si>
  <si>
    <t>EFICACIA 
(observaciones)</t>
  </si>
  <si>
    <t>NIVEL DE RIESGO RESIDUAL</t>
  </si>
  <si>
    <r>
      <t xml:space="preserve">CONTROLES ACTUALES
</t>
    </r>
    <r>
      <rPr>
        <b/>
        <i/>
        <sz val="18"/>
        <rFont val="Arial"/>
        <family val="2"/>
      </rPr>
      <t>(Este campo no aplica para las Oportunidades)</t>
    </r>
  </si>
  <si>
    <t>Fuente del riesgo (Amenaza u oportunidad)</t>
  </si>
  <si>
    <t>RIESGO INHERENTE Y RESIDUAL</t>
  </si>
  <si>
    <t>ALTO</t>
    <phoneticPr fontId="7" type="noConversion"/>
  </si>
  <si>
    <t>MEDIO</t>
    <phoneticPr fontId="7" type="noConversion"/>
  </si>
  <si>
    <t>BAJO</t>
    <phoneticPr fontId="7" type="noConversion"/>
  </si>
  <si>
    <t>FECHA DE ACTUALIZACIÓN</t>
  </si>
  <si>
    <t xml:space="preserve">FECHA DE IMPLEMENTACIÓN </t>
  </si>
  <si>
    <t>MATRIZ DE GESTIÓN DE RIESGOS Y OPORTUNIDADES.</t>
  </si>
  <si>
    <t>* No tener definida la planeación estratégica</t>
  </si>
  <si>
    <t>No realizando la debida planeación estratégica con las personas que deben de estar involucradas</t>
  </si>
  <si>
    <t xml:space="preserve">Alta Dirección - Junta Directiva Gerencia </t>
  </si>
  <si>
    <t xml:space="preserve">No priorización de este mecanismo para el desarrollo de la organización. </t>
  </si>
  <si>
    <t>Tomar decisiones estratégicas sin un norte definido y estructurado de acuerdo a unos objetivos específicos</t>
  </si>
  <si>
    <t>Confiabilidad en una Planeación por la alta Gerencia. Comités de Gerencia, junta directiva, Asamblea  de Accionistas</t>
  </si>
  <si>
    <t>X</t>
  </si>
  <si>
    <t xml:space="preserve">Llevar a cabo el cronograma establecido para las diferentes reuniones </t>
  </si>
  <si>
    <t xml:space="preserve">Gerente </t>
  </si>
  <si>
    <t xml:space="preserve">No aplica </t>
  </si>
  <si>
    <t>*Toma de decisiones equivocadas</t>
  </si>
  <si>
    <t>Decisiones no acordes a la estrategia, decisiones tomadas en momentos de presión</t>
  </si>
  <si>
    <t>Alta Dirección (Gerencia, Junta Directiva, Accionistas), lideres de proceso.</t>
  </si>
  <si>
    <t>Mala planeación y falta de conocimiento</t>
  </si>
  <si>
    <t>Impactos económicos(sobrecostos operativos y/o generales), multas y sanciones, demandas, perdida de clientes, perdida de credibilidad y confianza.</t>
  </si>
  <si>
    <t>Sistema Integrados de Gestión, Comités de Gerencia, Junta directiva, junta de socios, Revisoría Fiscal, Auditoría Externa.</t>
  </si>
  <si>
    <t xml:space="preserve">Seguimiento y Control a las políticas establecidas y acompañamiento permanente a los procesos, Fortalecimiento a través de Capacitaciones </t>
  </si>
  <si>
    <t xml:space="preserve">Permanente </t>
  </si>
  <si>
    <t xml:space="preserve">Gerente 
Lideres de proceso </t>
  </si>
  <si>
    <t xml:space="preserve">Se evidencian diferentes reuniones en donde se realiza seguimiento, control y acompañamiento a los diferentes procesos, como también plan anual de formación en donde se demuestra logro del objetivo al verificar la ejecución de las mismas fortaleciendo los procesos que integran la compañía. 
Se verifica plan anual de formación correspondiente al año 2019, como también los diferentes comités que se realizan al interior de la compañía (Comité de Cartera). </t>
  </si>
  <si>
    <t>*Incumplimiento a Requisitos Legales</t>
  </si>
  <si>
    <t xml:space="preserve">Incumplimiento a las fechas y/o requisitos establecidas dentro del marco de la ley. </t>
  </si>
  <si>
    <t>Todas los procesos  involucrados con los diferentes requisitos</t>
  </si>
  <si>
    <t>Falta de Capacitación, falta de seguimiento por el U.O y/o Externos, por omisión.</t>
  </si>
  <si>
    <t>Impactos económicos(sobrecostos operativos y/o generales), multas y sanciones, demandas, perdida de clientes, perdida de credibilidad y confianza, perdida de la declaratoria de Régimen Franco.</t>
  </si>
  <si>
    <t xml:space="preserve">Matriz de requisitos legales 
Capacitaciones. </t>
  </si>
  <si>
    <t>Revisión del mantenimiento de los  mecanismos de contratación.</t>
  </si>
  <si>
    <t>Abril</t>
  </si>
  <si>
    <t xml:space="preserve">Dirección Jurídica y PH </t>
  </si>
  <si>
    <t xml:space="preserve">* Procesos sin indicadores de gestión y sin medición. </t>
  </si>
  <si>
    <t>No construcción y medición de los procesos</t>
  </si>
  <si>
    <t>Todos los procesos involucrados con los diferentes requisitos</t>
  </si>
  <si>
    <t>Poca cultura Organizacional, falta de capacitación, falta de conocimiento.</t>
  </si>
  <si>
    <t xml:space="preserve">Incumplimiento en el desarrollo de las actividades, procesos sin objetivos claros y medibles </t>
  </si>
  <si>
    <t xml:space="preserve">Control, análisis y reporte de acuerdo a los indicadores. 
Ejecución de indicadores. </t>
  </si>
  <si>
    <t xml:space="preserve">Seguimiento a Indicadores de Gestión </t>
  </si>
  <si>
    <t>Mensual</t>
  </si>
  <si>
    <t xml:space="preserve">RIESGOS RESIDUALES BAJOS </t>
  </si>
  <si>
    <t xml:space="preserve">RIESGOS RESIDUALES MEDIOS </t>
  </si>
  <si>
    <t xml:space="preserve">RIESGOS RESIDUALES ALTOS </t>
  </si>
  <si>
    <t>TOTAL DE RIESGOS RESIDUALES</t>
  </si>
  <si>
    <t>Gestión Comercial y de Servicio al Cliente</t>
  </si>
  <si>
    <t xml:space="preserve">* Cambio en la normatividad del régimen franco que resten competitividad y herramientas de atracción a la inversión. </t>
  </si>
  <si>
    <t>*Cambio por parte del Gobierno Nacional de las condiciones actuales del régimen y de los decretos y normas ligados al mismo.</t>
  </si>
  <si>
    <t>Entidades gubernamentales.</t>
  </si>
  <si>
    <t xml:space="preserve">Decisiones del gobierno para cambiar la dinámica en la cual operan las empresas. </t>
  </si>
  <si>
    <t>* Disminución en la atracción de nuevos usuarios para el parque.  
*Pérdida de confiabilidad del cliente. 
* Pérdida del interés de los usuarios calificados en permanecer en la Zona Franca.</t>
  </si>
  <si>
    <t>* Actualización constante en la normatividad del régimen de Zonas Francas, socializando dicha actualización a los usuarios instalados. 
* Estrategias de venta y valores agregados de la ZFIP diferentes a los incentivos tributarios y aduaneros que otorga el régimen franco.</t>
  </si>
  <si>
    <t xml:space="preserve">*Permanecer afiliado a las agremiaciones que defienden el régimen franco. 
* Estrategia de medios con el fin de generar impacto en los diferentes grupos de interés (aplica para todas las ZF). 
* Capacitación constante. 
* asistencia continua que programe la Cámara de Zonas Francas.
</t>
  </si>
  <si>
    <t xml:space="preserve">Según programación  </t>
  </si>
  <si>
    <t xml:space="preserve">* Gerencia 
* Coordinación Comercial y Servicio al Cliente </t>
  </si>
  <si>
    <t xml:space="preserve">Agremiaciones (ANDI, ANALDEX, ADICOMEX) Procolombia, </t>
  </si>
  <si>
    <t>* Permanencia de usuarios actuales.
* Interés de nuevos inversionistas en establecerse en ZFIP.
* Registro de nuevos usuarios calificados.
* Se realizó capacitación sobre la ley de financiamiento y su impacto en el régimen Franco, dirigidos a usuarios calificados y empresas del TAN.
* Se realiza invitación a todos los usuarios de ZFIP a capacitación gratuita por parte de la Cámara de comercio sobre ley de financiamiento en general.</t>
  </si>
  <si>
    <t>* Ambiente macroeconómico poco favorable.</t>
  </si>
  <si>
    <t xml:space="preserve">* Cambios en las condiciones macroeconómicas del mercado colombiano         </t>
  </si>
  <si>
    <t>Condiciones del mercado tales como: inflación, desempleo, factores socio-políticos, riesgo a la inversión extranjera directa, fluctuación de divisas, capitales y/o utilidades golondrina, entre otras.</t>
  </si>
  <si>
    <t xml:space="preserve">* Desaceleración económica por factores y/o decisiones de la economía interna y global, además de las decisiones del Gobierno Nacional causando pérdida de competitividad.            </t>
  </si>
  <si>
    <t xml:space="preserve">
* Condiciones no favorables para la reinversión nacional.
* Condiciones no favorables para la expansión de empresas nacionales.
* Condiciones no favorables para la atracción  y retención de inversión extranjera.</t>
  </si>
  <si>
    <t xml:space="preserve">*Contar con incentivos no ligados al régimen franco como son los incentivos locales y el ofrecimiento de valores agregados por la prestación de servicios de alta calidad de la ZFIP </t>
  </si>
  <si>
    <t xml:space="preserve">Asistencia a reuniones que promueven la inversión en el país. </t>
  </si>
  <si>
    <t xml:space="preserve">* Gerencia 
*Coordinación Comercial y de Servicio al Cliente </t>
  </si>
  <si>
    <t xml:space="preserve">* INVEST IN PEREIRA 
* PROCOLOMBIA 
* Agremiaciones </t>
  </si>
  <si>
    <t>* Se evidencia que a pesar de las fluctuaciones macroeconómicas que tiene el país, se atrajo la inversión de un nuevo usuario, el cual se calificó en el mes de Junio
* Se encuentran dos propuestas  comerciales abiertas  a 2 inversionistas extranjeros con altas posibilidades de  establecerse en ZFIP.</t>
  </si>
  <si>
    <t>* Se mantiene permanencia en las afiliaciones a entidades que brinden actualidad legal, con el fin de poder socializar por medio de capcitaciones a los usuarios.
* Se crean estrategias de ventas con diferenciadores significativos, como resulatado de estudios, logisticos.</t>
  </si>
  <si>
    <t>*Al ser un gremio tan competido por la existencia de tantos parques, la diferenciación de uno con una propuesta de mayor interés a la nuestra puede representar perdida de cliente</t>
  </si>
  <si>
    <t>*Por la diferenciación en valores agregados de productos y servicios que ofrezcan otros parques similares a los nuestros.
* Por los cánones de arrendamiento y venta de bodegas y lotes (M2) entre ZFIP y otra Zonas Francas de la Región.</t>
  </si>
  <si>
    <t>* Cierre NO exitoso de la negociación.                         *Perdida de competitividad.
* Desinterés del Usuario Calificado en permanecer en ZFIP.</t>
  </si>
  <si>
    <t xml:space="preserve">* Incursión de competidores con estrategias diferenciadoras.               </t>
  </si>
  <si>
    <t>Otras Zonas Francas Permanentes</t>
  </si>
  <si>
    <t>* Seguimiento a clientes potenciales.
*Contar con una propuesta de valor agregado diferenciadora y que no se base solo en los beneficios del régimen.
* Participación en escenarios donde se dan los cambios en la normatividad del régimen franco, como la cámara de zonas francas de la Andi.
*Análisis de clientes Actuales.
* Capacitaciones al proceso Comercial y Servicio al Cliente.</t>
  </si>
  <si>
    <t>* Semana del 23 al 27 de abril  (Primera parte).
* semestral</t>
  </si>
  <si>
    <t>* Investigación logística 
* Análisis de la competencia.</t>
  </si>
  <si>
    <t>Coordinación Comercial y Servicio al Cliente</t>
  </si>
  <si>
    <t>* Empresa IMETRICA
* N/A</t>
  </si>
  <si>
    <t xml:space="preserve">*Soborno. </t>
  </si>
  <si>
    <t>*Por parte de terceros ofrecer dinero u objetos a los funcionarios de la empresa para obtener información confidencial y privilegiada.</t>
  </si>
  <si>
    <t>Terceros.</t>
  </si>
  <si>
    <t xml:space="preserve"> *La competencia desleal de terceros
* Querer sobrepasar las normas internas y externas de la empresa.
* Obtener información confidencial.</t>
  </si>
  <si>
    <t>* Perdidas económicas y de información y rotación de personal</t>
  </si>
  <si>
    <t xml:space="preserve">*Contar con acuerdos de confidencialidad y sanciones  disciplinarias y legales frente a la violación del mismo. </t>
  </si>
  <si>
    <t>* Cada contrato es acompañado por acuerdos de confidencialidad, adicionalmente se establece dentro del reglamento de trabajo, las sanciones de carácter disciplinario para a el caso de violación de dicho acuerdo.</t>
  </si>
  <si>
    <t>* Capacitación sobre practica de prevención de corrupción y soborno.
* Capacitación SIPLA</t>
  </si>
  <si>
    <t>* Septiembre</t>
  </si>
  <si>
    <t>* Coordinación Sistema Integrado de Gestión</t>
  </si>
  <si>
    <t>*Afectación de la imagen de la ZFIP.</t>
  </si>
  <si>
    <t>*Uso inadecuado del manual de identidad visual corporativa. *Terrorismo, narcotráfico o lavado de activos. 
* Inundación del parque 
* Manejo inadecuado de residuos.</t>
  </si>
  <si>
    <t xml:space="preserve">Personal externo no identificado.
Personal interno.
Condiciones ambientales </t>
  </si>
  <si>
    <t>*Falla en las medidas de protección.    
* Carencia de la cultura ambiental de las personas que ingresan al parque.
* insuficientes puntos de recolección de residuos a lo largo del parque.</t>
  </si>
  <si>
    <t>*Implementación de medidas de seguridad a través del sistema de gestión BASC e ISO 28000. 
*Divulgación y control del manual de identidad visual corporativa de la ZFIP.
* Elevación de la plataforma sobre la cual esta construida la ZFIP y existencia de jarillones en el perímetro colindante con el rio Cauca y la quebrada la Leticia.
* Control de residuos</t>
  </si>
  <si>
    <t>* Se mantienen las certificaciones en las normas BASC e ISO 28000.
* Por parte del area comercial en conjunto con la agencia de publicidad QUIJOTE, se realiza la socialización del manual de identidad visual.
* Se cuenta con un equipo de mantenimieto, quienes velan por el cuidado integral de las instalaciones del parque asi como una adecuada administración de los recursos.</t>
  </si>
  <si>
    <t>* Socialización del manual de  uso de marca con los colaboradores de la compañía</t>
  </si>
  <si>
    <t>Coordinador comercial y Coordinador SIG.</t>
  </si>
  <si>
    <t>* 15/07/19: se socializa el manul de identidad visual con los líders de proceso, para que a su vez estos lo socialicen consu correspondiente equipo de trabajo.</t>
  </si>
  <si>
    <t>Gestión de Operaciones</t>
  </si>
  <si>
    <t xml:space="preserve">*Por falta de conocimiento y control del personal de operaciones y/o quien tenga las responsabilidad del cumplimiento. 
</t>
  </si>
  <si>
    <t>*Personal interno de la organización. 
* Usuario Calificado</t>
  </si>
  <si>
    <t xml:space="preserve">* Mala imagen de la empresa.
* Sanciones legales cuantificadas en UVT.                                              * Pérdida de la declaratoria. </t>
  </si>
  <si>
    <t xml:space="preserve">* Falta de conocimiento y entrenamiento del personal.                                      
     </t>
  </si>
  <si>
    <t>* Revisión de normas y estándares por parte de los responsables.
* Capacitación en actualización normativa.</t>
  </si>
  <si>
    <t>* Capacitación al personal de operaciones con relación al Decreto 2147 de 2016
* Seguimiento a colaboradores de la aplicación de la capacitación</t>
  </si>
  <si>
    <t xml:space="preserve">Según plan de formación operaciones 2019 </t>
  </si>
  <si>
    <t xml:space="preserve">Director de Operaciones  </t>
  </si>
  <si>
    <t xml:space="preserve">No Aplica </t>
  </si>
  <si>
    <t xml:space="preserve">* Presentación de documentación falsa o información errónea.                                           *Desconocimiento de requisitos para aprobación de cartilla por parte del comité de revisión de cartilla y/o  usuarios a calificar.                                    </t>
  </si>
  <si>
    <t xml:space="preserve">Personal externo no identificado, usuarios a calificar y usuario operador. </t>
  </si>
  <si>
    <t xml:space="preserve">*Falta de conocimiento de antecedentes del cliente   
* Ausencia de controles de los requisitos necesarios para calificación                                    </t>
  </si>
  <si>
    <t>*Sanciones Legales. 
*  Pérdida de la declaratoria de la ZF.</t>
  </si>
  <si>
    <t xml:space="preserve">* No cumplir con las obligaciones establecidas del decreto 2147 de 2016 para el usuario operador y los usuarios calificados de zona franca artículos 74, 124 (numeral 1) operadores y 82, 124 (numeral 2) usuarios calificados. </t>
  </si>
  <si>
    <t xml:space="preserve">* Calificar a un usuario que no cumpla con lo establecido. </t>
  </si>
  <si>
    <t>*Verificación documental y cruce de información con entidades de apoyo. 
* Formato establecido en el sistema de gestión que incluye los requisitos para calificación de usuarios</t>
  </si>
  <si>
    <t xml:space="preserve">* Actualización de datos socios, accionistas y Representantes Legales de las compañías.
* Uso del formato FO-OP-01-PR-01 Lista de Chequeo Calificación de Usuarios.  </t>
  </si>
  <si>
    <t xml:space="preserve">* Antes de calificarse y Anualmente (Agosto)
* Previo a la calificación del usuario </t>
  </si>
  <si>
    <t xml:space="preserve">* Directora Jurídica y PH 
* Directores de proceso </t>
  </si>
  <si>
    <t xml:space="preserve">*Inexactitud en las operaciones de comercio exterior. </t>
  </si>
  <si>
    <t>*Desconocimiento de procedimientos por parte de los usuarios calificados. 
* Fallas en medios de comunicación (internet, sistema de control de inventarios, sistemas informáticos aduaneros, inventarios de zonas francas y Appolo).
* Aprobación indebida de FMM.</t>
  </si>
  <si>
    <t xml:space="preserve">*Usuarios Calificados
* Personal de Operaciones </t>
  </si>
  <si>
    <t xml:space="preserve">* Complicidad de alguno de los actores de la cadena de comercio exterior  
*Errores en digitación y conteo de mercancía.
*Errores en la aprobación de FMM. </t>
  </si>
  <si>
    <t xml:space="preserve">*Sanciones Legales, tanto para usuario calificado como para el usuario operador. </t>
  </si>
  <si>
    <t xml:space="preserve">* Auditoria externa en donde se revise la implementación del SIPLA de los Usuarios Calificados.
* Inspección soportada en acta con firma del analista encargado y Usuario Calificado aprobando el conteo.
* Revisión aleatoria  mensual de los formularios (FMM) aprobados
</t>
  </si>
  <si>
    <t>* Anual.
* A la llegada de Mercancía del Resto del Mundo.
* Mensual</t>
  </si>
  <si>
    <t xml:space="preserve">
* Auditoria Externa
* Director de Operaciones.
* Analista de Operaciones.
* Analista II de Operaciones
 </t>
  </si>
  <si>
    <t>Auditor Externo Lincon</t>
  </si>
  <si>
    <t>* Operaciones sospechosas</t>
  </si>
  <si>
    <t>* Operaciones que realizan los Usuarios Calificados de la ZFIP</t>
  </si>
  <si>
    <t xml:space="preserve">*Usuarios calificados y sus clientes </t>
  </si>
  <si>
    <t>Por falta de conocimiento de los clientes - falta de investigación</t>
  </si>
  <si>
    <t>Sanciones de las entidades de control - Mala reputación de la compañía</t>
  </si>
  <si>
    <t>*Reporte mensual de operaciones sospechosas
* SIPLA</t>
  </si>
  <si>
    <t xml:space="preserve">Implementación de SIPLA por parte de los Usuarios Calificados </t>
  </si>
  <si>
    <t xml:space="preserve">La definida por el usuario </t>
  </si>
  <si>
    <t xml:space="preserve">Usuario Calificado </t>
  </si>
  <si>
    <t>* Cada mes se realiza el reporte a la UIAF, por parte del oficial de cumplimiento, de actividades sospechosas, dando a su vez cumplimiento al manual SIPLA.</t>
  </si>
  <si>
    <t>Se evidencia cumplimiento por parte de todos los usuarios en la implementación del sistema SIPLA, corroborado por el auditor externo , evidenciando en el informe cumplimiento en este requisito.</t>
  </si>
  <si>
    <t>* Producto  contaminado.</t>
  </si>
  <si>
    <t>*Contaminación  de mercancías  en las operaciones de comercio exterior</t>
  </si>
  <si>
    <t>*Usuarios Calificados y/o Terceros.</t>
  </si>
  <si>
    <t>*Por falta de competencia                                                                          y omisión a los controles para los procedimientos de seguridad establecidos.</t>
  </si>
  <si>
    <t xml:space="preserve">* Mala imagen de la empresa.
* Sanciones legales. </t>
  </si>
  <si>
    <t>*Verificación de precintos.             
*Acceso restringido al centro de operaciones.  
*Reporte de actividades sospechosas. 
*Capacitación del personal
* Circuito Cerrado de Televisión (CCTV)
* Patrullaje motorizado y a pie en el perímetro del parque.
* Control de vehículos en ingreso y salida.</t>
  </si>
  <si>
    <t>* Capacitación del personal de operaciones (revisión de contenedores).
* Capacitación en seguridad de la carga y verificación de precintos.</t>
  </si>
  <si>
    <t>Director de Operaciones
satloc</t>
  </si>
  <si>
    <t>* Septiembre del 2018.
* Febrero de 2019</t>
  </si>
  <si>
    <t>* Rotación de personal que favorece el desconocimiento de la actualidad normativa.</t>
  </si>
  <si>
    <t>* Cambios normativos que generan ambigüedad en la forma de ejecutar los procesos</t>
  </si>
  <si>
    <t xml:space="preserve">* Manejo inadecuado del cliente </t>
  </si>
  <si>
    <t>* Facilitación de la aduana para capacitaciones, consultas, trámites e iniciativas en modernización de los procesos y estandarización de los mismos.</t>
  </si>
  <si>
    <t>* Falta de algunos perfiles específicos en ciertas áreas que requieren de mayor experticia para el desarrollo de las actividades</t>
  </si>
  <si>
    <t>* Oferta inmobiliaria limitada</t>
  </si>
  <si>
    <t>* Hacer parte de los diferentes gremios asociados al objeto social de la Compañía.</t>
  </si>
  <si>
    <t>* Disposición de recursos con los que cuentan los diferentes procesos para el desarrollo de sus actividades.</t>
  </si>
  <si>
    <t>* Existencia de entidades externas que apoyan y controlan los diferentes frentes a atender.</t>
  </si>
  <si>
    <t>* Buena imagen proyectada a clientes nacionales e internacionales.</t>
  </si>
  <si>
    <t>* Valor agregado que otorga las diferentes certificaciones con las que cuenta la compañía.</t>
  </si>
  <si>
    <t>* Beneficios del régimen franco e incentivos tributarios otorgados por el Gobierno local</t>
  </si>
  <si>
    <t>* Ubicación geográfica del parque referente a la cercanía a puertos y ciudades principales.</t>
  </si>
  <si>
    <t>* Consecución de mano de obra a bajos costos.</t>
  </si>
  <si>
    <t>Resultado. Gestión del Riesgo y Oportunidades</t>
  </si>
  <si>
    <t>TOTAL OPORTUNIDADES</t>
  </si>
  <si>
    <t>Resultado. Gestión del Riesgos y Oportunidades</t>
  </si>
  <si>
    <t>Gestión Administrativa</t>
  </si>
  <si>
    <t>* Bandas delincuenciales dentro de la organización.
* Robo o extravío de hojas de vida.
*Falsificación de la dotación de la empresa.
* Suplantación del personal.  *Rebelión de empleados con normas, políticas y procedimientos</t>
  </si>
  <si>
    <t>* Colaboradores de la compañía</t>
  </si>
  <si>
    <t xml:space="preserve">*Filtración de información, espionaje corporativo, hurto interno, chantaje y extorción a funcionarios.                                    *Sabotaje a operaciones aduaneras. 
* Contaminación  de mercancía  con sustancias ilícitas, explosivos, armas y/o contrabando. 
</t>
  </si>
  <si>
    <t>*Verificación de referencias y antecedentes disciplinarios.
 *visita domiciliaria y de seguimiento.
*Actualización y seguimiento a la información de los empleados 
*Programa de adicciones
*Programas de bienestar laboral 
* destrucción de logo en dotación devuelta.</t>
  </si>
  <si>
    <t>* Aplicación del manual de Gestión Humana y Administración.
* Realizar verificación de documentos de contratación.
* Velar por la seguridad de la documentación sensible (Hojas de vida)</t>
  </si>
  <si>
    <t xml:space="preserve">*Dirección Gestión Administrativa 
*Auxiliar Administrativa </t>
  </si>
  <si>
    <t>Página Web</t>
  </si>
  <si>
    <t>* Desarrollar de forma inadecuada  los procesos para la selección, visitas domiciliarias y requisitos de la contratación.
* No se realiza seguimiento y control a la dotación del personal retirado de la empresa.
* No se realiza seguimiento y control a la validación de los documentos de cada colaborador.
* No realizar una adecuada custodia de la documentación sensible.</t>
  </si>
  <si>
    <t xml:space="preserve">* Al ingreso de personal nuevo.
*  Al momento del retiro del personal.
* Anual 
* Diario.
</t>
  </si>
  <si>
    <t xml:space="preserve">* Selección no apropiada. </t>
  </si>
  <si>
    <t>*No cumplimiento de procedimientos estipulados.
*Entrega de documentos soportes falsos.</t>
  </si>
  <si>
    <t xml:space="preserve">*Directora de Gestión Administrativa. 
* Personal encargado y/o aspirante al cargo. </t>
  </si>
  <si>
    <t>*No aplicación de procedimientos establecidos.
*Falsificación de documentos.</t>
  </si>
  <si>
    <t>* Procesos improductivos.
*Errores en los procesos. 
*Insatisfacción del cliente. 
* Conspiración interna.
* Accidente laboral grave o muertal.</t>
  </si>
  <si>
    <t>*Aplicación de procedimientos de selección y contratación.</t>
  </si>
  <si>
    <t xml:space="preserve">* Aplicación de procedimiento establecido </t>
  </si>
  <si>
    <t>* Al momento de tener una vacante disponible.
* Al momento de la contratación.</t>
  </si>
  <si>
    <t>* Dirección Gestión Administrativa</t>
  </si>
  <si>
    <t>No Aplica</t>
  </si>
  <si>
    <t xml:space="preserve">Por ausencia de control en los peligros identificados </t>
  </si>
  <si>
    <t xml:space="preserve">Colaboradores, Contratistas e instalaciones locativas 
 </t>
  </si>
  <si>
    <t xml:space="preserve">Actos y condiciones inseguras </t>
  </si>
  <si>
    <t xml:space="preserve">*Perdidas humanas y/o materiales
*Enfermedades y perdida de la capacidad laboral
* Pérdidas económicas </t>
  </si>
  <si>
    <t>* Accidente laboral grave o mortal, ausentismo masivo de colaboradores por enfermedad o calamidad</t>
  </si>
  <si>
    <t>* Conspiración interna.</t>
  </si>
  <si>
    <t xml:space="preserve">* Identificación de peligros y riesgos
* Plan de emergencia 
* Inducción y reinducción del cargo  
* Plan Estratégico de Seguridad Vial 
* programas de promoción y prevención (PYP).
* Seguimiento a los conceptos médicos ocupacionales.
</t>
  </si>
  <si>
    <t xml:space="preserve">* Actividades de prevención y promoción de accidentes e incidentes de trabajo.
* Dar cumplimiento a los requisitos del sistema de gestión SST
* Actualización de la matriz de peligros y valoración del riesgo.
</t>
  </si>
  <si>
    <t xml:space="preserve">
* En todo momento 
* Anual</t>
  </si>
  <si>
    <t xml:space="preserve">* Dirección Gestión Administrativa
* Auxiliar SST 
* Colaboradores </t>
  </si>
  <si>
    <t xml:space="preserve">* Problemas de adicción en los colaboradores </t>
  </si>
  <si>
    <t xml:space="preserve">*Luego de realizar pruebas de ingreso ó aleatorias, el resultado es positivo. 
</t>
  </si>
  <si>
    <t xml:space="preserve">*Colaboradores. </t>
  </si>
  <si>
    <t xml:space="preserve">*Factores intra y extra laborales. </t>
  </si>
  <si>
    <t xml:space="preserve">*Improductividad en los procesos. 
* Accidentes de trabajado *Consumo en las instalaciones. 
*Posible contaminación de la carga. 
*Otorgar beneficios a los clientes en contra de las políticas de la compañía para obtener beneficio propio.
* Ausentismo laboral </t>
  </si>
  <si>
    <t>*Monitoreo periódico a los resultados  de  pruebas de alcohol y drogas y ejecución de plan de acción. 
*Puesta en marcha del programa de adicciones.</t>
  </si>
  <si>
    <t>* Actividades de bienestar laboral. 
* Capacitación SST (Campañas prevención farmacodependencia)</t>
  </si>
  <si>
    <t xml:space="preserve">De acuerdo a la programación  
</t>
  </si>
  <si>
    <t>* Dirección Gestión Administrativa
* Auxiliar Gestión Administrativa
*Auxiliar SST.</t>
  </si>
  <si>
    <t>Dejar áreas de manipulación sin ninguna protección (como tapas metálicas, plásticas, entre otras) y sin señalizar.</t>
  </si>
  <si>
    <t>Contratistas, personal de obra y mantenimiento.</t>
  </si>
  <si>
    <t>Falta de capacitación del personal y de supervisión.</t>
  </si>
  <si>
    <t>Accidente de trabajo</t>
  </si>
  <si>
    <t>* Recomendación de seguridad industrial.
* CCTV 24/7.
* Ronda permanente.</t>
  </si>
  <si>
    <t>* Gestión de personal, encaminada a fortalecer el conocimiento de los equipos de trabajo</t>
  </si>
  <si>
    <t>* Baja recompensa a los colaboradores que genera desmotivación.</t>
  </si>
  <si>
    <t>* Canales de comunicación no específicos que afectan el dinamismo y las responsabilidades compartidas de los procesos.</t>
  </si>
  <si>
    <t>* Relación óptima con la comunidad.</t>
  </si>
  <si>
    <t>* Tapas de las cajas eléctricas, aguas lluvias, residuales y comunicación destapadas</t>
  </si>
  <si>
    <t>* Se impelmentan por parte de la auxiliar de SST, inspecciones de obra, y se apoya desde el area de monitoreo y ronda.</t>
  </si>
  <si>
    <t>Capacitación por parte del área de SST y supervisión de la empresa contratante.</t>
  </si>
  <si>
    <t xml:space="preserve">Al momento de la contratación </t>
  </si>
  <si>
    <t>* Dirección Gestión Administrativa
* Auxiliar SST
* Dirección Jurídica y PH
* Dirección técnica</t>
  </si>
  <si>
    <t>Material de presentación (Diapositivas).</t>
  </si>
  <si>
    <t>A cada contratista se le realiza una inducción en SST y se les brindan las recomendaciones a tener en cuenta al momento de ejecutar las labores dentro del parque, así como los protocolos a implementa sobre demarcación de áreas de intervención.</t>
  </si>
  <si>
    <t xml:space="preserve">*Omisión de responsabilidades por parte de los procesos. </t>
  </si>
  <si>
    <t xml:space="preserve">*Diferentes procesos. </t>
  </si>
  <si>
    <t xml:space="preserve">*No cumplimiento de los Manuales, Políticas y Procedimientos en los procesos. </t>
  </si>
  <si>
    <t xml:space="preserve">* No garantía de la eficiencia, eficacia y efectividad de los procesos. </t>
  </si>
  <si>
    <t>* No cumplimiento de requisitos de las normas y estándares.</t>
  </si>
  <si>
    <t xml:space="preserve">*Auditorias Internas por lo menos una vez al año.
*Capacitación y certificación de Auditores internos en la norma. </t>
  </si>
  <si>
    <t>* Se cuenta con u procedimiento de auditorias internas, el cual se cumple cada año por medio de auditorias interns y externas, garantizando la continuidad de las certificaciones.
* Dentro del plan de formación se encuentyran estabelcidos temas tendientes a fortalecer las habilidades de los auditores internos.</t>
  </si>
  <si>
    <t xml:space="preserve">Según programación </t>
  </si>
  <si>
    <t xml:space="preserve">* Auditores internos
* Coordinación del sistema integrado de gestión </t>
  </si>
  <si>
    <t>Normas BASC, ISO 9001:2015, ISO 28000</t>
  </si>
  <si>
    <t xml:space="preserve">* Seguimiento al cumplimiento de los procedimientos, política y manuales del sistema de gestión </t>
  </si>
  <si>
    <t>* Se verifica cumplimiento de los procedimientos establecidos al interior de la compañía, asi mismo se establecen observaciones para la mejora del sistema de gestión.
* Se efectua auditoria interna, en la cual resultan 3 no conformidades, las cuales ya fueron subsanadas.</t>
  </si>
  <si>
    <t xml:space="preserve">* Procesos sin acciones de mejora. 
</t>
  </si>
  <si>
    <t xml:space="preserve">*No se evidencia una mejora continua en los procesos. </t>
  </si>
  <si>
    <t xml:space="preserve">*Procesos. </t>
  </si>
  <si>
    <t xml:space="preserve">*Perdida de dinamismo e incentivación de hacer las cosas mejor. </t>
  </si>
  <si>
    <t xml:space="preserve">*Perdida de talento humano.  
*Perdida de competitividad al interior de la empresa. </t>
  </si>
  <si>
    <t>*Comité de Gerencia el cual aporta a la mejora continua de la organización.
* Indicador de acciones preventivas y acciones de mejora de todos los procesos.</t>
  </si>
  <si>
    <t>* Se realiza seguimiento a las acciones de mejora de los procesos, mediante los indicadores que controla el proceso SIG, así mismo se presentan los resultados en los comites de gerencia, para evidenciar el dinamismo y la mejora continua de la compañía, por medio de los procesos.</t>
  </si>
  <si>
    <t xml:space="preserve">Seguimiento a las acciones planteadas por cada proceso según indicador </t>
  </si>
  <si>
    <t xml:space="preserve">Julio  </t>
  </si>
  <si>
    <t xml:space="preserve">Coordinación del Sistema Integrado de Gestión </t>
  </si>
  <si>
    <t>No aplica</t>
  </si>
  <si>
    <t>* Los indicadores de seguimiento de ACPM, son presentados en comité de gerencia de manera cuatrimestral, con corte trimestral, lo anterior esta soportado en las acatas de RXD, de los correspondientes comités de gerencia.</t>
  </si>
  <si>
    <t>* Pérdida de información clave por sustracción, eliminación o deterioro (procedimientos, manuales, anexos, entre otros)</t>
  </si>
  <si>
    <t xml:space="preserve">* Robo de información importante de la empresa.
* Eliminación de un documento del sistema.  
* Falla en el sistema SADOC </t>
  </si>
  <si>
    <t>*Personal interno o externo de la organización.
*Configuración del sistema de gestión documental SADOC</t>
  </si>
  <si>
    <t xml:space="preserve">* Ausencia de medidas de seguridad (robo, perdida o eliminación involuntaria de información) o daño en el servidor.
</t>
  </si>
  <si>
    <t>* Perdida completa de la información.</t>
  </si>
  <si>
    <t xml:space="preserve">*Copias de seguridad de la información (Back Up).        
* Contraseñas de acceso y/o no tener al publico estas especificaciones.
* Servidores de repuesto. </t>
  </si>
  <si>
    <t>* Cada líder de proceso, tien como responsabilidad realizar la copia de seguridad, con periodicidad semanal. El control a la ejecución de esta actividad es llevada por el proceso de TI, así como la administración de contraseñas y mantenimiento de los servidores.</t>
  </si>
  <si>
    <t xml:space="preserve">* Capacitación Seguridad informática
*Documentación compartida en software.  </t>
  </si>
  <si>
    <t>Marzo Mayo</t>
  </si>
  <si>
    <t>Analista Tecnología e Informática</t>
  </si>
  <si>
    <t>* Se lleva a cabo simulcro sobre transferencia de contraseñas entre colaboradores, para lo cual se evidencia según el resultado, que el personal no cuenta con manejo claro del concepto de confidencialidad en las contraseñas incluso entre compañeros de trabajo, sinedo el resultado del simulacro una trasferencia de contraseña del ordenador de los usuarios (Aux SST y Analista Ide Operaciones) hacia otro compañero.
* 29/08/2019: Se realiza la capaitación de seguridad informática, dirigida por el proceso TI.
* Se cuenta con un sistema de gestión documental en el cual se encuentra actualizada toda la documentación utilizada enla ejecución de los diferentes procesos.</t>
  </si>
  <si>
    <t xml:space="preserve">*No Respuesta a eventos críticos. </t>
  </si>
  <si>
    <t xml:space="preserve">*La organización no se encuentra preparada para la respuesta ante eventos críticos. </t>
  </si>
  <si>
    <t xml:space="preserve">* Todos los procesos 
* Jefe de Seguridad </t>
  </si>
  <si>
    <t xml:space="preserve">*Falta de identificación y planeación para atender una situación critica. </t>
  </si>
  <si>
    <t xml:space="preserve">*Impactos económicos, perdidas humanas. </t>
  </si>
  <si>
    <t xml:space="preserve">*Procedimientos de emergencias y de respuesta a eventos críticos. </t>
  </si>
  <si>
    <t>* Se realizan simulacros a aquellos riesgos con riesgo residual alto, y aleatoriamente a los riesgos medios, con el fin de evaluar los procedimientos y protocolos de espuesta a eventos críticos y emergencias.</t>
  </si>
  <si>
    <t xml:space="preserve">
* Revisión de la matriz de identificación de riesgo. 
* Socialización de procedimiento de seguridad. 
 </t>
  </si>
  <si>
    <t>* Abril
* Mayo</t>
  </si>
  <si>
    <t>* Coordinación Sistema Integrado de Gestión 
* Dirección Jurídica y Propiedad Horizontal</t>
  </si>
  <si>
    <t xml:space="preserve">* No mantener los registros de manera adecuada. </t>
  </si>
  <si>
    <t>* No se manejan documentos legibles, ordenados, no se tienen en carpetas definidas.</t>
  </si>
  <si>
    <t xml:space="preserve">Todos los procesos </t>
  </si>
  <si>
    <t xml:space="preserve">* Falta de cuidado y desconocimiento de las normas en las cuales nos encontramos certificados. </t>
  </si>
  <si>
    <t xml:space="preserve">* No conformidades en auditorias.
* Documentos no legibles.
* Perdida de confiablidad.
* Falsificación de información.  </t>
  </si>
  <si>
    <t xml:space="preserve">* Procedimiento control de documentos
* Auditoria Interna </t>
  </si>
  <si>
    <t>* Mediante el cumplimiento del procedimiento de control documental y de auditorias internas, se garantiza el control de registros de la organización.</t>
  </si>
  <si>
    <t xml:space="preserve">Verificación de documentos y registros </t>
  </si>
  <si>
    <t xml:space="preserve">* Coordinación Sistema Integrado de Gestión 
</t>
  </si>
  <si>
    <t>Se verifica en la auditoria interna revisión de listado maestro de registros en el cual se establece el resguardo de los registros desde cada uno de los procesos, asi mismo se evidencia uso en los diferentes procesos de todos los documentos desde SADOC, cumplinedo con e objetivo de la actividad.</t>
  </si>
  <si>
    <t>* Alianzas estratégicas con entidades u organizaciones que aportan conocimiento y orientación, fortaleciendo los factores base de los sistemas.</t>
  </si>
  <si>
    <t>* Desarrollar de manera efectiva las labores de los procesos.</t>
  </si>
  <si>
    <t>Afiliación al BASC, Analdex, Legis.</t>
  </si>
  <si>
    <t>* Convenios y suscripciones.</t>
  </si>
  <si>
    <t>Gestión Contable y Financiera</t>
  </si>
  <si>
    <t>* Reportes a centrales de riesgos.</t>
  </si>
  <si>
    <t xml:space="preserve">* Reporte a centrales de riesgo en la que se evidencia que la ZFIP no es un cliente confiable. </t>
  </si>
  <si>
    <t xml:space="preserve">*Personas externas y proveedores y entidades financieras. </t>
  </si>
  <si>
    <t>*Errores involuntarios de la Analista Contable y Financiera.
*No pago de obligaciones financieras.
* Falta de recursos.
*Perdida de documentación que valide la obligación.</t>
  </si>
  <si>
    <t xml:space="preserve">*Perdida de confiabilidad crediticia. </t>
  </si>
  <si>
    <t>* Revisión mensual de los estados financieros.
* Actualización de cuadro de pagos.
* Radicación de correspondencia en un archivo digital.</t>
  </si>
  <si>
    <t xml:space="preserve">*Manipulación de información.                 </t>
  </si>
  <si>
    <t xml:space="preserve">*Aprovechamiento negativo por parte de los funcionarios responsables de la información financiera. </t>
  </si>
  <si>
    <t xml:space="preserve">* Integrantes de los diferentes procesos de la compañía y personal externo con acceso a la información. </t>
  </si>
  <si>
    <t xml:space="preserve">*Chantaje por parte de los funcionarios, suministro de información a la competencia o personal que puedan ocasionar daños. </t>
  </si>
  <si>
    <t xml:space="preserve">*Perdidas económicas, perdida de declaratoria, perdida de seguridad de altos directivos y accionistas de la compañía. </t>
  </si>
  <si>
    <t>*Pérdida de información contable</t>
  </si>
  <si>
    <t xml:space="preserve">* Ingreso de personas no autorizadas y/o colaboradores al proceso financiero extrayendo información crítica.
* Falla de equipo tecnológico por infección de virus u otras causales.  
                                        </t>
  </si>
  <si>
    <t xml:space="preserve">Personas externas a la organización e integrantes de todos los procesos. </t>
  </si>
  <si>
    <t>*Sanciones de entes de control. 
* Malos reportes ante la DIAN.  
* Información financiera que no permita tomar las decisiones adecuadas.
* Falta de disponibilidad de la información a los usuarios. 
*Uso inadecuado de la información. 
* Implicaciones legales, judiciales y trastornos  a nivel interno de la compañía.</t>
  </si>
  <si>
    <t>* Revisión del información contable  física.
* Cronograma de mantenimiento preventivo de equipos y copias de seguridad.
* Reporte al proceso de Gestión Tecnología e Informática de dispositivo externo.
*  Capacitación en copias de seguridad BACK UP Zeus.
* Cumplimiento de la política  de llaves y restricción de áreas criticas</t>
  </si>
  <si>
    <t xml:space="preserve">*Robo (Plataformas virtuales y estafa).  </t>
  </si>
  <si>
    <t>*Clonación de cuentas bancarias - tarjetas de crédito     
* Asalto a funcionario que transporte dinero.                                   *Empresa fachada o de dudosa procedencia.</t>
  </si>
  <si>
    <t xml:space="preserve">Personas externas a la organización o integrantes de los procesos. </t>
  </si>
  <si>
    <t xml:space="preserve">*Delincuencia común o abuso de confianza. </t>
  </si>
  <si>
    <t>*Perdida de fondos de las cuentas bancarias. 
*Disminución de recursos para atender las necesidades urgentes.         
*Lesiones que atentan contra la vida de los funcionarios.</t>
  </si>
  <si>
    <t xml:space="preserve">
* Según programación.
* Según necesidad </t>
  </si>
  <si>
    <t xml:space="preserve">
Analista Tecnología e Informática 
Gestión Administrativa
Gestión Jurídica y PH </t>
  </si>
  <si>
    <t xml:space="preserve">*No pago de impuestos y o presentación de Informes </t>
  </si>
  <si>
    <t xml:space="preserve">*Cuando no se cumple con las fecha establecidas para realizar el pago de impuestos municipales y nacionales o presentación de informes  </t>
  </si>
  <si>
    <t>*Proceso Gestión Contable y Financiera</t>
  </si>
  <si>
    <t xml:space="preserve">*Falta de conocimiento.
/ Olvido involuntario.  
</t>
  </si>
  <si>
    <t xml:space="preserve">* Sanciones por los entes de control.   </t>
  </si>
  <si>
    <t>*Calendario Tributario actualizado. /Capacitaciones constantes. 
* Revisoría fiscal mensual</t>
  </si>
  <si>
    <t xml:space="preserve">Capacitaciones actualización tributaria </t>
  </si>
  <si>
    <t xml:space="preserve">Anual </t>
  </si>
  <si>
    <t xml:space="preserve">Entes externos </t>
  </si>
  <si>
    <t xml:space="preserve">Económicos 
Software contable </t>
  </si>
  <si>
    <t xml:space="preserve"> Se mantiene la información contable al día y conforme a la normatividad tributaria actual se realiza liquidación y presentación de los impuestos periódicamente sin que se haya presentado hasta ahora ningún requerimiento por parte de la administración de impuestos (nacional o local).
Se realiza capacitación en actualización tributaria para la analista de gestión contable y financiero el 25 de Enero de 2.019, la cual brinda las herramientas para la presentación de impuestos a los entes de control sin inconsistencias.</t>
  </si>
  <si>
    <t xml:space="preserve">Software no licenciado    </t>
  </si>
  <si>
    <t xml:space="preserve">* Fecha de vencimiento, falta de renovación, instalación y/o  desinstalación por el usuario                                </t>
  </si>
  <si>
    <t>*Usuarios de Computo.
*Proceso Tecnología e Informática
*Agentes externos</t>
  </si>
  <si>
    <t xml:space="preserve">* Falta de gestión por parte de analista de sistemas o por infracción del usuario. </t>
  </si>
  <si>
    <t>* Sanciones o multas a la empresa.   
* Fallas en los equipos de computo.</t>
  </si>
  <si>
    <t>*Control de inventarios de licencias.  
*Asignación de equipos de cómputo
* Equipos con cuentas de administrador y cuentas estándar.</t>
  </si>
  <si>
    <t>*Revisan general de las cuentas de usuarios de los equipos de computo y realizar asignación de cuentas de usuario sin privilegios de administrador a quienes no la tengan.
* Diagnóstico SAM (Administración de los activos de SOFTWARE)</t>
  </si>
  <si>
    <t xml:space="preserve">Proceso Gestión Tecnología e Informática </t>
  </si>
  <si>
    <t>2 veces de al año por cada equipo 
1/04/2019</t>
  </si>
  <si>
    <t xml:space="preserve">Proceso Gestión Tecnología e Informática 
Proceso Gestión Tecnología e Informática </t>
  </si>
  <si>
    <t xml:space="preserve">
* Administrador de cuentas de usuario Windows
Financiero</t>
  </si>
  <si>
    <t xml:space="preserve">* Violación de contraseñas.            </t>
  </si>
  <si>
    <t xml:space="preserve">*Divulgación de contraseñas.
* Hurto de archivo físico o digital. 
* Hackeo de las cuentas.                      </t>
  </si>
  <si>
    <t xml:space="preserve">*Usuarios de Computo y/o personal externo de la organización. </t>
  </si>
  <si>
    <t xml:space="preserve">* Por estar visibles y escritas en lugares no seguros. 
* Autoguardado de contraseñas en los navegadores. 
                         </t>
  </si>
  <si>
    <t xml:space="preserve">* Pérdida de confidencialidad de la información.
* Robo de cuentas.
* Suplantación de identidad. 
</t>
  </si>
  <si>
    <t>* Cambio y actualización de contraseñas como plazo máximo el tiempo estipulado en el Manual de Gestión Tecnología e Informática o por casos de fuerza mayor cuando lo considera pertinente el analista del proceso de Gestión de Tecnología e Informática. 
*Adopción de medidas disciplinarias.</t>
  </si>
  <si>
    <t xml:space="preserve">Tecnológicos </t>
  </si>
  <si>
    <t xml:space="preserve">* Virus Informáticos.                    </t>
  </si>
  <si>
    <t xml:space="preserve">* Vencimiento de antivirus, descargas provocados por lo usuarios, USB infectadas, uso de paginas no autorizadas por la empresa. </t>
  </si>
  <si>
    <t xml:space="preserve">*Usuarios de Computo y/o responsable del proceso de Gestión Tecnología e Informática. 
* Usuario externo
</t>
  </si>
  <si>
    <t>* No instalación de antivirus y descargas no autorizadas por los usuarios. 
* Fallas en el equipo de seguridad.</t>
  </si>
  <si>
    <t xml:space="preserve"> * Bajo rendimiento de los equipos.
* Perdida de información. </t>
  </si>
  <si>
    <t>* Dispositivo de seguridad informática Fortigate 60D.
* Antivirus (protección local en estaciones de trabajo), firewall local, políticas y estándares de seguridad informáticas, administración total de la red.</t>
  </si>
  <si>
    <t xml:space="preserve">
* Instalación de antivirus licenciado.</t>
  </si>
  <si>
    <t>Julio de 2019</t>
  </si>
  <si>
    <t xml:space="preserve">Software informático de seguridad </t>
  </si>
  <si>
    <t>Registro digital de todos los equipos con su respectiva licencia de antivirus .
Equipos protegidos durante 14 meses.</t>
  </si>
  <si>
    <t xml:space="preserve">* Ataque Informático                                       </t>
  </si>
  <si>
    <t>*Usuario externo que mediante internet vulnera la seguridad informática de la empresa.</t>
  </si>
  <si>
    <t>* Software malicioso externo</t>
  </si>
  <si>
    <t xml:space="preserve">* Robo o pérdida de información y dinero.
* Mala imagen de la compañía. </t>
  </si>
  <si>
    <t xml:space="preserve">
*Actualizar el software del dispositivo de seguridad 
</t>
  </si>
  <si>
    <t xml:space="preserve">Según aplique </t>
  </si>
  <si>
    <t xml:space="preserve">Software (Sistema operativo y características de seguridad) </t>
  </si>
  <si>
    <t xml:space="preserve">Plataforma con ultima actualización  aplicada.
Red protegida </t>
  </si>
  <si>
    <t>*Interrupción de Operación de la empresa.</t>
  </si>
  <si>
    <t>*Caída de internet (masiva externa).
* Errores de conexión.</t>
  </si>
  <si>
    <t>*Empresa con quien se contrata el servicio.
* Proceso Gestión Tecnología e Informática.</t>
  </si>
  <si>
    <t xml:space="preserve">*Errores de conexión. *Insuficiencia en cuanto la capacidad de usuarios.  
*Des configuración de redes y datos. </t>
  </si>
  <si>
    <t xml:space="preserve">* Retrasos en la operación de los procesos </t>
  </si>
  <si>
    <t>*Mantenimiento de las redes informáticas de la empresa. 
* Plan de contingencia de las dos redes cableadas con diferente prestador de servicio, Red inalámbrica, módem USB.</t>
  </si>
  <si>
    <t>* revisión periódica de los puntos de red.
* Monitoreo de la velocidad ofrecida por el proveedor de internet.
* Configuración de redes y datos.</t>
  </si>
  <si>
    <t>* Semestral.
* Cuando aplique</t>
  </si>
  <si>
    <t>*Fallas en los equipos de computo y servidores incluyendo el sistema de control de ingresos</t>
  </si>
  <si>
    <t xml:space="preserve">*Usuarios de Computo y/o personal externo de la organización.
*Medio ambiente </t>
  </si>
  <si>
    <t>*Por fallas, desconfiguración o daño en los equipos, las cuales impiden su adecuado uso. 
Mal uso de los mismos.
* Incumplimiento con el mantenimiento preventivo</t>
  </si>
  <si>
    <t>* demoras en e funcionamiento y adecuado desarrollo de los procesos</t>
  </si>
  <si>
    <t xml:space="preserve">*Vida útil vencida, fallas eléctricas y otros.     
* Virus informático.
                                         </t>
  </si>
  <si>
    <t>Mantenimiento preventivo para los  equipos (semestrales)</t>
  </si>
  <si>
    <t xml:space="preserve">Ejecutar adecuadamente cronograma de mantenimientos preventivos y actualización de software del sistema operativo </t>
  </si>
  <si>
    <t xml:space="preserve">Cuando aplique  </t>
  </si>
  <si>
    <t>Sistema Operativo actualizado con la ultima versión disponible enviada por Microsoft.
Cumplimiento del cronograma de mantenimiento preventivo</t>
  </si>
  <si>
    <t xml:space="preserve">Los proponentes sugeridos para la ejecución de obra no cumplen con el alcance contratado. </t>
  </si>
  <si>
    <t>Se sugieren los proponentes de la ejecución de obras y no se tiene en cuenta la modalidad de contrataciòn para su ejecuciòn</t>
  </si>
  <si>
    <t xml:space="preserve">*Junta directiva
*Gerencia 
*Direcciòn Tecnica </t>
  </si>
  <si>
    <t>*Por no tener clara la modalidad de contrataciòn buscando alternativas en funciòn de menores costos. 
*Por causas externas como factores climáticos.</t>
  </si>
  <si>
    <t xml:space="preserve">* No se realizan las obras en los tiempos requeridos.
* Mayores costos en la ejecuciòn de los proyectos. </t>
  </si>
  <si>
    <t xml:space="preserve">Se revisan las modalidades de contrataciòn una vez se llega a una negociaciòn aprobada por la Junta Directiva o por la Gerencia. 
</t>
  </si>
  <si>
    <t xml:space="preserve">Al momento de la negociaciòn o durante el proceso de selecciòn de las ofertas  </t>
  </si>
  <si>
    <t xml:space="preserve">Direcciòn Técnica </t>
  </si>
  <si>
    <t>Se ha realizado una selección optima de los proveedores y contratistas, conforme a los procedimientos de compras y contratacion establecidos.
Cornforme a la contratacion realizada  y servicios adquiridos no se han presentado novedades para reportar a la Gerencia</t>
  </si>
  <si>
    <t>Desgaste de  equipos, herramienta e infraestructura en general</t>
  </si>
  <si>
    <t xml:space="preserve">
Deterioro de la Infraestructura, Equipos y Herramientas </t>
  </si>
  <si>
    <t xml:space="preserve">* Usuarios 
* Direcciòn Tecnica 
* Condiciones ambientales </t>
  </si>
  <si>
    <t xml:space="preserve">
* Falta de recursos para la ejecuciòn de presupuesto</t>
  </si>
  <si>
    <t xml:space="preserve">* Mal aspecto de la infraestructura y mobiliario fisico.
* Siniestros.
* Accidentes laborales. 
* Perdidas humanas y economicas. </t>
  </si>
  <si>
    <t>Seguimiento de las actividades del cronograma de mantenimiento
Seguimiento a presupuesto proyectado  
* Implementación del canal de comunicación para la resolución de solicitudes de mantenimiento</t>
  </si>
  <si>
    <t xml:space="preserve">
Mensual 
19/02/2019</t>
  </si>
  <si>
    <t>No cumplir con normas y estándares de construcción</t>
  </si>
  <si>
    <t xml:space="preserve">*Al ser contratados los cálculos, éstos no cumplan con normas
*En la ejecución de las obras, los contratistas no cumplan los controles de calidad de los procesos o materiales usados </t>
  </si>
  <si>
    <t xml:space="preserve">*Contratistas.
*Direcciòn Tecnica. </t>
  </si>
  <si>
    <t xml:space="preserve">Desconocimiento de la norma y estandares por parte del contratista y de la Direcciòn Tecnica. </t>
  </si>
  <si>
    <t xml:space="preserve"> *No se aprueba en curaduría los diseños de obra
*Rechazo de las obras</t>
  </si>
  <si>
    <t>Revisión de normas y estandares de calidad por parte del contratante</t>
  </si>
  <si>
    <t xml:space="preserve"> Actualizacion de norma y estándares de construcciòn en matriz de requisitos legales </t>
  </si>
  <si>
    <t xml:space="preserve">En el momento en que aplique </t>
  </si>
  <si>
    <t xml:space="preserve">* Direcciòn Juridica y PH 
* Direcciòn Tecnica </t>
  </si>
  <si>
    <t>Se realizo actualizaciòn total de la matriz de requisitos legales en el mes de Noviembre de 2018 para lo cual  se generaron cambios por parte del proceso gestiòn tecnica,  Actualizando la Norma RAS 2017,  R. 0330. y actualización de la RETIE  y la inclusión de la  NFPA (RCI)
A medida que se generan actualizaciòn en las normas se procede con la actualizaciòn de dicha matriz.</t>
  </si>
  <si>
    <t>Mal funcionamiento de las básculas</t>
  </si>
  <si>
    <t>Variación de las medidas de pesaje conforme a las desviaciones de error establecidas en los manuales de operación</t>
  </si>
  <si>
    <t xml:space="preserve">Usuarios de las básculas </t>
  </si>
  <si>
    <t xml:space="preserve">
*Falta de mantenimientos preventivos y calibración de las básculas de acuerdo a lo establecido en el procedimiento de seguimiento a Bascula. 
*Manipulación inadecuada de los componentes de los equipos de pesaje</t>
  </si>
  <si>
    <t>*Error en los pesajes 
*Operación poco confiable 
*Sanciones en normatividad del regimen de ZF</t>
  </si>
  <si>
    <t>*Mantenimiento predictivo 
*Mantenimiento preventivo y calibración de la báscula.
* Supervición de personal idoneo como laboratorios o servicios de calibración.</t>
  </si>
  <si>
    <t xml:space="preserve">Direcciòn tecnica </t>
  </si>
  <si>
    <t xml:space="preserve">* Proveedor de servicios 
* Equipos de logistica externa necesarios para mantenimiento predictivo y calibraciones </t>
  </si>
  <si>
    <t>Cumplimiento del cronograma de mantenimiento de basculas 
* Socialización del manejo de los equipos</t>
  </si>
  <si>
    <t>Segùn cronograma.
Abril</t>
  </si>
  <si>
    <t>Manejo inadecuado de informaciòn  suministrada a terceros.</t>
  </si>
  <si>
    <t xml:space="preserve">Entregando informaciòn o documentaciòn tales como planos, estudios, entre otros a proveedores y posibles clientes </t>
  </si>
  <si>
    <t>Terceros</t>
  </si>
  <si>
    <t xml:space="preserve">* Necesidad del proceso Gestiòn Comercial y de Servicio al Cliente, Gestiòn Técnica, Gerencia y Junta Directiva del suministro de dicha informaciòn a terceros. </t>
  </si>
  <si>
    <t xml:space="preserve">* Información puede llegar a manos delictivas. 
* Soborno.
* Plagio de diseños y estudios. 
</t>
  </si>
  <si>
    <t>* Soporte de envio de informaciòn por medio de correo electronico. 
* Notificaciòn del manejo de confidencialidad sobre la informaciòn suministrada en el correo del remitente.</t>
  </si>
  <si>
    <t>Verificación de la existencia del aviso de confidencialidad en la firma del correo del Director Técnico</t>
  </si>
  <si>
    <t>al momento de un cambio en la firma del correo.</t>
  </si>
  <si>
    <t>Revisión permanente de los expedientes</t>
  </si>
  <si>
    <t>* Facilidad de intrusión de personal externo no autorizado y rompimiento de cerramiento perimetral</t>
  </si>
  <si>
    <t>* Daños en la malla, 
* Intrusión.</t>
  </si>
  <si>
    <t>Personal externo no identificado, usuarios calificados y usuario operador, visitantes, proveedores y contratistas</t>
  </si>
  <si>
    <t xml:space="preserve">* Comunidad cerca al perimetro.
</t>
  </si>
  <si>
    <t>* Hurto, daños a las instaciones o al personal.
* Lesiones fisicas.</t>
  </si>
  <si>
    <t>Vigilancia permanente por parte de los  ronderos con control de punto de marcación mediante bastón electrónico, CCTV 24/7, verificación perimetral a pie con informe semanal del estado del cerramiento. 
Se aumentaron los puntos de marcación son 25 aumento en 5 puntos mas, a causa de la construcción de la RCI se reubicaron otros puntos, se trasladó un domo cubriendo el sector de caimalito con el CCTV.</t>
  </si>
  <si>
    <t>* Revisióndel perimetro.
* Simulacro de intrusión.
* Socializar nuevamente el procedimiento de ingresos y manejo de tarjetas de proximidad.</t>
  </si>
  <si>
    <t>* Semanal
* 1/05/2019
Marzo</t>
  </si>
  <si>
    <t>* Personal de seguridad 
* Personal de mantenimiento zonas comunes.
*Contratista electrico.
* Coordinación Sistema Integrado de Gestión
* Dirección Juridica y PH.</t>
  </si>
  <si>
    <t xml:space="preserve">
* Software Integra 32</t>
  </si>
  <si>
    <t>Posible caída del tronco sobre el sistema de enmallado.</t>
  </si>
  <si>
    <t xml:space="preserve">Condiciones climaticas y deterioro de los arboles alrededor del perimetro </t>
  </si>
  <si>
    <t xml:space="preserve">Personal externo y eventos naturales </t>
  </si>
  <si>
    <t>Crecimiento de árboles cerca al cerramiento perimetral, fuertes lluvias que pueden ocasionar desprendimiento de ramas dañando la malla.</t>
  </si>
  <si>
    <t xml:space="preserve">* Daños a las instaciones, al personal y terceros 
*Facilitar el acceso de intrusos. </t>
  </si>
  <si>
    <t xml:space="preserve">Revisión por parte del personal de mantenimiento, vigilancia permanente por parte de los  ronderos con control de punto de marcación mediante bastón electrónico, CCTV 24/7, verificación perimetral a pie con informe semanal del estado del cerramiento. </t>
  </si>
  <si>
    <t>Revisiones por parte del personal de mantenimiento para evitar que las ramas sobrepasen el perimetro.</t>
  </si>
  <si>
    <t>* Personal de mantenimiento zonas comunes
*Personal de seguridad 
* CCTV</t>
  </si>
  <si>
    <t>Identificación de correspondencia y paquetes sospechosos</t>
  </si>
  <si>
    <t>Alguna correspondencia y paquetes son entregados por personas no identficados que no son de empresas reconocidas que realicen el oficio. Desayunos sorpresas, cartas, almuezos…entre otros</t>
  </si>
  <si>
    <t>Personal informal de entrega de correspondencia</t>
  </si>
  <si>
    <t xml:space="preserve">Falta de cumplimiento del personal con relaciòn a las políticas y procedimientos para autorizar el ingreso de este tipo de objetos </t>
  </si>
  <si>
    <t>* Atentados, 
* Pérdida de vidas. * Daños estruturales.
* Pérdidas económicas.</t>
  </si>
  <si>
    <t>Capacitación al personal de seguridad y de ingresos para detección de identificación de correspondencia y paquetes sospechosos</t>
  </si>
  <si>
    <t>* Capacitaciòn al personal de control de ingresos, vigilancia.
* Simulacros con acopañamiento de las autoridades competentes</t>
  </si>
  <si>
    <t xml:space="preserve">Junio  - Julio </t>
  </si>
  <si>
    <t xml:space="preserve">* Direcciòn Juridica y Propiedad Horizontal </t>
  </si>
  <si>
    <t xml:space="preserve">Frente de Seguridad Empresarial </t>
  </si>
  <si>
    <t xml:space="preserve">Posibilidad de ingreso de empleados, contratistas, visitantes, proveedores y vehiculos no autorizados </t>
  </si>
  <si>
    <t xml:space="preserve">*Ingreso de empleados, contratistas, visitantes, proveedores y vehiculos no autorizados por falta de cumplimiento de procedimiento.
*No desactivación de las tarjetas de proximidad de personal ya retirado. </t>
  </si>
  <si>
    <t>Incumplimiento de los procedimientos establecidos para el ingreso y desactivaciòn de tarjetas de proximidad.</t>
  </si>
  <si>
    <t xml:space="preserve">* Hurto. 
* Atentando terrorista.
* Daños en las instalaciones.
*Perdidas humanas. </t>
  </si>
  <si>
    <t>*Personal que controla el ingreso y salida de personal externo, usuarios calificados y usuario operador, visitantes, proveedores y contratistas.
*Carnetización al personal permanente y tarjetas de proximidad
* Software de ingreso.</t>
  </si>
  <si>
    <t>* Reinducciòn del procedimiento de ingreso y desactivaciòn de tarjetas de proximidad al personal de seguridad e ingresos.
* Simulacro de ingreso.</t>
  </si>
  <si>
    <t xml:space="preserve">
* Trimestral
* Mayo</t>
  </si>
  <si>
    <t>Dirección Juridica y PH 
Coordinación SIG</t>
  </si>
  <si>
    <t>* Se lleva informe semanal de la verificación que proporciona el contratista de seguridad. Con cumplimiento en un 100% mediante lista de chequeo..
* Se verifica la realización de un simulacro de intrusión de peronal ajeno a la organización dentro de un vehiculo el dia 03 de mayo, el cual resulto en buena respuesta por parte del personal de seguridad, asi mismo el dia 08 de Mayo se efectua e simulacro de intrusión por el perimetro de caimalito el cual fue detectado por el personal de minitoreo y seguridad.
* Se socializó el procedimiento de ingresos, y cada 4 meses se actualiza las bases de datos de cada usuario con relación a las tarjetas de proximidad.</t>
  </si>
  <si>
    <t>Presencia de maleza en la parte exterior de la  malla perimetral</t>
  </si>
  <si>
    <t>Incumplimiento del cronograma de mantenimiento</t>
  </si>
  <si>
    <t>*Contratista mantenimiento</t>
  </si>
  <si>
    <t>Falta de mantenimiento en el perimetro externo a la Zona Franca.</t>
  </si>
  <si>
    <t xml:space="preserve">* Intrusiòn de personal externo no autorizado. 
* No visualizaciòn de intruso por parte del CCTV </t>
  </si>
  <si>
    <t>Gestión Jurídica y PH</t>
  </si>
  <si>
    <t xml:space="preserve">* Vigilancia permanente por parte de los  rondero con control de punto de marcación mediante baston electrónico, 
* CCTV, 
* Seguimiento del cronograma por parte del interventor del contrato. </t>
  </si>
  <si>
    <t>Cronograma de mantenimiento apropiado</t>
  </si>
  <si>
    <t xml:space="preserve">* Contratista 
* Direcciòn Tecnica </t>
  </si>
  <si>
    <t>*Fallas en el sistema de alarmas y video cámaras</t>
  </si>
  <si>
    <t>* Vandalismo
* Vida útil vencida, fallas eléctricas y otros.
* Elementos de seguridad electrónica con fallas. 
* Eventos naturales.</t>
  </si>
  <si>
    <t xml:space="preserve">* Personal externo 
* Medio Ambiente </t>
  </si>
  <si>
    <t>* Condiciones naturales 
* Falta de mantenimiento al CCTV 
* Manipulación de personal externo de las camaras de seguridad.</t>
  </si>
  <si>
    <t>* Zonas fuera del alcance del CCTV. 
* Intrusiòn. 
* No activaciòn de las alarmas frente a una emergencia.</t>
  </si>
  <si>
    <t xml:space="preserve">* Mantenimiento preventivo para las camaras.
* Seguimiento de los cierres o activaciones por parte de la empresa de seguridad. </t>
  </si>
  <si>
    <t xml:space="preserve">Mantenimiento preventivo y correctivo del CCTV </t>
  </si>
  <si>
    <t xml:space="preserve">Cada cuatro meses </t>
  </si>
  <si>
    <t>* Empresa de seguridad 
* Gestión Tecnología e Informática</t>
  </si>
  <si>
    <t xml:space="preserve">Inundaciòn por posible desbordamiento del rio Cauca </t>
  </si>
  <si>
    <t>Superaciòn del nivel del muro de cerramiento a la cota 901.27 msnm, refernciado en el limite del  nivel del río a los 9.41 mts</t>
  </si>
  <si>
    <t xml:space="preserve">Condiciones ambientales </t>
  </si>
  <si>
    <t xml:space="preserve">Exceso de lluvia continuada que supuera los niveles del rio y de los jarillones perimetrales  </t>
  </si>
  <si>
    <t xml:space="preserve">* Perdidas materiales 
* Suspenciòn de la operaciòn 
* Hurto 
* Perdidas humanas </t>
  </si>
  <si>
    <t>* En epocas de lluvia mediciòn constante de los niveles del rio.
* Comunicaciòn directa con las entidades de socorro. 
* Mantenimiento de los jarillones.  
* Plan de emergencias. 
* Elevación de la plataforma de la Zona Franca por encima de los niveles del Rio.</t>
  </si>
  <si>
    <t>Actualizar el plan de emergencias, socializarlo con la empresa de seguridad para generar protocolos de actuación en caso de materializarse el riesgo
* Inclusión de personal de seguridad en la Brigada Conjunta.</t>
  </si>
  <si>
    <t>Direcciòn Juridica y PH 
Direcciòn Gestiòn Administrativa</t>
  </si>
  <si>
    <t>Seguridad Nacional 
Asesor externo</t>
  </si>
  <si>
    <t xml:space="preserve">*Amenazas y riesgos de falla física. </t>
  </si>
  <si>
    <t xml:space="preserve"> Falla funcional, daño accidental, daño malicioso ó terrorista y acción criminal. </t>
  </si>
  <si>
    <t>Personal externo no identificado.</t>
  </si>
  <si>
    <t>*No aplicaciòn de medidas de seguridad por parte de trabajadores internos y personal de seguridad.  *Existencia de bandas delincuenciales al margen de la ley.</t>
  </si>
  <si>
    <t xml:space="preserve">*Impactos económicos.   *Perdidas Humanas.                            *Afectaciones a las instalaciones. </t>
  </si>
  <si>
    <t xml:space="preserve">*Aplicación de procedimientos de seguridad y plan de emergencias. </t>
  </si>
  <si>
    <t>*Reinduccion al personal de seguridad  en aplicaciòn de medidas y procedimientos de seguridad. 
* Inclusión del personal de seguridad en la brigada conjunta</t>
  </si>
  <si>
    <t>Direccòn Jurìdica y Propiedad Horizontal</t>
  </si>
  <si>
    <t xml:space="preserve">* Producto  contaminado.
</t>
  </si>
  <si>
    <t xml:space="preserve">*Contaminación  de mercancías  en las operaciones de comercio exterior </t>
  </si>
  <si>
    <t xml:space="preserve">*Usuarios Calificados y/o Terceros. 
</t>
  </si>
  <si>
    <t xml:space="preserve">*Por falta de competencia                                                                          y omisión a los controles para los procedimientos de seguridad establecidos. 
</t>
  </si>
  <si>
    <t xml:space="preserve">*Selecciòn inadecuada de un asociado de negocio. </t>
  </si>
  <si>
    <t>*Asegurar el cumplimiento de un asociado de negocio, cuando en realidad no cumple con los procedimientos establecidos por la empresa.</t>
  </si>
  <si>
    <t>*Todos los procesos</t>
  </si>
  <si>
    <t xml:space="preserve">*falta de investigación de documentación a los nuevos asociados y a los criticos existentes .
*Omisión de los procedimientos internos. </t>
  </si>
  <si>
    <t>*Impactos económicos. 
*Mala imagen de la empresa al realizar negocios con empresas con actividades ilicitas.</t>
  </si>
  <si>
    <t>*Verificación de precintos.             
*Acceso restringido al centro de operaciones.  
*Reporte de actividades sospechosas. 
*Capacitación del personal
* Circuito Cerrado de Televisiòn (CCTV)</t>
  </si>
  <si>
    <t>*Revisión detallada de documentos solicitados y suministrados por asociado de negocio. 
* Verificación de antecedentes a los asociados de negocio criticos</t>
  </si>
  <si>
    <t>Capacitación del personal de Seguridad (Protolos de inspección de vehiculos)</t>
  </si>
  <si>
    <t>Empresa de seguridad</t>
  </si>
  <si>
    <t xml:space="preserve">Empresa de seguridad </t>
  </si>
  <si>
    <t xml:space="preserve"> * Aplicaciòn de los procedimientos asociados de negocios.
* Cumplimiento al Manual SIPLA </t>
  </si>
  <si>
    <t>Segùn aplique</t>
  </si>
  <si>
    <t>Direcciòn Juridica y PH</t>
  </si>
  <si>
    <t>Por negligencia, olvido, falta de consulta e interpretación errada de las normas</t>
  </si>
  <si>
    <t>Personal encargado de los procesos</t>
  </si>
  <si>
    <t>Falta de actualización, revisión y consulta de las normas</t>
  </si>
  <si>
    <t>Elaboración incorrecta de documentos legales
Conceptos legales equivocados</t>
  </si>
  <si>
    <t>Redacción e inclusión de cláusulas que perjudique los interes de la compañía</t>
  </si>
  <si>
    <t>Direcciòn Jurìdica y Propiedad Horizontal.</t>
  </si>
  <si>
    <t xml:space="preserve">
*Descuido al momento de elaboración de documentos y emisión de conceptos
*Desconocimiento de norma y ámbito de aplicación</t>
  </si>
  <si>
    <t>Sanciones pecuniarias, demandas externas, detrimento patrimonial</t>
  </si>
  <si>
    <t>* Actualización de matriz de requisitos legales. 
* LEGISMOVIL, 
* Códigos LEGIS con actualización periódica.</t>
  </si>
  <si>
    <t>Se poseen modelos y minutas adecuadas a la normatividad actual vigente.
Capacitación en temas puntuales relativos a la actividad de la empresa</t>
  </si>
  <si>
    <t>Plan de capacitaciòn.</t>
  </si>
  <si>
    <t>Anual</t>
  </si>
  <si>
    <t>Todos los procesos</t>
  </si>
  <si>
    <t xml:space="preserve">Direcciòn Juridica y PH </t>
  </si>
  <si>
    <t>Organismos capacitadores y de actualización confiables</t>
  </si>
  <si>
    <t>No registro oportuno de actas de asamblea de accionistas</t>
  </si>
  <si>
    <t>Olvido o descuido en la elaboración del acta</t>
  </si>
  <si>
    <t>Dirección Jurídica</t>
  </si>
  <si>
    <t xml:space="preserve">Plazos cortos para la elaboración y entrega de actas </t>
  </si>
  <si>
    <t>Desactualizaciòn de la informaciòn y la persona juridica, no efectividad de los actos realizados por la compañía.</t>
  </si>
  <si>
    <t>Lavado de Activos</t>
  </si>
  <si>
    <t>Calificaciòn de usuarios sin la verificaciòn de antecedentes previa.
No realizar oportunamente los reportes a la UIAF</t>
  </si>
  <si>
    <t>Usuarios Potenciales
Usuarios calificados y clientes</t>
  </si>
  <si>
    <t xml:space="preserve">La Dirección Jurídica y PH es quien elabora las actas de asamblea al ser secretaria desiganada de la misma (unica encargada de asamblea y junta directiva) </t>
  </si>
  <si>
    <t xml:space="preserve"> Elaboración oportuna de actas (programación de actividades del proceso)</t>
  </si>
  <si>
    <t xml:space="preserve">*Se realiza verificación de antecedentes de accionistas y representate legales de las empresas por calificar
* Seguimiento a los usuarios calificados </t>
  </si>
  <si>
    <t xml:space="preserve">* Al momento de calificaciòn 
* ya calificados (anual) </t>
  </si>
  <si>
    <t>Direciòn Juridica</t>
  </si>
  <si>
    <t>Listas de verificaciòn de antecedentes</t>
  </si>
  <si>
    <t xml:space="preserve">Se llevo a cabo la Asamblea Ordinaria Anual de Accionistas, para lo cual se elaboro el acta respectiva oportunamente. </t>
  </si>
  <si>
    <t>* Entorno hostil que dificulta el cumplimiento de las funciones de algunos de los procesos</t>
  </si>
  <si>
    <t>Fecha de Actualización: 13 de Septiempbre de 2019.</t>
  </si>
  <si>
    <t>Se mantinene los incentivos regionales, los cuales causan ataracción a nuevos inversionistas, durantre el año 2019, se envian peticiones al gobierno local para que mantenga dichos incentivos.</t>
  </si>
  <si>
    <t>* Desde el area comercial, se lleva un seguimiento a todas las propuestas comerciales, garantizando no perder el contacto con el cliente.
* Las propuestas comerciales cuentan con factores diferenciadores que incentivan al cliente extranjero y nacional a establecerse en el parque, como lo lo son los costos logisticos, cercanias a las principales cuidades y puerto de Buenaventura.
* Permanentemente el Coordinador comercial y de servicio al cliente se capacita. (ver plana de formación)</t>
  </si>
  <si>
    <t>* De acuerdo al estudio logístico realizado se estableció un punto de partida diferenciador frente a la competencia.  Gracias a la investigación logística, se pudo establecer una herramienta clave para la presentación de nuestra Zona Franca a los inversionistas interesados en establecer sus operaciones en ella, ya que se arrojaron resultados favorables, generando un valor agregado.
* la actividad de analisi de competencia se estuvo realizando, sin mebargo  las políticas de protección de datos no han permitido obtener ninguna clase de información, los pocos datos que se logran recopilar, han sido porque la gerencia los han logrado obtener de los antiguos compañeros de otra ZF.</t>
  </si>
  <si>
    <t>* Se realiza capcitación de practicas de corrupción y soborno el 3 de octubre, dirigida por el BASC.
* Se realiza capcitación de SIPLA, el pasado 6 de Septiembre, dirigidca por el BASC.</t>
  </si>
  <si>
    <t>* Pérdidas económicas, información, confiabilidad de clientes, confusión de las PI, al momento de utilizar el LOGO.</t>
  </si>
  <si>
    <t>* Se presenta mediante varios focos, el principal sería el vos a vos, teniendo en cuenta la imagen proyectada en las redes sociales</t>
  </si>
  <si>
    <t>toda aquella persona que tenga contacto con los usuarios y colaboradores de la Zona Franca, así como la propia ZF.</t>
  </si>
  <si>
    <t>Comunicación entre las partes interesadas.</t>
  </si>
  <si>
    <t>* Mayor flujo de empresas interesadas en pertenecer a ZF.
* Interes de nuevos inversionistas, extranjeros y nacionales.</t>
  </si>
  <si>
    <t>* Sensibilización a socios, en temas de ampliar la oferta inmobiliaria.</t>
  </si>
  <si>
    <t>permanentemente</t>
  </si>
  <si>
    <t>Coordinador comercial y Coordinador y Gerencia</t>
  </si>
  <si>
    <t>permanencia en las certificaciones de ISO 9001, 28000, BASC</t>
  </si>
  <si>
    <t>Zona Franca</t>
  </si>
  <si>
    <t>por interes propio de la empresa.</t>
  </si>
  <si>
    <t>* Captación de nuevas inversiones.
* Generación de seguridad y confianza en los usuarios actauales y prospectos.</t>
  </si>
  <si>
    <t>* Velar por mantenimiento de las certificaciones.</t>
  </si>
  <si>
    <t>anual</t>
  </si>
  <si>
    <t>humanos, tecnologicos, financieros</t>
  </si>
  <si>
    <t>Acuerdos gubernamentales</t>
  </si>
  <si>
    <t>Gobierno local y municipal</t>
  </si>
  <si>
    <t>Acuerdos entre las partes gobierno- empresas</t>
  </si>
  <si>
    <t>* Atracción y mantenimiento de clientes.</t>
  </si>
  <si>
    <t>* Radicación ante la alcaldia para la extensión del impuesto predial y el ICA.</t>
  </si>
  <si>
    <t>Gerencia, Gestión Jurídica</t>
  </si>
  <si>
    <t>economicos</t>
  </si>
  <si>
    <t>Desde un inicio, se observa por los socios la oportunidad de declaración como Zona Franca.</t>
  </si>
  <si>
    <t>Propietarios</t>
  </si>
  <si>
    <t xml:space="preserve">interes economico propio </t>
  </si>
  <si>
    <t>* desarrollo economico de la región, el pais.
* Atracción de inversión.
* Generación de empleo.</t>
  </si>
  <si>
    <t>Adoptar la oportunidad como principal herramienta de atracción dentro de las dpropuestas comerciales</t>
  </si>
  <si>
    <t>Gestión Comercial y SC.
Gerencia</t>
  </si>
  <si>
    <t>* En todas las propuestas comerciales, conferencias, reuniones con agremiaciones, se incluyen todos estos factores diferenciadores.</t>
  </si>
  <si>
    <t>Por cercania al corregimiento de Caimalito y el municipio de La Virginia.</t>
  </si>
  <si>
    <t>la pocición geoestratégica</t>
  </si>
  <si>
    <t>* Flujo de caja de las compañias que adquieren cservicios de proveedores de estas localidades.</t>
  </si>
  <si>
    <t>* Procurar la busqueda en primera instancia de proveedores de la cercania a la Zona Franca.</t>
  </si>
  <si>
    <t>* En la mayoría de los casos siempre se busca el proveedor cercano a las instalaciones.</t>
  </si>
  <si>
    <t xml:space="preserve">* se realiza el diagnostico SAM por parte del proveedor TEK SOLUCIONES, el cual dio satisfactorio para la  vigencia 2019.
entrega con cuenta de administrador y cuenta estandar, esta ult
* Cada vez que ingresa personal nuevo se realiza asignación de equipo dejando registro en el formato FO-TI-03.
* Al momento de realizar entrega de equipo, este ultima es para uso del usuario, se verifican las cuentas en cada mantenimiento. </t>
  </si>
  <si>
    <t>Se verifica cumplimineto del cronograma de mantenimiento preventivo por parte del area de TI, cumpliendo con el objetivo. 
* se realiza diagnostico SAM en el mes de Agosto, con resultado satisfactorio, esta actividad se programará si es posible de manera  anual.</t>
  </si>
  <si>
    <t>* Se realiza el cambio de contraseñas dejando evidencia en el formato de FO-TI-10.
* No se han presentado situaciones en las cuales se llegue a la medida disciplinaria.</t>
  </si>
  <si>
    <t>* Campaña de sensibilización de la importancia del resguardo de las contraseñas.
* Se programará nuevamente sesibilización sobre importancia del resguardo de las contraseñas.</t>
  </si>
  <si>
    <t>* Abril de 2019.
* Octubre 2019</t>
  </si>
  <si>
    <t>* se evidencia soporte de renovación de licencia del dispositivo, la cual se renueva en el mes de enero del 2020.
* se evidencia antivirus en cada equipo de computo, la licencia F-A7AE676AF, por un año vence el 27 de junio de 2020</t>
  </si>
  <si>
    <t>* se evidencia soporte de renovación de licencia del dispositivo, la cual se renueva en el mes de enero del 2020.
* se evidencia antivirus en cada equipo de computo, la licencia F-A7AE676AF, por un año vence el 27 de junio de 2021</t>
  </si>
  <si>
    <t>* Se realiza mantenimiento preventivo a  los dispositivos de redes según cronograma de mantenimiento.
* Se evidencia red UNE, y Mediacomers Y MODEM DE MOVISTAR.</t>
  </si>
  <si>
    <t>* Puntos de red funcionales.
*  Niveles de velocidad estables.
* redes de datos funcionales.
* Se evidencia mediante prueba de respaldo de internet, que el levantamiento del servicio entre una red y otra demora maximo 1 minuto.</t>
  </si>
  <si>
    <t>* Se realiz mantenimiento preventivo de manera semestral a cada equipo, se deja registro en el formato FO-TI-02.</t>
  </si>
  <si>
    <t>Fecha de Actualización: 23/09/2019</t>
  </si>
  <si>
    <t>Fecha de Actualización: 24/09/2019</t>
  </si>
  <si>
    <t>Con cada cotización o propuesta de servicios u obra civil, se revisa que lo establecido en los contratos sea coherente con lo que realmente se cotizó, de tal manera que se cumplan con los requerimientos y solicuitudes pactadas entre proveedor y contratante.</t>
  </si>
  <si>
    <t xml:space="preserve">Notificar a la gerencia las observaciones acerca de la  modalidad de contrataciòn, (en caso de que se evidencie posible matierialización del riesgo). </t>
  </si>
  <si>
    <t>los asignados para tal fin</t>
  </si>
  <si>
    <t>Estos controles permiten identificar las posibles fallas que a futuro se pueden presentar en los equipos, herramientas e infraestructura, de tal forma que se puedan implementar acciones para mejorar el estado de estos o si bien se requiere ejecutar el cambio. así mismo se permite controlar los presupuestos y preveer costos adicionales, logrando una atención oportuna a las diferentes solicitudes tecnicas.</t>
  </si>
  <si>
    <t>* Ejecucion de actividades de mantenimiento programadas - compra de herramientas e insumos necesarios para la ejecucion de los alcances proyectados.
* El mantenimiento de equipos y herramientas, en el mes de agosto se ejecuto en un 98.67%, con la  novedad del encendido manual de una bomba a causa del proveedor.
* El mantenimiento de Infraestructura se ejecutó en un 99.96%, para el mes de agosto conforme a las actividades programadas.
* El presupuesto del proceso de gestión técnica hasta el mes de Agosto de 2019 se ha   ejecutado un 57.75%  del proyectado para dicho mes.
* al mes de agosto el indicador de solicitudes va en un 90.63%.</t>
  </si>
  <si>
    <t>Mediante la actualización de la matriz de requisitos legales, se garantiza el cumplimiento de la normatividad aplicable, asi mismo se controla el cumplimiento de la normatividad y estandares en los contratistas mediante interventorias realizadas por el proceso tecnico o con consultores externos, así como la realización de la evaluación de los proveedores.</t>
  </si>
  <si>
    <t>* Confiabilidad constante en los registros de pesos, a causa de las calibraciones programadasd por parte de los laboratorios certificados para tal fin.</t>
  </si>
  <si>
    <t>Se evidencia que con relacion al ultimo mes Agosto 2019, Bascula de ingreso cumple al 100% -  No se presentan novedades con el funcionamiento, Bascula de salida cumple al 100% – No se presentan novedades con el funcionamiento
Los equipos de pesaje en los mantenimientos preventivos y calibracion han sido certificados por la empresa certificadora.
* Se verifica según registro de asistencia del 25/04/2019 realización de socialización del manejo de los equipos (basculas), con el personal de operaciones y servicios generales.</t>
  </si>
  <si>
    <t>* De manera permanenete en los correos remitentes se anexa de manera predeterminada el aviso de manejo de información confidencial.</t>
  </si>
  <si>
    <t xml:space="preserve">* Direcciòn Tecnica
* Analista TI .
</t>
  </si>
  <si>
    <t>Se verifica en correo, la existencia del aviso de confidencialidad, que llega de manera automática a los receptores de los emails.</t>
  </si>
  <si>
    <t>presencia de personal que presta los servicios de manera informal, sin etandarización de sistemas que garanticen la calidad del servicio.</t>
  </si>
  <si>
    <t>terceros</t>
  </si>
  <si>
    <t>Por la dificutad existente para crear empresa, a causa de los costos que esto significa.</t>
  </si>
  <si>
    <t>Retrazo en la ejecución de los proyectos dentro de los tiempos establecidos para estos.
Materialización de riesgos SST.
Costos adicionales.</t>
  </si>
  <si>
    <t>* Implementación del procedimiento de asociados de negocio, compras.</t>
  </si>
  <si>
    <t>* Clsificación de los proveeddores mediante evaluación de cotizaciones, la cual radica en establecer un puntaje de acuerdo a un cumplimiento de factores.</t>
  </si>
  <si>
    <t>Continuar con la implementación del procedimiento de asociados de negocios compras</t>
  </si>
  <si>
    <t>Dirección Técnica</t>
  </si>
  <si>
    <t>Se evidencia cumplimiento del procedimiento de asociados de negocios compras, evidenciandose este en los registros entregados por el proceso, asi como en la ejecución de las actividades o proyectos dentro de los estandares aplicables.</t>
  </si>
  <si>
    <t>facilidad de pago,creditos.</t>
  </si>
  <si>
    <t>ZFIP</t>
  </si>
  <si>
    <t>Los proveedores agilizan los procesos de entregas de insumos o servicios y con facilidades de pago.</t>
  </si>
  <si>
    <t>* Por la oportunidad en los pagos.
* Por la imagen posiitiva que se proyecta de la compañía.</t>
  </si>
  <si>
    <t>Se agilizan los proyectos, dado a que se obtienen los insumos facilmente con una modalidad de pago asequible.</t>
  </si>
  <si>
    <t>Consecusión de proveedores que brinden facilidades de pago.</t>
  </si>
  <si>
    <t>cuando aplique</t>
  </si>
  <si>
    <t>Hasta la fecha se viene ejecutando la actividad, evidenciandose que del total de los proveedores un aproximado del 50% brindan facilidades de pagos.</t>
  </si>
  <si>
    <t>* Se garantiza la entrega del 100% de la dotación con logo por parte del personal retirado, segun registro de paz y salvo, y actas de destrucción de losgos.
* El personal contratado, no presenta ningun reporte negativo en la verificación de antecedentes, asi mismo se evidencia comportamiento adecuado segun el reglamento de trabajo.</t>
  </si>
  <si>
    <t xml:space="preserve">*Se veirifca hoja de vida del Colaborador Sebastian Erazo, evidenciandose los soportes administrativos necesarios, asi como la actualización de datos vigentes segun lo establecido en el manaual de Gestión Administrativa.
* Se verifica durante la auditoria externa revisión de hojas de vida de los colaboradores robinson, aura, Yuly, Jenny, encontrandose  de acuerdo a los lineamientos establecidos en cuanto a la seguridad , se verifican antecedentes y documentos de contratación.
* La ultima verificación de documentos de contratación con relación al seguimiento se llevo a cabo en Marzo 2019.
* Se verifica durante auditoria interna, custodia en archivador cerrado bajo llave, bajo el control de la Auxiliar Administrativa.
</t>
  </si>
  <si>
    <t>* Mediante la renovación de los contratos se demuestra la eficacia en cuanto al proceso de selección de personal adecuada, asi como el cumplimiento de los indicadores de cada proceso. Por  otro lado el nivel de accidentalidad es bajo, esto demuestra que la selección se realiza adecuadamente.</t>
  </si>
  <si>
    <t>* Se hace retroalimentación a la persona evaluada. Se evidencia realizaación de evaluación de periodo de prueba de la Aux. TI el 12 de Sept, se relacionan comentarios por parte de la Directora de G. Administrativa.
* En caso de tener un reporte negativo la persona no sera contratada</t>
  </si>
  <si>
    <t>* Nivel bajo en indice de accidentalidad en lo que va corrido del año.
* Dismninución del nivel de ausentismo con  respecto al año anterior.</t>
  </si>
  <si>
    <t>* Resultado de las pruebas de consumo negativas.</t>
  </si>
  <si>
    <t>* Ejecuciòn del Cronograma de mantenimiento. 
* Seguimiento predictivo del estado de la infraestructura. 
* Planeaciòn y ejecuciòn de presupuesto. 
* Atención de las solicitudes relacionadas con mantenimientos.
* Reporte de incidentes, actos y condiciones inseguras.</t>
  </si>
  <si>
    <t xml:space="preserve">* Por desiciones de los socios de acuerdo al rango salarial que tienen establecido en la compañía </t>
  </si>
  <si>
    <t>politica interna de junta de socios.</t>
  </si>
  <si>
    <t>*flujo de caja bajo.
* Mantenimento de la productividad del parque en el tiempo.</t>
  </si>
  <si>
    <t>* Plan de bienestar 8dias compensatorios, actividades de bienestar e incentivos)
* Promocion de cargo.
* Licencias remuneradas para educación.</t>
  </si>
  <si>
    <t>* Permanencia del personal de planta al año.</t>
  </si>
  <si>
    <t>* Cumplimiento del plan de bienestar.
* Cumplimiento al plan de formación.
* Realización de evaluación de desempeño.</t>
  </si>
  <si>
    <t xml:space="preserve">
* Cuando aplique.
* Anual</t>
  </si>
  <si>
    <t>* Dirección Gestión Administrativa
* Jefe Inmediato</t>
  </si>
  <si>
    <t>* Se revisara con el cierre del año 2019.</t>
  </si>
  <si>
    <t>* No se transmite informaación de interes de manera oportuna alas diferentes partes interesadas</t>
  </si>
  <si>
    <t>Quien dirige la actividad especifica</t>
  </si>
  <si>
    <t>* Porque no se tiene claridad de a quien se debe informar para coordinar las actividades o entrega de información</t>
  </si>
  <si>
    <t>* Rotación de personal.
* Baja productividad.</t>
  </si>
  <si>
    <t>* Insatisfacción de cliente.
* Baja asistencia a reuniones y/o capacitaciones.</t>
  </si>
  <si>
    <t>* Matriz de comunicación.
* Inducción al personal que tiene contacto con usuarios y grupos de interes.</t>
  </si>
  <si>
    <t>* Se evidencia mejoramiento con repecto al año anterior, en cuanto a la información transmitida, la cual llega a la persona responsables.</t>
  </si>
  <si>
    <t>* Cumplimiento en el envio de la información de acuerdo a la matriz de comunicación.</t>
  </si>
  <si>
    <t>Cundo aplique</t>
  </si>
  <si>
    <t>Quienes tengan contacto con los grupos de interes</t>
  </si>
  <si>
    <t>No Aplican</t>
  </si>
  <si>
    <t>* Se verificará de acuerdos a los resultados de satisfacción al cliente.
* Se verificará con el indice de asistencia a reuniones y capcitaciones por parte de los grupos de interes en el cierre del año.</t>
  </si>
  <si>
    <t>la comunicación continua con los lideres de la comunidad de Caimalito, asi como el desarrollo eficaz de las actividades programadas con la comunidad.</t>
  </si>
  <si>
    <t>ZFIP y  lideres de junta de acción comunal</t>
  </si>
  <si>
    <t>Para fortalecer las relaciones entre ZFIP y la comunidad de Caimalito.
Dando cumplimiento a las actividades programadas desde RSE.</t>
  </si>
  <si>
    <t>Fortalecimiento de la imagen corporativa dentro de la comunidad.</t>
  </si>
  <si>
    <t>* Cumplimiento con el plan de actividades de RSE.
* Cumplimiento del presupuesto asignado para RSE.</t>
  </si>
  <si>
    <t>Dirección Gestión Administrativa</t>
  </si>
  <si>
    <t>* plan de formación.
* Aprobación d licencias no remuneradas que se requieran para educación</t>
  </si>
  <si>
    <t>* Para incentivar la permanencia del personal dentro de la compañía.
* Para el fortalecimiento de conocimientos tecnicos y/o desarrollo personal de los colaboradores.</t>
  </si>
  <si>
    <t>* Crecimiento profesional de los colaboradore.*
* Baja rotación del personal.
* Resulrados faborables en las evaluaciones de desempeño.</t>
  </si>
  <si>
    <t>* Cuando aplique</t>
  </si>
  <si>
    <t>* Direccción Administrativa y líderes de procesos.</t>
  </si>
  <si>
    <t>* Cumplimiento del plan de  formación.
* Realización de evaluación de desempeño.
* Seguimiento al plan de desarrollo individual.</t>
  </si>
  <si>
    <t>Fecha de Actualización: 25/09/19</t>
  </si>
  <si>
    <t>*Cuadro de pagos. 
*Control en registro magnético y físico de los documentos recibidos
*Revisión mensual mediante indicador de presupuesto
* Cobro oportuno de la cartera.
*Control de correspondencia.
* Programación en el calendario para efectuar pagos.</t>
  </si>
  <si>
    <t>* Ha permanecido el cumplimiento del indicador de cartera, reflejando una optima gestión de los recursos, evidenciado en el analiside indicador presupuestal de cada proceso, asi mismo no se han presentado reportes negativos en centrales de riesgo.</t>
  </si>
  <si>
    <t>Directora Contable y Financiera 
Practicante Área Administrativa</t>
  </si>
  <si>
    <t>Mensual 
1 veces al mes (mínimo)
Cuando aplique</t>
  </si>
  <si>
    <t xml:space="preserve">* Software Contable
* Archivo de correspondencia </t>
  </si>
  <si>
    <t>* En el indicador de presupuesto se evidencia la realización de la actividad, ya que este consolida las  obligaciones.
* Se evidencia que hasta la fecha se envían mediante correos a la Gerencia el cuadro  de pagos actualizado para su revisión y aprobación, verificándose pago oportuno de las obligaciones.
* Se verifica registro de correspondencia recibida, el cual se encuentra bajo la custodia de la practicante administrativa, evidenciando control de esta documentación, cumpliendo con el objetivo propuesto para esta actividad.</t>
  </si>
  <si>
    <t>Fecha de Actualización: 26/09/19</t>
  </si>
  <si>
    <t>*Clausula de confidencialidad,  procesos de selección adecuados. 
* Destrucción de documentos con información sensible. 
* Manejo restringido de la información contable.
* Oficina de contabilidad aislada con puerta y cerradura.</t>
  </si>
  <si>
    <t>La información del área contable esta bajo custodia de la Dirtectora Contable, la cual cuenta con llaves de los archivadores y claves unicas de los portales y aplicaciones contables, razon por la cual no se ha presentado perdida de la información en ningun momento.</t>
  </si>
  <si>
    <t>* Clausula de confidencialidad.  
* Actualización de contraseñas. 
* Cumplimiento de la Política de llaves.</t>
  </si>
  <si>
    <t>* Al ingreso de los colaboradores y proveedores con acceso a la información contable.
* Cuando aplique.
* Permanente</t>
  </si>
  <si>
    <t>* Dirección Gestión Administrativa
* Dirección Gestión Contable y financiera.
* Auxiliar Contable</t>
  </si>
  <si>
    <t>Se verifica de acuerdo a la revisión de la hoja de vida de la colaboradora, Yulian Garzón la existencia de acuerdo de confidencialidad, expedido en el mometo de la contratación, cumpliendo con el objetivo de la acatividad.</t>
  </si>
  <si>
    <t xml:space="preserve">
* Revisiones periódicas de información crítica digitada en software contable.
* Registro de visitantes.                                                                        * Registro del control de llaves.
* Instalación y actualización de antivirus en cada computador de la compañía.                                                       
*Control en documentos emitidos por el sistema contable.                
*Back Up.
* Registro de préstamo de documentos de archivo.
* Registro de personas que ingresan al área critica archivo y CCTV</t>
  </si>
  <si>
    <t xml:space="preserve">* Falta de control adecuado de tiempos de conservación y destrucción de los documentos en el archivo, de acuerdo a la legislación contable.
* Equipos tecnológicos sin mantenimiento preventivo causados por la no programación o no aprobación económica, copias de seguridad y falta de control de dispositivos externos.
* No tener control de las personas externas que ingresen.  </t>
  </si>
  <si>
    <t>* Se cuenta con un sistema de acceso restringido a la documentación sensible,dando cumplimiento a la politica de llaves evitando de tal forma que la información se encuentre expuesta garantizando su custodia permanentemente.</t>
  </si>
  <si>
    <t>* Revisora Fiscal.
*  Analista Tecnología e Informática.
* Proceso Gestión Contable y Financiera
* Analista Tecnología e Informática
* Auxiliar de monitoreo y practicante area administrativa</t>
  </si>
  <si>
    <t xml:space="preserve">
* Mensual
* Según programación
* en la ocurrencia del hecho
* Abril
* en la ocurrencia del hecho</t>
  </si>
  <si>
    <t>* Controles de proveedores.
* Control de llaves
* token bancarios. 
* Control del dinero a transportar. 
* Seguridad informática. 
*Capacitaciones de Seguridad Informática.
*Cambio de contraseñas bancarias (cada que el banco lo requiera).</t>
  </si>
  <si>
    <t xml:space="preserve">* Se verifica de acuerdo al plan de capacitación ejecuciónb de la capcitación de seguridad informatica, asi como tambien se identifica el cambio de contraseñas bancarias por solicitud del banco, tambien se cuenta con token bancario.
</t>
  </si>
  <si>
    <t>* Contraseñas a los sistemas de computo.
* Equipo de seguridad informática (políticas de seguridad).
* Ejecutar procedimiento de compras - asociados de negocio.</t>
  </si>
  <si>
    <t>* Se verifican pago de obligaciones dentro del tiempo estanblecido para hacerlo, la información contable es revisada por la srevisoria fiscal, presentando normalidad en las actividades del proceso.</t>
  </si>
  <si>
    <t>* Desde el CCTV, se maneja sofware de marcación quien permite evidenciar en tiempo real el proceso de marcación.
* Al final de cada turno de monitoreo se envia un informe con las ocurrencias del dia o noche según aplique.
* En el CCTV existen camaras que permiten evidenciar en tiempo real que el personal de esa area si este realizando las labores.
* Las evaluaciones de desempeño han arrojado resultados satisfactorios.</t>
  </si>
  <si>
    <t>* El monitoreo de plan de mantenimiento permite controlar el crecimiento de vegetación que pueda llegar a afectar la estructura del cerramiento, así mismo desde el area de monitoreo se apoya en el control visual e identificación de fañllas al respecto.</t>
  </si>
  <si>
    <t>Según cronograma de mantenimiento CASALIMPIA</t>
  </si>
  <si>
    <t>El plan de trabajo cuntinua de manera permanente, 
Se realizó contrato para mantenimiento del cerramiento de etapa 1 y etapa 2, el cual permitió subsanar las novedades presentadas anteriormente.
Mantenimiento del cerramiento esta en óptimas condiciones.</t>
  </si>
  <si>
    <t>* Se presenta buena respuesta ante sdimulacros por paarte del personal de seguridad e ingresos, asi como los colaboradores de las oficinas.</t>
  </si>
  <si>
    <t>01/08/2019: se efectúa la capcitación de paquete sospechoso.
06/09/2019: se realiza simulacro de paquete sospechoso, el cual obtuvo una buena respuesta por parte de la persona que recibiria el paquete, ya que lo identifica por su aspecto y no se realiza la aperturadel mismo, cumpliendo lo establecidoen los protocolos de seguridad.</t>
  </si>
  <si>
    <t>* No se presnenta a la fecha snovedades relacionadas con el riesgo, que puedan afectar la seguridad de los usuarios, evidenciandose una satisfacción al cliente optima en lo que a este aspecto concierne.</t>
  </si>
  <si>
    <t>* Se verifica la realización de un simulacro de intrusión de peronal ajeno a la organización dentro de un vehiculo el dia 03 de mayo, el cual resulto en buena respuesta por parte del personal de seguridad, asi mismo el dia 08 de Mayo se efectua e simulacro de intrusión por el perimetro de caimalito el cual fue detectado por el personal de minitoreo y seguridad.
* Se socializó el procedimiento de ingresos, y cada 4 meses se actualiza las bases de datos de cada usuario con relación a las tarjetas de proximidad</t>
  </si>
  <si>
    <t>* El monitoreo de plan de mantenimiento permite controlar el crecimiento de vegetación que pueda llegar a afectar la estructura del cerramiento, así mismo desde el area de monitoreo se apoya en el control visual e identificación de fallas al respecto.</t>
  </si>
  <si>
    <t>Dicho indicador se presenta de manera semestral ante el consejo de administraciòn 
Se verifica eficacia al 100% en el mes de Junio, según resultado del indicador.</t>
  </si>
  <si>
    <t>* Las claves de apertura son asignadas solo a los lideres de proceso y en cada cierre se verifica con apoyo del personal de seguridad el armado de las alarmas.
* cada 4 meses se realiza mantenimiento a las camaras por parte del proveedor de Seguridad Nacional.</t>
  </si>
  <si>
    <t>Se verifica cumplimiento del cronograma de mantenimiento, para lo cual se ñverifica la eficacia de dicha actividad.</t>
  </si>
  <si>
    <t>* Se verifica durante temporada alta de lluvias monitoreo y seguimiento a los niveles del rio con el fin de preveer una emergencia por inundamiento, así mismo se cuenta con un plan de emergencia en donde se establece el protocolo de actuación en caso de materializarse el riesgo.</t>
  </si>
  <si>
    <t>Evaluación de competencia a  la  brigada y personal de seguridad mediante practica espécifica del tema. Se socializació el plan de emergencias con la empresa de seguridad, se encuentra pendiente la renovación del brigadista, ya que el anterior se retiró.</t>
  </si>
  <si>
    <t>* la detección oportuna de actividades sospechosas gracias a la aplicación de los procedimientos de seguridad.</t>
  </si>
  <si>
    <t>* Se realiza reinducción al personal de seguridad por parte de la directora juridica de las consignas  o directrices a asumir por el personal de seguridad.
* Se encuentra pendiente la renovación del brigadista, ya que el anterior se retiró.</t>
  </si>
  <si>
    <t>* Reporte mensual de ausencia de operaciones sospechosas.</t>
  </si>
  <si>
    <t>* Aplicación del procedimiento de asociados de negocio, por medio de la revisión de antecendentes y demas a los asociados de negocios.</t>
  </si>
  <si>
    <t xml:space="preserve">* Se verifica el cumplimineto del procedimiento de asociados de negocios, ya que el proveedor de gestión tecnologistica esta completa en cuanto a la documentación.
* Se verifica reuniones mensuales del comité SIPLA. </t>
  </si>
  <si>
    <t>* Se verifica cumplimiento en cuanto a la evaluación de requisitos aplicables a la compaía, la actualización del 2019 esta programada para octubre de 2019.</t>
  </si>
  <si>
    <t>Se verifica realizaciónb de capacitaciones para el area juridica en PH, y legislación laboral, cumpliendo con el objetivo propuesto para  esta actividad.</t>
  </si>
  <si>
    <t>* Los modelos utiliozados cumplen con la normatividad viigente haciendo que en materia de documentación se cumpla con los requisitos. 
* Se evidencia cumplimiento en el plan de capacitación en todas laas areas de la empresa.</t>
  </si>
  <si>
    <t>* Se verifica que las actas de la junta y asamblea son redactadas y enviadas al comité evaluador de manera oportuna.</t>
  </si>
  <si>
    <t xml:space="preserve">* * Reporte mensual de ausencia de operaciones sospechosas.
* Verificación anual de antecedentes, con resultados satisfactorios y se verifica reunion mensual de comité SIPLA, en la cual se evalua que los resultados de opoeraciones sospechosas es ausente. </t>
  </si>
  <si>
    <t>* Verificación de antencedentes de accionsitas  -  verificación de operaciónes mensuales aleatorias de los usuarios 
*SIPLA
* Verificación previa de futuros usuarios/clientes.</t>
  </si>
  <si>
    <t>* Se solicitó a cada usario la actualización de datos, para lo cual a la fecha los datos suministrados,  los resultados han arrojado satisfactorios.</t>
  </si>
  <si>
    <t>El contexto personal, personas resistentes al cumplimiento de los procedimientos.</t>
  </si>
  <si>
    <t>Usuarios calificados y clientes.
Colaboradores, visitantes</t>
  </si>
  <si>
    <t>por resistencia al cumplimieto de procedimientos  establecidos</t>
  </si>
  <si>
    <t>* reprocesos.
* aumento rotación de personal por desmotivación.
* Improductividad</t>
  </si>
  <si>
    <t>Nivel</t>
  </si>
  <si>
    <t>Nombre</t>
  </si>
  <si>
    <t>Frecuencia</t>
  </si>
  <si>
    <t>Casi Seguro</t>
  </si>
  <si>
    <t>Se espera que ocurra en la mayoría de las circunstancias.</t>
  </si>
  <si>
    <t>Se produce más de una vez al año</t>
  </si>
  <si>
    <t>Posible</t>
  </si>
  <si>
    <t>Es posible que ocurra en algunas veces.</t>
  </si>
  <si>
    <t>Se produce una vez al año</t>
  </si>
  <si>
    <t>Improbable</t>
  </si>
  <si>
    <t>Podría ocurrir en algunas veces.</t>
  </si>
  <si>
    <t>Se produce una vez cada 5 años</t>
  </si>
  <si>
    <t>Nivel de Consecuencia</t>
  </si>
  <si>
    <t xml:space="preserve">Financiero    </t>
  </si>
  <si>
    <t>Calidad / Cliente</t>
  </si>
  <si>
    <t>Control y Seguridad</t>
  </si>
  <si>
    <t>Seguridad y Salud en el trabajo</t>
  </si>
  <si>
    <t>Ambiental</t>
  </si>
  <si>
    <t>Perdida de 1 a 3 SMLV</t>
  </si>
  <si>
    <t>Insatisfacción leve y quejas</t>
  </si>
  <si>
    <t>Incumplimiento menor detectado externamente pero que no genera sanción</t>
  </si>
  <si>
    <t>Incidente</t>
  </si>
  <si>
    <t>Contaminación leve y reversible</t>
  </si>
  <si>
    <t>Perdida de 3 a 15 SMLV</t>
  </si>
  <si>
    <t>Insatisfacción moderada y quejas</t>
  </si>
  <si>
    <t>Incumplimiento detectado externamente que genera sanción</t>
  </si>
  <si>
    <t>Accidente o enfermedad profesional con incapacidad menor a (1) días y mayor a un (5) días.</t>
  </si>
  <si>
    <t>Contaminación media reversible</t>
  </si>
  <si>
    <t>Perdida mayor a 15 SMLV</t>
  </si>
  <si>
    <t>Insatisfacción total, perdida del cliente y demandas</t>
  </si>
  <si>
    <t>Incumplimiento detectado externamente que genera sanción y daño a la imagen de la organización y de la operación</t>
  </si>
  <si>
    <t>Accidente o enfermedad profesional con incapacidad mayor a cinco (5) días.</t>
  </si>
  <si>
    <t>Contaminación alta y no reversible</t>
  </si>
  <si>
    <t>Alto</t>
  </si>
  <si>
    <t>Debe ponerse en conocimiento de los Directores y Gerentes, requiere acción inmediata.</t>
  </si>
  <si>
    <t>Requiere la atención de los directores de proceso.</t>
  </si>
  <si>
    <t>Bajo</t>
  </si>
  <si>
    <t>Requiere atención moderada</t>
  </si>
  <si>
    <t>* Capacitaciones de trabajo en equipo, con los lideres
* Comunicación asertiva.
* Conductos regulares de comunicación.</t>
  </si>
  <si>
    <t>* Se videncia que se ha minimizado el impacto de la comunicación inadecuada, ya que se establecieron planes de ttrabajo que contribuyeron a mejorar el contexto personal.</t>
  </si>
  <si>
    <t>* capcitación de comunicación asertiva y trabajo en equipo y motivación</t>
  </si>
  <si>
    <t>G.Juridica y G humana</t>
  </si>
  <si>
    <t>uyhy6t</t>
  </si>
  <si>
    <t>Entorno, terceros</t>
  </si>
  <si>
    <t>* Procesos de selección extensos.
* Sobrecarga laboral.
* Improductividad.</t>
  </si>
  <si>
    <t>* Desarrollo comercial lento.
* Disminución de la atracción de inversionistas</t>
  </si>
  <si>
    <t>5 - Bajo</t>
  </si>
  <si>
    <t>10 - Medio</t>
  </si>
  <si>
    <t>20 - Alto</t>
  </si>
  <si>
    <t>* Falta de mano de obra calificada en la región en temas asociados con el régimen franco y comercio exterior.</t>
  </si>
  <si>
    <t>Gerencia
Gestión Comercial y de SC</t>
  </si>
  <si>
    <t xml:space="preserve">Proceso utilizado por la organización para determinar la magnitud de los riesgos en la organización, con relación a los criterios: probabilidad  por consecuencia. </t>
  </si>
  <si>
    <t>* Se realiza la actualización de los requisitos legales de manera anual o cuando se presenten cambios normativos, se verifica su cumplimiento y se  plantean actividades para aquellos requisitos que aun no se cumplen a cabalidad (ver matriz de requisitos legales).
* Se programan capacitaciones en actualidad normativa aplicable a la organización (ver programa de capacitación).</t>
  </si>
  <si>
    <t>En algunas de las áreas se requiere de cierta experiencia, encontrándose para el caso poco personal capacitado y además con bajo nivel de experiencia</t>
  </si>
  <si>
    <t>* Oferta comercial con otras atracciones diferentes, que incentivan la construcción de bodegas por parte del nuevo inversionista.
* Continua comunicación con los socios y accionistas para aumentar la posibilidad de realización de proyectos de construcción.</t>
  </si>
  <si>
    <t>* En la actualidad algunos inversionistas se muestran interesados en los beneficios diferenciadores que ofrece el parque, e incentivan establecerse iniciando desde la construcción de la bodega.</t>
  </si>
  <si>
    <t>Baja oferta de personal en temas relacionados con las zonas francas y comercio exterior en cercanías al parque</t>
  </si>
  <si>
    <t xml:space="preserve">* El hecho de patrocinar la etapa practica de los aprendices de la región permite fortalecer la experiencia en algunos de los perfiles, aumentando paulatinamente la oferta de personal en materia de régimen franco y comercio exterior. </t>
  </si>
  <si>
    <t>* El poder de decisión otorgado a los líderes de proceso en algunos aspectos</t>
  </si>
  <si>
    <t>* Permanencia de los asociados de negocio</t>
  </si>
  <si>
    <t>* No cumplimiento del ordenamiento jurídico consignado en la matriz de requisitos legales</t>
  </si>
  <si>
    <t>* Por la aprobación previa, con respecto a los presupuestos, se planean los lineamietos de ejecución desde el inicio del año. Por las caracteristicas del perfil.</t>
  </si>
  <si>
    <t>* La Gerencia, Socios y Accionistas y el consejo de administración</t>
  </si>
  <si>
    <t>* Porque se pretende agilizar la ejecución de dlas labores asignadas</t>
  </si>
  <si>
    <t>* Permite crecimiento como lider de procesos.
* Genera empoderamiento del procesos.
* Sentido de pertenencia del equipo de trabajo.</t>
  </si>
  <si>
    <t>* Ejecución de los presupuestos asignados.
* Retroalimentación al equipo de trabajo.</t>
  </si>
  <si>
    <t>* Permanente.
* Cuatrimestral</t>
  </si>
  <si>
    <t>* Presupuesto de juridico ejecutado a Agosto de 2019 42.58%.
* Presupuesto de PH ejecutado a Agosto de 2019 85.61%.
* En el mes de junio se realiza retroalimentación del equipo de trabajo del procesos jurídico, en la cual se trabaja la comunicación, ya que en algunas `situaciones particulares no sabe como actuar, para lo cual se trabaja en las diferentes soluciones posibles de algunas situaciones extraordinarias a la labor.</t>
  </si>
  <si>
    <t>Asociados de negocio y ZFIP</t>
  </si>
  <si>
    <t>* Los asociados de negocio han permanecido durante un buen tiempo con la compañía.</t>
  </si>
  <si>
    <t>* Buen desempeño de los asociados en las labores `por las cuales son contratados</t>
  </si>
  <si>
    <t>* Fortalecimiento de los lazos de confianza.
* Fluidez en la comunicación.
* Agilidad en la ejecución de las labores de los procesos.</t>
  </si>
  <si>
    <t>* Evaluación de los asociados de negocios</t>
  </si>
  <si>
    <t>* En junio se realiza la revisíon de datos de los asociados de negocio, así como la evaluación de los mismos, para lo cuañ se evidencian resultados satisfactorios.</t>
  </si>
  <si>
    <t>* Realización de comités de Gerencia mensuales (ver registros de acta).
* Realización de junta directiva de manera trimestral (ver registro de acta).
* Realización de asamblea de accionistas mínimo 1 vez al año o si de manera extraordinaria se requiere (ver registros de acta)</t>
  </si>
  <si>
    <t>* Mensual (comité de Gerencia).
* Anual (Asamblea)</t>
  </si>
  <si>
    <t>* Realización de comités de Gerencia mensuales (ver registros de acta).
* Realización de junta directiva de manera trimestral (ver registro de acta).
* Realización de asamblea de accionistas mínimo 1 vez al año o si de manera extraordinaria se requiere (ver registros de acta).
* Ejecución y mantenimiento de sistemas de gestión de BASC, ISO 28000 e ISO 9001. (ver certificaciones).
* Se lleva proceso de revisoría fiscal (ver informes de revisoría).</t>
  </si>
  <si>
    <t>* Cada líder de proceso, instaura sus propios indicadores, de acuerdo al cumplimiento de los objetivos del mismo, los cuales son presentados de manera mensual en los comités de Gerencia, como parte de la RXD. (ver registros de acta).</t>
  </si>
  <si>
    <t>Oportunidad educativa insuficiente, oferta educativa limitada en ciertos perfiles.
Limitaciones presupuestales.</t>
  </si>
  <si>
    <t>* Convenios con entidades educativas.
* Patrocinio en etapa práctica.
* Entrenamiento continuo.</t>
  </si>
  <si>
    <t>* El hecho de patrocinar la etapa práctica de los aprendices de la región permite fortalecer la experiencia en algunos de los perfiles,</t>
  </si>
  <si>
    <t>* Continuar con los convenios educativos, demostrados en apoyo al practicante.
* Continuación con el plan de formación.</t>
  </si>
  <si>
    <t>* Cuando aplique
* Permanente</t>
  </si>
  <si>
    <t>* No construcción de nuevas bodegas.
* Limitante de área declarada.</t>
  </si>
  <si>
    <t>* Entorno económico, socios y accionistas.</t>
  </si>
  <si>
    <t>* Por flujo económico limitado.
* Valor de metro cuadrado en en alquiler bajo, que desmotiva al inversionista a construir.
* Áreas insuficientes que favorezcan el crecimiento o expanción de área declarada.</t>
  </si>
  <si>
    <t>* Mantenimiento de las estrategias con factores diferenciadores  y seguimiento a las propuestas enviadas.
* Monitoreo de los precios de mercado</t>
  </si>
  <si>
    <t>* Cuando aplique.
* Permanente.</t>
  </si>
  <si>
    <t>* Oportunidad educativa insuficiente. 
* Dado a la limitada oferta laboral proveniente de estos sectores exclusivos</t>
  </si>
  <si>
    <t>* Patrocinio en etapa práctica.
* Entrenamiento continuo.</t>
  </si>
  <si>
    <t>* Trabajar de manera articulada con el SENA y la Academia y demas entidades, para la oportuna divulgación de ofertas. 
* Estudiar la posibilidad de incluir dentro del plan de formación, temas relacionados con el regimen franco y comercio exterior.
* Dinamizar el banco de hojas de vida de la ZF, de tal forma que la información pueda ser revisada por los usuarios y no solo por ZFIP.U.O</t>
  </si>
  <si>
    <t>* Permanente 
* 2020</t>
  </si>
  <si>
    <t>Gerencia.
Gestión Administrativa
Gestión TI</t>
  </si>
  <si>
    <t>* En lo que va corrido del 2019, se cuenta con el apoyo del SENA, en cuanto a la publicación de ofertas laborales y ofertas académicas en variados temas.
* Se revisará la eficacia de las otras 2 actividades en el 2020.</t>
  </si>
  <si>
    <t>La asignación de recursos otorgados por la alta dirección. (Aprobación del presupuesto anual)</t>
  </si>
  <si>
    <t>Alta Dirección</t>
  </si>
  <si>
    <t>* Respaldo de la Alta Dirección, frente al desarrollo de los proyectos planteados por cada Área de la Compañía, la cual se ve reflejada en la aprobación de presupuestos y asignación de recursos.</t>
  </si>
  <si>
    <t>* Desarrollo oportuno de las actividades de los procesos.
* Motivación en el personal, al poder ejecutar los planes asignados para cada Area.
* Cumplimiento de objetivos.</t>
  </si>
  <si>
    <t>* Control de presupuesto.</t>
  </si>
  <si>
    <t>Gerencia
Líderes de Proceso</t>
  </si>
  <si>
    <t>* Mediante las afiliaciones a gremios y entidades especializadas del sector.</t>
  </si>
  <si>
    <t>* Agremiaciones.
* Entidades especializadas.
* Entidades de Control.</t>
  </si>
  <si>
    <t>* La existencia de la necesidad de trabajar en conjunto por el bien del sector y visibilidad ante el gobierno.</t>
  </si>
  <si>
    <t>* 2020</t>
  </si>
  <si>
    <t>* Cotinua comunicación con las entidades de control.</t>
  </si>
  <si>
    <t>* La posibilida de gestionar proyectos en conjunto, que de manera individual sería mas complejo.
* Acompañamiento en la realización de tareas especializadas.</t>
  </si>
  <si>
    <t>* Mantener actualizado frente a la normatividad y los cambios del sector.</t>
  </si>
  <si>
    <t>* Presupuestar el valor de las afiliaciones a los diferentes Gremios y entidades especializadas del sector.
* Renovación de las afiliaciones.</t>
  </si>
  <si>
    <t>* Participación activa de las actividades desarrolladas por las entidades.</t>
  </si>
  <si>
    <t>* Según programación</t>
  </si>
  <si>
    <t xml:space="preserve">*Se presenta participación activa de las actividades programadas por las diferente entidades, cumpliendo con el objetivo propuesto para esta actividad. </t>
  </si>
  <si>
    <r>
      <t xml:space="preserve">Fecha de Actualización: </t>
    </r>
    <r>
      <rPr>
        <sz val="18"/>
        <rFont val="Arial"/>
        <family val="2"/>
      </rPr>
      <t>7/10/2019</t>
    </r>
  </si>
  <si>
    <t>* Se cuenta con un plan de formación integral, en el cual se plantean las capacitaciones referentes a normatividad aplicable, dirigida al personal responsable de hacer cumplir dichas obligaciones legales.
* se realizan auditorias mensuales de formularios aleatorios, con el fin de revisar su correcto diligenciamiento, dando como resultado "a satisfacción"  con un 93% al mes de agosto.</t>
  </si>
  <si>
    <t>* No se ha materializado un riesgo a causa del desconocimiento de la norma. La capacitaciones dictadas  en el 2018 han fortalecido los conocimientos del personal de operaciones.
* Se verifica cumplimiento de plan de formación para Operaciones vigencia 2019, donde se dictó la capacitación nuevamente del decreto y adicionles al plan</t>
  </si>
  <si>
    <t>* Se garantizan los pasos en el procesos de calificació de usuarios dando cumplimiento a los lineamientos establecidos para tal fin.
* Se  realiza estudio de antecedentes previo a la vinculación del usuario, con el fin de evaluar la vialvilidad de calificación como usuario.</t>
  </si>
  <si>
    <t xml:space="preserve">*Procedimientos de Operaciones.
*Auditoria externa.
* Simulacro aleatorios.    </t>
  </si>
  <si>
    <t>* Se establecieron desde el proceso de operacioes los procedimientos a seguir de acuerdo  a la legislación aplicable, controlados a su vez por un sistema de gestión documental.
* Se realiza de manera anual una auditoria externa a los usuarios, con el fin de verificar la consistencia en los procesos de comercio exterior realizados por los usuarios.
* De manera anual se realizan simulacros a los riesgos altos y de manera aleatoria a los riesgos medios, con el fin de evaluar la respuesta a eventos criticos.</t>
  </si>
  <si>
    <t>* Se cuenta con personal de Operaciones, el cual se encarga de la revisión de los precintos de la cargas, asi como tambien se controla por parte del personal de seguridad el ingreso y salida de personal  y de vehículos y realizan practicas que garantizan la seguridad (rondas).
* Se cuentan con monitoreo 24/7.
* A la fecha se evidencia reportes a la UIAF, los cuales han sido sin novedad.</t>
  </si>
  <si>
    <t>*1 colaborador participó de esta capacitación de presintos.
* 27 DE FEBRERO Dirigida a todo el personal de Operaciones</t>
  </si>
  <si>
    <t>* Por desición propia de los colaboradores.
* Mejores ofertas laborales.
* Crecimiento profesional.</t>
  </si>
  <si>
    <t>* Los colaboradores.
* Tereceros</t>
  </si>
  <si>
    <t>* Mejores condiciones salariales y beneficios en las nuevas ofertas laborales.</t>
  </si>
  <si>
    <t>* Curva de aprendizaje de una persona nueva es extenza (3 meses aproxi), ampliando el riesgo evaluado.
* Sanciones legales por incumplimiento normativo</t>
  </si>
  <si>
    <t>* Procurar un clima laboral optimo.
* Capacitación constante.
* Programa de bienestar.
* Fexibilidad en los horarios.</t>
  </si>
  <si>
    <t xml:space="preserve">* La permanencia del personal de Operaciones es de 1 año y medio aproximadamente.
* Se mantienen los programas de bienestar par incentibar al colaborador a permanecer en la compañía. </t>
  </si>
  <si>
    <t>* Continuar con los programas de bienestar</t>
  </si>
  <si>
    <t>Permanente</t>
  </si>
  <si>
    <t>Dirección de Gestión Adminsitrativa</t>
  </si>
  <si>
    <t>* A la fecha se han estado realizando actividades de bienestar y capcitación, ya que se cuenta con un plan de actividades y un presupuesto aprobado para tal fin.</t>
  </si>
  <si>
    <t>* Cuando el funcionario no atiende correctamente los requerimientos del cliente.</t>
  </si>
  <si>
    <t>Los colaboradores</t>
  </si>
  <si>
    <t>* Por desconocimeitno en tecnicas de servicio al cliente.
* Falta de claridad en los procesos.
* Falta de actitud de servicio.</t>
  </si>
  <si>
    <t>* Quejas documentadas de los clientes.
* Afectación en las encuestas de satisfacción.
* Retiro del cliente.</t>
  </si>
  <si>
    <t>* Capacitación en manejo de cliente.
* Capacitación en comunicación asertiva.</t>
  </si>
  <si>
    <t>* Fortalecimiento paulatino en las tecnicas para mejo de cliente a los colaboradores del area de Operaciones.</t>
  </si>
  <si>
    <t>* Programar dentro del plan de formación del año 2020 las capcitaciones de comunicación asertiva y servicio al cliente para el area de Operaciones.</t>
  </si>
  <si>
    <t>Director de Operaciones
Dirección de Gestión Adminsitrativa</t>
  </si>
  <si>
    <t>* Por la inseguridad juridica del pais</t>
  </si>
  <si>
    <t>* Entes gubernamentales</t>
  </si>
  <si>
    <t>* Ambigüedad e inexactitud de las normas.</t>
  </si>
  <si>
    <t>* Peramnete capacitación en actualización normativa</t>
  </si>
  <si>
    <t>* Proceso de adaptación a los cambios normativos, de manera rapida.</t>
  </si>
  <si>
    <t>* Plan de formación que incluya temas de normatividad vigente.</t>
  </si>
  <si>
    <t>* Ser evisara eficacia en el año 2020</t>
  </si>
  <si>
    <t>* Por iniciativa de la Aduana para facilitación de los procesos</t>
  </si>
  <si>
    <t>La Aduana</t>
  </si>
  <si>
    <t>* Necesidad de modernización de los procesos aduaneros</t>
  </si>
  <si>
    <t>* Minimización y facilitación en los trámites.</t>
  </si>
  <si>
    <t>Semestralmente</t>
  </si>
  <si>
    <t>Analista II
Directora de Operaciones
Usuarios Calificados</t>
  </si>
  <si>
    <t>* Se pondra en practica a partir del 2020.</t>
  </si>
  <si>
    <t>* Presupuestar la/ las cuotas de afiliación para el año 2020</t>
  </si>
  <si>
    <t>Noviembre/2019 - Marzo/2020</t>
  </si>
  <si>
    <t>En el mes de Noviembre se llevar a cabo por el lider del peoceso SIG, la proyección presupuestal para el 2020 y en el mes de Marzo será revisado para aprobación por la alta dirección.</t>
  </si>
  <si>
    <t>Fecha de Actualización: 07/10/2019</t>
  </si>
  <si>
    <t>Fecha de Actualización: 08/10/19</t>
  </si>
  <si>
    <t>Fecha de Actualización: 01/10/19</t>
  </si>
  <si>
    <t>niveles de informalismo que dificultan la realización a tiempo de proyectos.</t>
  </si>
  <si>
    <r>
      <t xml:space="preserve">Se continúan desarrollando los diferentes comités de gerencia a lo largo del año, según cronograma establecido se reúnen los lideres de proceso y la Gerencia para tomar decisiones encaminadas a una planeación estratégica. Se evidencia planificación y cumplimiento del comité de Gerencia hasta el mes de Diciembre del 2019. </t>
    </r>
    <r>
      <rPr>
        <b/>
        <sz val="12"/>
        <rFont val="Arial"/>
        <family val="2"/>
      </rPr>
      <t>(se establece desde el mes de Septiembre según registro de acta Nº 17, realizar los comités de Gerencia de manera mensual, con el fin de dar un lapso de tiempo amplio para la ejecución de los compromisos)</t>
    </r>
    <r>
      <rPr>
        <sz val="12"/>
        <rFont val="Arial"/>
        <family val="2"/>
      </rPr>
      <t xml:space="preserve"> </t>
    </r>
  </si>
  <si>
    <t>Se realizan controles en cuanto a la programación de renovación de contratos, procurando se ejecuten los OTRO SI oportunamente, evitando de tal forma incurrir en incumplimiento de tipo legal.
En el mes de febrero de 2019 se radica SNC # 18, con el cual se mejoran los controles existentes en cuanto a la renovación de contratos.</t>
  </si>
  <si>
    <t>* Se mantiene seguimiento de propuesta comerciales enviadas a clientes potenciales, así mismo se brinda apoyo en los diferentes procesos que requiera el cliente.
* Se construye indicador en el area comercial para garantizar el seguimiento constante de las propuestas comerciales enviadas por parte del area comercial.</t>
  </si>
  <si>
    <t>* En lo que va corrido del 2019, se han ejecutado los valores presupuestados para esta actividad.
* Desde Noviembre del 2019 se establece dentro del PPTO el costo de las renovaciones de las afiliaciones.</t>
  </si>
  <si>
    <t>* Se optuvo recertificación en la norma BASC VERSIÓN 2017, así mismo se  mantuvo la certificación de la ISO 28000, asi mismo en el mes de septiembre se emite el concepto faborable de mantenimiento de la certificación ISO 9001:15.</t>
  </si>
  <si>
    <t>* Se radica petición a la alcaldia en mayo, y finalizando agosto, dicha entidad radica la petición en el consejo municipal, para lo cual aun se encuentra en seguimiento por parte de la compañía, sin embargo, dado al establecimiento del nuevo gobierno, este proceso quedará en pausa hasta el año 2020.</t>
  </si>
  <si>
    <t>Esta actividad se lleva cabo cada vez que un usuario presente la solicitud de calificación, Hasta la fecha no se evidencia registro de calificaciones irregulares, ya que se cuenta con controles pertinentes  para evaluar los posibles nuevos usuarios. Para el mesd e junio del 2019, se aprueba la calificación de un nuevo Usuario, proceso e el cual se siguen todos los lineamientos establecidos para garantizar el seguimiento y la adecuda calificación bajo las normas aplicables.</t>
  </si>
  <si>
    <t>* Resultado de auditoría favorable con cumplimiento a compromiso.
* Se realiza auditoria interna al proceso de operaciones, en la cual se verifica la tarazabilidad de una operación aleatoria, evidenciandose cumplimiento de los procedimientos.
* No se han presentado irregularidades en los FMM revisados, evidenciando un 100% de cumplimiento en el indicador.</t>
  </si>
  <si>
    <t>* Para el año en curso se dicta charla de servicio al cliente el 2 de Julio, dirigida al personal de Operaciones por parte del area de Comercial.
* Se incluye dentro del plan de formación 2020 la capacitación los temas de servicio al cliente y comunicación asertiva.</t>
  </si>
  <si>
    <t xml:space="preserve">* Aprovechamiento del acercamiento aduana empresa </t>
  </si>
  <si>
    <t>* Durante la auditoría interna  SST se verifica niveles bajos en los indicadores de Accidentes laborales cumpliendo con los objetivos propuestos para esta actividad.
* Planes de acción a las Inspecciones realizada con intervención de COPASST y ARL SURA.
*Disminución del indicador de ausentismo.
* Se dictan capacitaciones en SST para incentivar el cumplimiento de los requisitos.
* Se actualiza matriz de peligros y risgos SST en el mes de Agosto, en conjunto con todos los colaboradores.</t>
  </si>
  <si>
    <t>* A la fecha las pruebas de consumo han arrojado resultados favorables. No se ha reportado caso de presunto consumo en el personal de la empresa.
* El plan de formación se encuentra en un 77% de ejecución al mes de Noviembre, resutado que demuestra cumplimiento en las actividades programadas.
* Se han realizado campañas durate el transcurso del año sobre adicciones y alcoholismo, por medio de material de lectura.</t>
  </si>
  <si>
    <t>* Se verificará mediante los resultados de las evaluaciones de desempeño y resultados de los indices de rotación, cumplimiento de del plan de formación En el 2020.</t>
  </si>
  <si>
    <t>Se reviso con cada líder de proceso la matriz de identificación de riesgos para lo cual se logro el objetivo dado que cada uno identifico los riesgos en los cuales se ve expuesto su proceso, como también se genero un tratamiento para cada uno de ellos. 
* En el mes de Junio se hace la socialización del procedimiento de seguridad, por parte de la Directora Jurídica.
* Se realiza re inducción en el mes de dicimbre con temas generales del SIG incluyendo temas en riesgos.</t>
  </si>
  <si>
    <t xml:space="preserve">* Se verifica la eficacia de la revisión física por parte de la revisora fiscal, sin novedad para el mes de Novimebre, evidenciado mediante correo enviado el 13 de  Diciembre 2019.
* Se verifica durante la auditoria el cumplimiento en el cronograma de mantenimiento preventivo de los equipos por parte del Procesos de TI, así mismo se verifica la practica de las copias de seguridad por parted e los colaboradores de los procesos responsables de hacerla, Se implementa desde Noviembre el BACK-UP automático.
* Se realiza capcitación a la directora contable sobre realización de la copia de seguridad de ZEUS, cumpliendo con el objetivo propuesto para esta actividad.
* Se evidencia area contable establecida como critica, asi mismo se maneja esta area con restricción de personal no autorizado, (area delimitada).
</t>
  </si>
  <si>
    <t xml:space="preserve">Se verifica cambio de contraseñas liderado por el area de TI,  cuyo último proceso de actualización fue ejecutado en Diciembre.
Se verifica la existencia del procedimiento de compras y su aplicación en los diferentes procesos de la organización, asi como la existencia de evaluación y selección de proveedores.
</t>
  </si>
  <si>
    <t>* Se lleva a cabo simulcro sobre transferencia de contraseñas entre colaboradores, para lo cual se evidencia según el resultado, que el personal no cuenta con manejo claro del concepto de confidencialidad en las contraseñas incluso entre compañeros de trabajo, sinedo el resultado del simulacro una trasferencia de contraseña del ordenador de los usuarios (Aux SST y Analista Ide Operaciones) hacia otro compañero.
* Se realiza ueva capacitación sobre resguardo de contraseñas, dado al resultado optenido en el anterior simulacro, el 16 de agosto del 2019.</t>
  </si>
  <si>
    <t>Se realiza revisión de indicadores con Gerencia en Revisión por la dirección hasta corte de Diciembre 2019.</t>
  </si>
  <si>
    <t>A la fecha se maneja los practicantes en diferentes campos como el área jurídica, administrativa , operaciones.</t>
  </si>
  <si>
    <t>* Aprovechamiento adecuado de los recursos y optimización del mismo para la ejecución de las tareas de cada área. 
* Cada mes en el comité de Gerencia se muestran los indicadores de presupuesto de cada 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</si>
</sst>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1" formatCode="_-* #,##0_-;\-* #,##0_-;_-* &quot;-&quot;_-;_-@_-"/>
    <numFmt numFmtId="164" formatCode="_-&quot;$&quot;* #,##0_-;\-&quot;$&quot;* #,##0_-;_-&quot;$&quot;* &quot;-&quot;_-;_-@_-"/>
    <numFmt numFmtId="165" formatCode="_ * #,##0.00_ ;_ * \-#,##0.00_ ;_ * &quot;-&quot;??_ ;_ @_ "/>
    <numFmt numFmtId="166" formatCode="0.0"/>
    <numFmt numFmtId="167" formatCode="_ [$€-2]\ * #,##0.00_ ;_ [$€-2]\ * \-#,##0.00_ ;_ [$€-2]\ * &quot;-&quot;??_ "/>
    <numFmt numFmtId="168" formatCode="dd/mm/yy;@"/>
  </numFmts>
  <fonts count="24" x14ac:knownFonts="1">
    <font>
      <sz val="10"/>
      <name val="Arial"/>
    </font>
    <font>
      <sz val="10"/>
      <name val="Arial"/>
      <family val="2"/>
    </font>
    <font>
      <sz val="10"/>
      <name val="Tahoma"/>
      <family val="2"/>
    </font>
    <font>
      <b/>
      <sz val="10"/>
      <name val="Tahoma"/>
      <family val="2"/>
    </font>
    <font>
      <sz val="8"/>
      <name val="Verdana"/>
      <family val="2"/>
    </font>
    <font>
      <u/>
      <sz val="10"/>
      <color theme="10"/>
      <name val="Arial"/>
      <family val="2"/>
    </font>
    <font>
      <u/>
      <sz val="10"/>
      <color theme="11"/>
      <name val="Arial"/>
      <family val="2"/>
    </font>
    <font>
      <sz val="12"/>
      <name val="Arial"/>
      <family val="2"/>
    </font>
    <font>
      <sz val="10"/>
      <name val="Verdana"/>
      <family val="2"/>
    </font>
    <font>
      <b/>
      <sz val="12"/>
      <name val="Arial"/>
      <family val="2"/>
    </font>
    <font>
      <sz val="18"/>
      <name val="Arial"/>
      <family val="2"/>
    </font>
    <font>
      <b/>
      <sz val="18"/>
      <name val="Arial"/>
      <family val="2"/>
    </font>
    <font>
      <b/>
      <sz val="24"/>
      <name val="Arial"/>
      <family val="2"/>
    </font>
    <font>
      <b/>
      <sz val="26"/>
      <name val="Arial"/>
      <family val="2"/>
    </font>
    <font>
      <sz val="24"/>
      <name val="Arial"/>
      <family val="2"/>
    </font>
    <font>
      <sz val="17.5"/>
      <name val="Arial"/>
      <family val="2"/>
    </font>
    <font>
      <b/>
      <sz val="11"/>
      <color theme="1"/>
      <name val="Arial"/>
      <family val="2"/>
    </font>
    <font>
      <b/>
      <i/>
      <sz val="18"/>
      <name val="Arial"/>
      <family val="2"/>
    </font>
    <font>
      <sz val="12"/>
      <color theme="1"/>
      <name val="Arial"/>
      <family val="2"/>
    </font>
    <font>
      <b/>
      <sz val="10"/>
      <name val="Arial"/>
      <family val="2"/>
    </font>
    <font>
      <b/>
      <sz val="9"/>
      <name val="Arial"/>
      <family val="2"/>
    </font>
    <font>
      <sz val="9"/>
      <name val="Arial"/>
      <family val="2"/>
    </font>
    <font>
      <b/>
      <sz val="8"/>
      <name val="Arial"/>
      <family val="2"/>
    </font>
    <font>
      <sz val="8"/>
      <name val="Arial"/>
      <family val="2"/>
    </font>
  </fonts>
  <fills count="27">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47"/>
        <bgColor indexed="64"/>
      </patternFill>
    </fill>
    <fill>
      <patternFill patternType="solid">
        <fgColor indexed="57"/>
        <bgColor indexed="64"/>
      </patternFill>
    </fill>
    <fill>
      <patternFill patternType="solid">
        <fgColor indexed="10"/>
        <bgColor indexed="64"/>
      </patternFill>
    </fill>
    <fill>
      <patternFill patternType="solid">
        <fgColor theme="0"/>
        <bgColor indexed="64"/>
      </patternFill>
    </fill>
    <fill>
      <patternFill patternType="solid">
        <fgColor indexed="13"/>
        <bgColor indexed="64"/>
      </patternFill>
    </fill>
    <fill>
      <patternFill patternType="solid">
        <fgColor rgb="FFBF61D6"/>
        <bgColor indexed="64"/>
      </patternFill>
    </fill>
    <fill>
      <patternFill patternType="solid">
        <fgColor rgb="FFFF0000"/>
        <bgColor indexed="64"/>
      </patternFill>
    </fill>
    <fill>
      <patternFill patternType="solid">
        <fgColor rgb="FFFFFF00"/>
        <bgColor indexed="64"/>
      </patternFill>
    </fill>
    <fill>
      <patternFill patternType="solid">
        <fgColor theme="9"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45BFFF"/>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FFC000"/>
        <bgColor indexed="64"/>
      </patternFill>
    </fill>
    <fill>
      <patternFill patternType="solid">
        <fgColor theme="8" tint="0.79998168889431442"/>
        <bgColor indexed="64"/>
      </patternFill>
    </fill>
    <fill>
      <patternFill patternType="solid">
        <fgColor indexed="9"/>
        <bgColor indexed="64"/>
      </patternFill>
    </fill>
    <fill>
      <patternFill patternType="solid">
        <fgColor rgb="FFFF9A05"/>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rgb="FF00B0F0"/>
        <bgColor indexed="64"/>
      </patternFill>
    </fill>
    <fill>
      <patternFill patternType="solid">
        <fgColor rgb="FFFF6600"/>
        <bgColor indexed="64"/>
      </patternFill>
    </fill>
  </fills>
  <borders count="7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style="thin">
        <color auto="1"/>
      </top>
      <bottom style="medium">
        <color auto="1"/>
      </bottom>
      <diagonal/>
    </border>
    <border>
      <left style="thin">
        <color auto="1"/>
      </left>
      <right style="medium">
        <color auto="1"/>
      </right>
      <top style="medium">
        <color auto="1"/>
      </top>
      <bottom/>
      <diagonal/>
    </border>
    <border>
      <left/>
      <right style="thin">
        <color auto="1"/>
      </right>
      <top style="medium">
        <color auto="1"/>
      </top>
      <bottom style="medium">
        <color auto="1"/>
      </bottom>
      <diagonal/>
    </border>
    <border>
      <left style="medium">
        <color auto="1"/>
      </left>
      <right/>
      <top style="thin">
        <color auto="1"/>
      </top>
      <bottom/>
      <diagonal/>
    </border>
    <border>
      <left style="medium">
        <color auto="1"/>
      </left>
      <right style="medium">
        <color auto="1"/>
      </right>
      <top style="thin">
        <color auto="1"/>
      </top>
      <bottom style="medium">
        <color auto="1"/>
      </bottom>
      <diagonal/>
    </border>
    <border>
      <left style="medium">
        <color auto="1"/>
      </left>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medium">
        <color auto="1"/>
      </top>
      <bottom style="thin">
        <color auto="1"/>
      </bottom>
      <diagonal/>
    </border>
    <border>
      <left style="medium">
        <color auto="1"/>
      </left>
      <right/>
      <top style="medium">
        <color auto="1"/>
      </top>
      <bottom style="thin">
        <color auto="1"/>
      </bottom>
      <diagonal/>
    </border>
    <border>
      <left style="medium">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thin">
        <color auto="1"/>
      </top>
      <bottom style="medium">
        <color auto="1"/>
      </bottom>
      <diagonal/>
    </border>
    <border>
      <left style="thin">
        <color auto="1"/>
      </left>
      <right style="thin">
        <color auto="1"/>
      </right>
      <top/>
      <bottom style="thin">
        <color auto="1"/>
      </bottom>
      <diagonal/>
    </border>
    <border>
      <left style="medium">
        <color auto="1"/>
      </left>
      <right style="thin">
        <color auto="1"/>
      </right>
      <top/>
      <bottom style="thin">
        <color auto="1"/>
      </bottom>
      <diagonal/>
    </border>
    <border>
      <left/>
      <right style="thin">
        <color auto="1"/>
      </right>
      <top style="medium">
        <color auto="1"/>
      </top>
      <bottom style="thin">
        <color auto="1"/>
      </bottom>
      <diagonal/>
    </border>
    <border>
      <left style="thin">
        <color auto="1"/>
      </left>
      <right style="medium">
        <color auto="1"/>
      </right>
      <top/>
      <bottom style="thin">
        <color auto="1"/>
      </bottom>
      <diagonal/>
    </border>
    <border>
      <left/>
      <right/>
      <top style="thin">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top/>
      <bottom style="thin">
        <color auto="1"/>
      </bottom>
      <diagonal/>
    </border>
    <border>
      <left style="thin">
        <color auto="1"/>
      </left>
      <right/>
      <top style="medium">
        <color auto="1"/>
      </top>
      <bottom style="medium">
        <color auto="1"/>
      </bottom>
      <diagonal/>
    </border>
    <border>
      <left/>
      <right style="thin">
        <color auto="1"/>
      </right>
      <top style="medium">
        <color auto="1"/>
      </top>
      <bottom/>
      <diagonal/>
    </border>
    <border>
      <left/>
      <right style="medium">
        <color auto="1"/>
      </right>
      <top style="thin">
        <color auto="1"/>
      </top>
      <bottom/>
      <diagonal/>
    </border>
    <border>
      <left style="medium">
        <color auto="1"/>
      </left>
      <right/>
      <top/>
      <bottom/>
      <diagonal/>
    </border>
    <border>
      <left style="medium">
        <color indexed="64"/>
      </left>
      <right style="medium">
        <color indexed="64"/>
      </right>
      <top style="medium">
        <color indexed="64"/>
      </top>
      <bottom/>
      <diagonal/>
    </border>
    <border>
      <left/>
      <right/>
      <top/>
      <bottom style="medium">
        <color auto="1"/>
      </bottom>
      <diagonal/>
    </border>
    <border>
      <left style="medium">
        <color indexed="64"/>
      </left>
      <right style="medium">
        <color indexed="64"/>
      </right>
      <top style="medium">
        <color indexed="64"/>
      </top>
      <bottom style="thin">
        <color auto="1"/>
      </bottom>
      <diagonal/>
    </border>
    <border>
      <left/>
      <right style="medium">
        <color auto="1"/>
      </right>
      <top/>
      <bottom style="medium">
        <color auto="1"/>
      </bottom>
      <diagonal/>
    </border>
    <border>
      <left style="medium">
        <color indexed="64"/>
      </left>
      <right style="medium">
        <color indexed="64"/>
      </right>
      <top style="thin">
        <color auto="1"/>
      </top>
      <bottom/>
      <diagonal/>
    </border>
    <border>
      <left/>
      <right/>
      <top style="medium">
        <color auto="1"/>
      </top>
      <bottom/>
      <diagonal/>
    </border>
    <border>
      <left/>
      <right style="thin">
        <color auto="1"/>
      </right>
      <top/>
      <bottom style="thin">
        <color auto="1"/>
      </bottom>
      <diagonal/>
    </border>
    <border>
      <left style="medium">
        <color indexed="64"/>
      </left>
      <right/>
      <top/>
      <bottom style="medium">
        <color indexed="64"/>
      </bottom>
      <diagonal/>
    </border>
    <border>
      <left style="thin">
        <color indexed="64"/>
      </left>
      <right/>
      <top/>
      <bottom/>
      <diagonal/>
    </border>
    <border>
      <left style="thin">
        <color auto="1"/>
      </left>
      <right style="medium">
        <color auto="1"/>
      </right>
      <top/>
      <bottom style="medium">
        <color indexed="64"/>
      </bottom>
      <diagonal/>
    </border>
    <border>
      <left style="thin">
        <color auto="1"/>
      </left>
      <right/>
      <top/>
      <bottom style="medium">
        <color auto="1"/>
      </bottom>
      <diagonal/>
    </border>
    <border>
      <left/>
      <right style="thin">
        <color auto="1"/>
      </right>
      <top/>
      <bottom style="medium">
        <color auto="1"/>
      </bottom>
      <diagonal/>
    </border>
    <border>
      <left style="thin">
        <color auto="1"/>
      </left>
      <right/>
      <top style="thin">
        <color auto="1"/>
      </top>
      <bottom/>
      <diagonal/>
    </border>
    <border>
      <left/>
      <right style="thin">
        <color auto="1"/>
      </right>
      <top/>
      <bottom/>
      <diagonal/>
    </border>
    <border>
      <left/>
      <right/>
      <top style="thin">
        <color auto="1"/>
      </top>
      <bottom style="thin">
        <color auto="1"/>
      </bottom>
      <diagonal/>
    </border>
    <border>
      <left/>
      <right/>
      <top style="thin">
        <color auto="1"/>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24">
    <xf numFmtId="0" fontId="0" fillId="0" borderId="0"/>
    <xf numFmtId="167"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1" fontId="1"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8"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551">
    <xf numFmtId="0" fontId="0" fillId="0" borderId="0" xfId="0"/>
    <xf numFmtId="0" fontId="2" fillId="0" borderId="0" xfId="0" applyFont="1"/>
    <xf numFmtId="0" fontId="3" fillId="0" borderId="0" xfId="0" applyFont="1" applyFill="1" applyBorder="1" applyAlignment="1">
      <alignment vertical="center"/>
    </xf>
    <xf numFmtId="0" fontId="8" fillId="0" borderId="0" xfId="17"/>
    <xf numFmtId="0" fontId="7" fillId="0" borderId="0" xfId="17" applyFont="1"/>
    <xf numFmtId="0" fontId="9" fillId="0" borderId="0" xfId="17" applyFont="1" applyBorder="1" applyAlignment="1">
      <alignment horizontal="center" vertical="center" wrapText="1"/>
    </xf>
    <xf numFmtId="0" fontId="9" fillId="0" borderId="16" xfId="17" applyFont="1" applyFill="1" applyBorder="1" applyAlignment="1">
      <alignment horizontal="center" vertical="center" wrapText="1"/>
    </xf>
    <xf numFmtId="0" fontId="9" fillId="0" borderId="15" xfId="17" applyFont="1" applyFill="1" applyBorder="1" applyAlignment="1">
      <alignment horizontal="center" vertical="center" wrapText="1"/>
    </xf>
    <xf numFmtId="0" fontId="9" fillId="0" borderId="14" xfId="17" applyFont="1" applyBorder="1" applyAlignment="1">
      <alignment horizontal="center" vertical="center" wrapText="1"/>
    </xf>
    <xf numFmtId="0" fontId="9" fillId="0" borderId="5" xfId="17" applyFont="1" applyBorder="1" applyAlignment="1">
      <alignment horizontal="center" vertical="center" wrapText="1"/>
    </xf>
    <xf numFmtId="0" fontId="9" fillId="8" borderId="8" xfId="17" applyFont="1" applyFill="1" applyBorder="1" applyAlignment="1">
      <alignment horizontal="center" vertical="center" wrapText="1"/>
    </xf>
    <xf numFmtId="0" fontId="9" fillId="0" borderId="29" xfId="17" applyFont="1" applyBorder="1" applyAlignment="1">
      <alignment horizontal="center" vertical="center" wrapText="1"/>
    </xf>
    <xf numFmtId="0" fontId="9" fillId="0" borderId="30" xfId="17" applyFont="1" applyBorder="1" applyAlignment="1">
      <alignment horizontal="center" vertical="center" wrapText="1"/>
    </xf>
    <xf numFmtId="0" fontId="9" fillId="6" borderId="9" xfId="17" applyFont="1" applyFill="1" applyBorder="1" applyAlignment="1">
      <alignment horizontal="center" vertical="center" wrapText="1"/>
    </xf>
    <xf numFmtId="0" fontId="9" fillId="0" borderId="31" xfId="17" applyFont="1" applyBorder="1" applyAlignment="1">
      <alignment horizontal="center" vertical="center" wrapText="1"/>
    </xf>
    <xf numFmtId="0" fontId="9" fillId="0" borderId="32" xfId="17" applyFont="1" applyBorder="1" applyAlignment="1">
      <alignment horizontal="center" vertical="center" wrapText="1"/>
    </xf>
    <xf numFmtId="0" fontId="9" fillId="6" borderId="25" xfId="17" applyFont="1" applyFill="1" applyBorder="1" applyAlignment="1">
      <alignment horizontal="center" vertical="center" wrapText="1"/>
    </xf>
    <xf numFmtId="0" fontId="9" fillId="6" borderId="23" xfId="17" applyFont="1" applyFill="1" applyBorder="1" applyAlignment="1">
      <alignment horizontal="center" vertical="center" wrapText="1"/>
    </xf>
    <xf numFmtId="0" fontId="9" fillId="0" borderId="34" xfId="17" applyFont="1" applyBorder="1" applyAlignment="1">
      <alignment horizontal="center" vertical="center" wrapText="1"/>
    </xf>
    <xf numFmtId="0" fontId="9" fillId="0" borderId="35" xfId="17" applyFont="1" applyBorder="1" applyAlignment="1">
      <alignment horizontal="center" vertical="center" wrapText="1"/>
    </xf>
    <xf numFmtId="0" fontId="9" fillId="0" borderId="0" xfId="17" applyFont="1" applyAlignment="1">
      <alignment horizontal="center" vertical="center" wrapText="1"/>
    </xf>
    <xf numFmtId="0" fontId="9" fillId="0" borderId="6" xfId="17" applyFont="1" applyBorder="1" applyAlignment="1">
      <alignment horizontal="center" vertical="center" wrapText="1"/>
    </xf>
    <xf numFmtId="0" fontId="9" fillId="9" borderId="4" xfId="17" applyFont="1" applyFill="1" applyBorder="1" applyAlignment="1">
      <alignment horizontal="center" vertical="center" wrapText="1"/>
    </xf>
    <xf numFmtId="0" fontId="10" fillId="2" borderId="3" xfId="0" applyFont="1" applyFill="1" applyBorder="1" applyAlignment="1">
      <alignment horizontal="center" vertical="center" wrapText="1"/>
    </xf>
    <xf numFmtId="0" fontId="10" fillId="0" borderId="0" xfId="0" applyFont="1" applyAlignment="1">
      <alignment vertical="center"/>
    </xf>
    <xf numFmtId="0" fontId="10" fillId="0" borderId="1" xfId="0" applyFont="1" applyBorder="1" applyAlignment="1">
      <alignment vertical="center" wrapText="1"/>
    </xf>
    <xf numFmtId="0" fontId="11" fillId="0" borderId="1" xfId="0" applyFont="1" applyBorder="1" applyAlignment="1">
      <alignment horizontal="center" vertical="center"/>
    </xf>
    <xf numFmtId="9" fontId="11" fillId="0" borderId="9" xfId="0" applyNumberFormat="1" applyFont="1" applyBorder="1" applyAlignment="1">
      <alignment horizontal="center" vertical="center"/>
    </xf>
    <xf numFmtId="0" fontId="10" fillId="7" borderId="0" xfId="0" applyFont="1" applyFill="1" applyAlignment="1">
      <alignment vertical="center" wrapText="1"/>
    </xf>
    <xf numFmtId="0" fontId="10" fillId="0" borderId="0" xfId="0" applyFont="1" applyAlignment="1">
      <alignment vertical="center" wrapText="1"/>
    </xf>
    <xf numFmtId="0" fontId="10" fillId="0" borderId="1" xfId="0" applyFont="1" applyBorder="1" applyAlignment="1">
      <alignment horizontal="center" vertical="center"/>
    </xf>
    <xf numFmtId="0" fontId="11" fillId="7" borderId="0" xfId="0" applyFont="1" applyFill="1" applyBorder="1" applyAlignment="1">
      <alignment horizontal="center" vertical="center" wrapText="1"/>
    </xf>
    <xf numFmtId="0" fontId="11" fillId="0" borderId="0" xfId="0" applyFont="1" applyBorder="1" applyAlignment="1">
      <alignment horizontal="center" vertical="center" wrapText="1"/>
    </xf>
    <xf numFmtId="0" fontId="11" fillId="16" borderId="11" xfId="0" applyFont="1" applyFill="1" applyBorder="1" applyAlignment="1">
      <alignment vertical="center" wrapText="1"/>
    </xf>
    <xf numFmtId="0" fontId="10" fillId="0" borderId="7" xfId="0" applyFont="1" applyBorder="1" applyAlignment="1">
      <alignment horizontal="center" vertical="center"/>
    </xf>
    <xf numFmtId="0" fontId="10" fillId="0" borderId="9"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7" borderId="7" xfId="0" applyFont="1" applyFill="1" applyBorder="1" applyAlignment="1">
      <alignment horizontal="center" vertical="center" wrapText="1"/>
    </xf>
    <xf numFmtId="0" fontId="10" fillId="7" borderId="9" xfId="0" applyFont="1" applyFill="1" applyBorder="1" applyAlignment="1">
      <alignment horizontal="center" vertical="center" wrapText="1"/>
    </xf>
    <xf numFmtId="0" fontId="10" fillId="0" borderId="1" xfId="0" applyFont="1" applyBorder="1" applyAlignment="1">
      <alignment vertical="center"/>
    </xf>
    <xf numFmtId="0" fontId="10" fillId="0" borderId="0" xfId="0" applyFont="1" applyBorder="1" applyAlignment="1">
      <alignment vertical="center"/>
    </xf>
    <xf numFmtId="0" fontId="11" fillId="2" borderId="42" xfId="0" applyFont="1" applyFill="1" applyBorder="1" applyAlignment="1">
      <alignment horizontal="center" vertical="center" wrapText="1"/>
    </xf>
    <xf numFmtId="0" fontId="10" fillId="0" borderId="23" xfId="2" applyNumberFormat="1" applyFont="1" applyBorder="1" applyAlignment="1">
      <alignment horizontal="center" vertical="center" wrapText="1"/>
    </xf>
    <xf numFmtId="0" fontId="11" fillId="16" borderId="1" xfId="0" applyFont="1" applyFill="1" applyBorder="1" applyAlignment="1">
      <alignment vertical="center" wrapText="1"/>
    </xf>
    <xf numFmtId="0" fontId="11" fillId="16" borderId="23" xfId="0" applyFont="1" applyFill="1" applyBorder="1" applyAlignment="1">
      <alignment vertical="center" wrapText="1"/>
    </xf>
    <xf numFmtId="17" fontId="10" fillId="0" borderId="0" xfId="0" applyNumberFormat="1" applyFont="1" applyBorder="1" applyAlignment="1">
      <alignment horizontal="center" vertical="center" wrapText="1"/>
    </xf>
    <xf numFmtId="0" fontId="10" fillId="0" borderId="0" xfId="0" applyFont="1" applyBorder="1" applyAlignment="1">
      <alignment vertical="center" wrapText="1"/>
    </xf>
    <xf numFmtId="0" fontId="10" fillId="7" borderId="1" xfId="0" applyFont="1" applyFill="1" applyBorder="1" applyAlignment="1">
      <alignment horizontal="center" vertical="center" wrapText="1"/>
    </xf>
    <xf numFmtId="0" fontId="10" fillId="0" borderId="45" xfId="0" applyFont="1" applyBorder="1" applyAlignment="1">
      <alignment horizontal="center" vertical="center" wrapText="1"/>
    </xf>
    <xf numFmtId="0" fontId="10" fillId="0" borderId="43" xfId="0" applyFont="1" applyBorder="1" applyAlignment="1">
      <alignment horizontal="center" vertical="center" wrapText="1"/>
    </xf>
    <xf numFmtId="0" fontId="10" fillId="0" borderId="42" xfId="0" applyFont="1" applyBorder="1" applyAlignment="1">
      <alignment horizontal="center" vertical="center" wrapText="1"/>
    </xf>
    <xf numFmtId="166" fontId="11" fillId="14" borderId="14" xfId="3" applyNumberFormat="1" applyFont="1" applyFill="1" applyBorder="1" applyAlignment="1">
      <alignment horizontal="center" vertical="center" wrapText="1"/>
    </xf>
    <xf numFmtId="166" fontId="11" fillId="14" borderId="15" xfId="3" applyNumberFormat="1" applyFont="1" applyFill="1" applyBorder="1" applyAlignment="1">
      <alignment horizontal="center" vertical="center" wrapText="1"/>
    </xf>
    <xf numFmtId="166" fontId="11" fillId="14" borderId="53" xfId="3" applyNumberFormat="1" applyFont="1" applyFill="1" applyBorder="1" applyAlignment="1">
      <alignment horizontal="center" vertical="center" wrapText="1"/>
    </xf>
    <xf numFmtId="0" fontId="15" fillId="0" borderId="1" xfId="0" applyFont="1" applyBorder="1" applyAlignment="1">
      <alignment vertical="center" wrapText="1"/>
    </xf>
    <xf numFmtId="0" fontId="10" fillId="0" borderId="1" xfId="2" applyNumberFormat="1" applyFont="1" applyBorder="1" applyAlignment="1">
      <alignment horizontal="center" vertical="center" wrapText="1"/>
    </xf>
    <xf numFmtId="0" fontId="10" fillId="0" borderId="11" xfId="2" applyNumberFormat="1" applyFont="1" applyBorder="1" applyAlignment="1">
      <alignment horizontal="center" vertical="center" wrapText="1"/>
    </xf>
    <xf numFmtId="1" fontId="10" fillId="0" borderId="42" xfId="3" applyNumberFormat="1" applyFont="1" applyFill="1" applyBorder="1" applyAlignment="1">
      <alignment horizontal="center" vertical="center" wrapText="1"/>
    </xf>
    <xf numFmtId="1" fontId="10" fillId="0" borderId="11" xfId="3" applyNumberFormat="1" applyFont="1" applyFill="1" applyBorder="1" applyAlignment="1">
      <alignment horizontal="center" vertical="center" wrapText="1"/>
    </xf>
    <xf numFmtId="0" fontId="9" fillId="9" borderId="57" xfId="17" applyFont="1" applyFill="1" applyBorder="1" applyAlignment="1">
      <alignment horizontal="center" vertical="center" wrapText="1"/>
    </xf>
    <xf numFmtId="0" fontId="9" fillId="0" borderId="54" xfId="17" applyFont="1" applyBorder="1" applyAlignment="1">
      <alignment horizontal="center" vertical="center" wrapText="1"/>
    </xf>
    <xf numFmtId="0" fontId="9" fillId="0" borderId="22" xfId="17" applyFont="1" applyBorder="1" applyAlignment="1">
      <alignment horizontal="center" vertical="center" wrapText="1"/>
    </xf>
    <xf numFmtId="0" fontId="9" fillId="0" borderId="27" xfId="17" applyFont="1" applyBorder="1" applyAlignment="1">
      <alignment horizontal="center" vertical="center" wrapText="1"/>
    </xf>
    <xf numFmtId="0" fontId="2" fillId="0" borderId="46" xfId="0" applyFont="1" applyBorder="1"/>
    <xf numFmtId="0" fontId="7" fillId="0" borderId="46" xfId="17" applyFont="1" applyBorder="1"/>
    <xf numFmtId="0" fontId="2" fillId="0" borderId="58" xfId="0" applyFont="1" applyBorder="1"/>
    <xf numFmtId="0" fontId="1" fillId="0" borderId="38" xfId="0" applyFont="1" applyBorder="1" applyAlignment="1">
      <alignment horizontal="center"/>
    </xf>
    <xf numFmtId="0" fontId="1" fillId="0" borderId="36" xfId="0" applyFont="1" applyBorder="1" applyAlignment="1">
      <alignment horizontal="center"/>
    </xf>
    <xf numFmtId="0" fontId="1" fillId="0" borderId="55" xfId="0" applyFont="1" applyBorder="1" applyAlignment="1">
      <alignment horizontal="center"/>
    </xf>
    <xf numFmtId="9" fontId="1" fillId="0" borderId="59" xfId="0" applyNumberFormat="1" applyFont="1" applyBorder="1" applyAlignment="1">
      <alignment horizontal="center"/>
    </xf>
    <xf numFmtId="9" fontId="1" fillId="0" borderId="32" xfId="0" applyNumberFormat="1" applyFont="1" applyBorder="1" applyAlignment="1">
      <alignment horizontal="center"/>
    </xf>
    <xf numFmtId="9" fontId="1" fillId="0" borderId="61" xfId="0" applyNumberFormat="1" applyFont="1" applyBorder="1" applyAlignment="1">
      <alignment horizontal="center"/>
    </xf>
    <xf numFmtId="0" fontId="10" fillId="0" borderId="14"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11" fillId="2" borderId="63" xfId="0" applyFont="1" applyFill="1" applyBorder="1" applyAlignment="1">
      <alignment horizontal="center" vertical="center" wrapText="1"/>
    </xf>
    <xf numFmtId="0" fontId="10" fillId="2" borderId="49" xfId="0" applyFont="1" applyFill="1" applyBorder="1" applyAlignment="1">
      <alignment horizontal="center" vertical="center" wrapText="1"/>
    </xf>
    <xf numFmtId="0" fontId="10" fillId="7" borderId="42" xfId="0" applyFont="1" applyFill="1" applyBorder="1" applyAlignment="1">
      <alignment horizontal="center" vertical="center" textRotation="90" wrapText="1"/>
    </xf>
    <xf numFmtId="0" fontId="10" fillId="7" borderId="1" xfId="0" applyFont="1" applyFill="1" applyBorder="1" applyAlignment="1">
      <alignment horizontal="center" vertical="center" textRotation="90" wrapText="1"/>
    </xf>
    <xf numFmtId="0" fontId="10" fillId="7" borderId="11" xfId="0" applyFont="1" applyFill="1" applyBorder="1" applyAlignment="1">
      <alignment horizontal="center" vertical="center" textRotation="90" wrapText="1"/>
    </xf>
    <xf numFmtId="0" fontId="10" fillId="0" borderId="11" xfId="0" applyFont="1" applyBorder="1" applyAlignment="1">
      <alignment horizontal="center" vertical="center" wrapText="1"/>
    </xf>
    <xf numFmtId="0" fontId="16" fillId="20" borderId="0" xfId="0" applyFont="1" applyFill="1" applyBorder="1" applyAlignment="1">
      <alignment vertical="center"/>
    </xf>
    <xf numFmtId="0" fontId="16" fillId="20" borderId="0" xfId="0" applyFont="1" applyFill="1" applyBorder="1" applyAlignment="1">
      <alignment vertical="center" wrapText="1"/>
    </xf>
    <xf numFmtId="0" fontId="10" fillId="7" borderId="0" xfId="0" applyFont="1" applyFill="1" applyBorder="1" applyAlignment="1">
      <alignment vertical="center" wrapText="1"/>
    </xf>
    <xf numFmtId="166" fontId="10" fillId="0" borderId="0" xfId="3" applyNumberFormat="1" applyFont="1" applyFill="1" applyBorder="1" applyAlignment="1">
      <alignment horizontal="center" vertical="center" wrapText="1"/>
    </xf>
    <xf numFmtId="0" fontId="11" fillId="0" borderId="0" xfId="0" applyFont="1" applyAlignment="1">
      <alignment horizontal="right" vertical="center" wrapText="1"/>
    </xf>
    <xf numFmtId="0" fontId="10" fillId="0" borderId="42" xfId="2" applyNumberFormat="1" applyFont="1" applyBorder="1" applyAlignment="1">
      <alignment horizontal="center" vertical="center" wrapText="1"/>
    </xf>
    <xf numFmtId="1" fontId="10" fillId="12" borderId="1" xfId="3" applyNumberFormat="1" applyFont="1" applyFill="1" applyBorder="1" applyAlignment="1">
      <alignment horizontal="center" vertical="center" wrapText="1"/>
    </xf>
    <xf numFmtId="1" fontId="10" fillId="12" borderId="23" xfId="3" applyNumberFormat="1" applyFont="1" applyFill="1" applyBorder="1" applyAlignment="1">
      <alignment horizontal="center" vertical="center" wrapText="1"/>
    </xf>
    <xf numFmtId="1" fontId="10" fillId="12" borderId="11" xfId="3" applyNumberFormat="1" applyFont="1" applyFill="1" applyBorder="1" applyAlignment="1">
      <alignment horizontal="center" vertical="center" wrapText="1"/>
    </xf>
    <xf numFmtId="0" fontId="16" fillId="20" borderId="5" xfId="0" applyFont="1" applyFill="1" applyBorder="1" applyAlignment="1">
      <alignment vertical="center"/>
    </xf>
    <xf numFmtId="0" fontId="16" fillId="20" borderId="56" xfId="0" applyFont="1" applyFill="1" applyBorder="1" applyAlignment="1">
      <alignment vertical="center"/>
    </xf>
    <xf numFmtId="0" fontId="16" fillId="20" borderId="64" xfId="0" applyFont="1" applyFill="1" applyBorder="1" applyAlignment="1">
      <alignment vertical="center"/>
    </xf>
    <xf numFmtId="0" fontId="10" fillId="0" borderId="22" xfId="0" applyFont="1" applyBorder="1" applyAlignment="1">
      <alignment horizontal="center" vertical="center" wrapText="1"/>
    </xf>
    <xf numFmtId="0" fontId="11" fillId="2" borderId="52" xfId="0" applyFont="1" applyFill="1" applyBorder="1" applyAlignment="1">
      <alignment horizontal="center" vertical="center" wrapText="1"/>
    </xf>
    <xf numFmtId="0" fontId="11" fillId="3" borderId="48" xfId="0" applyNumberFormat="1" applyFont="1" applyFill="1" applyBorder="1" applyAlignment="1">
      <alignment horizontal="center" vertical="center" textRotation="90" wrapText="1"/>
    </xf>
    <xf numFmtId="0" fontId="11" fillId="3" borderId="18" xfId="0" applyNumberFormat="1" applyFont="1" applyFill="1" applyBorder="1" applyAlignment="1">
      <alignment horizontal="center" vertical="center" textRotation="90" wrapText="1"/>
    </xf>
    <xf numFmtId="164" fontId="11" fillId="14" borderId="14" xfId="0" applyNumberFormat="1" applyFont="1" applyFill="1" applyBorder="1" applyAlignment="1">
      <alignment horizontal="center" vertical="center" textRotation="90" wrapText="1"/>
    </xf>
    <xf numFmtId="164" fontId="11" fillId="14" borderId="15" xfId="0" applyNumberFormat="1" applyFont="1" applyFill="1" applyBorder="1" applyAlignment="1">
      <alignment horizontal="center" vertical="center" textRotation="90" wrapText="1"/>
    </xf>
    <xf numFmtId="164" fontId="11" fillId="14" borderId="40" xfId="0" applyNumberFormat="1" applyFont="1" applyFill="1" applyBorder="1" applyAlignment="1">
      <alignment horizontal="center" vertical="center" textRotation="90" wrapText="1"/>
    </xf>
    <xf numFmtId="0" fontId="11" fillId="3" borderId="14" xfId="0" applyNumberFormat="1" applyFont="1" applyFill="1" applyBorder="1" applyAlignment="1">
      <alignment horizontal="center" vertical="center" textRotation="90" wrapText="1"/>
    </xf>
    <xf numFmtId="0" fontId="11" fillId="3" borderId="15" xfId="0" applyNumberFormat="1" applyFont="1" applyFill="1" applyBorder="1" applyAlignment="1">
      <alignment horizontal="center" vertical="center" textRotation="90" wrapText="1"/>
    </xf>
    <xf numFmtId="0" fontId="11" fillId="4" borderId="16" xfId="0" applyNumberFormat="1" applyFont="1" applyFill="1" applyBorder="1" applyAlignment="1">
      <alignment horizontal="center" vertical="center" textRotation="90" wrapText="1"/>
    </xf>
    <xf numFmtId="0" fontId="11" fillId="2" borderId="18" xfId="0" applyFont="1" applyFill="1" applyBorder="1" applyAlignment="1">
      <alignment horizontal="center" vertical="center" wrapText="1"/>
    </xf>
    <xf numFmtId="0" fontId="11" fillId="2" borderId="65" xfId="0" applyFont="1" applyFill="1" applyBorder="1" applyAlignment="1">
      <alignment horizontal="center" vertical="center" wrapText="1"/>
    </xf>
    <xf numFmtId="0" fontId="11" fillId="4" borderId="18" xfId="0" applyNumberFormat="1" applyFont="1" applyFill="1" applyBorder="1" applyAlignment="1">
      <alignment horizontal="center" vertical="center" wrapText="1"/>
    </xf>
    <xf numFmtId="1" fontId="10" fillId="12" borderId="42" xfId="3" applyNumberFormat="1" applyFont="1" applyFill="1" applyBorder="1" applyAlignment="1">
      <alignment horizontal="center" vertical="center" wrapText="1"/>
    </xf>
    <xf numFmtId="166" fontId="11" fillId="14" borderId="51" xfId="3" applyNumberFormat="1" applyFont="1" applyFill="1" applyBorder="1" applyAlignment="1">
      <alignment horizontal="center" vertical="center" wrapText="1"/>
    </xf>
    <xf numFmtId="0" fontId="11" fillId="0" borderId="0" xfId="0" applyFont="1" applyFill="1" applyBorder="1" applyAlignment="1">
      <alignment vertical="center" wrapText="1"/>
    </xf>
    <xf numFmtId="0" fontId="10" fillId="0" borderId="0" xfId="0" applyFont="1" applyFill="1" applyBorder="1" applyAlignment="1">
      <alignment vertical="center" wrapText="1"/>
    </xf>
    <xf numFmtId="2" fontId="11" fillId="0" borderId="0" xfId="0" applyNumberFormat="1" applyFont="1" applyFill="1" applyBorder="1" applyAlignment="1">
      <alignment vertical="center"/>
    </xf>
    <xf numFmtId="0" fontId="10" fillId="0" borderId="0"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7" fillId="0" borderId="23" xfId="0" applyFont="1" applyBorder="1" applyAlignment="1">
      <alignment horizontal="left" vertical="center" wrapText="1"/>
    </xf>
    <xf numFmtId="0" fontId="7" fillId="0" borderId="1" xfId="0" applyFont="1" applyBorder="1" applyAlignment="1">
      <alignment horizontal="left" vertical="center" wrapText="1"/>
    </xf>
    <xf numFmtId="0" fontId="7" fillId="0" borderId="11" xfId="0" applyFont="1" applyBorder="1" applyAlignment="1">
      <alignment horizontal="left" vertical="center" wrapText="1"/>
    </xf>
    <xf numFmtId="0" fontId="7" fillId="21" borderId="23" xfId="0" applyFont="1" applyFill="1" applyBorder="1" applyAlignment="1">
      <alignment horizontal="left" vertical="center" wrapText="1"/>
    </xf>
    <xf numFmtId="1" fontId="7" fillId="0" borderId="44" xfId="3" applyNumberFormat="1" applyFont="1" applyFill="1" applyBorder="1" applyAlignment="1">
      <alignment horizontal="left" vertical="center" wrapText="1"/>
    </xf>
    <xf numFmtId="166" fontId="7" fillId="0" borderId="42" xfId="3" applyNumberFormat="1" applyFont="1" applyFill="1" applyBorder="1" applyAlignment="1">
      <alignment horizontal="left" vertical="center" wrapText="1"/>
    </xf>
    <xf numFmtId="166" fontId="7" fillId="0" borderId="42" xfId="3" applyNumberFormat="1" applyFont="1" applyFill="1" applyBorder="1" applyAlignment="1">
      <alignment horizontal="center" vertical="center" wrapText="1"/>
    </xf>
    <xf numFmtId="166" fontId="7" fillId="0" borderId="52" xfId="3" applyNumberFormat="1" applyFont="1" applyFill="1" applyBorder="1" applyAlignment="1">
      <alignment horizontal="center" vertical="center" wrapText="1"/>
    </xf>
    <xf numFmtId="166" fontId="7" fillId="0" borderId="1" xfId="3" applyNumberFormat="1" applyFont="1" applyFill="1" applyBorder="1" applyAlignment="1">
      <alignment horizontal="left" vertical="center" wrapText="1"/>
    </xf>
    <xf numFmtId="166" fontId="7" fillId="0" borderId="1" xfId="3" applyNumberFormat="1" applyFont="1" applyFill="1" applyBorder="1" applyAlignment="1">
      <alignment horizontal="center" vertical="center" wrapText="1"/>
    </xf>
    <xf numFmtId="166" fontId="7" fillId="0" borderId="2" xfId="3" applyNumberFormat="1" applyFont="1" applyFill="1" applyBorder="1" applyAlignment="1">
      <alignment horizontal="center" vertical="center" wrapText="1"/>
    </xf>
    <xf numFmtId="0" fontId="7" fillId="0" borderId="1" xfId="0" applyFont="1" applyBorder="1" applyAlignment="1">
      <alignment vertical="center" wrapText="1"/>
    </xf>
    <xf numFmtId="166" fontId="7" fillId="0" borderId="11" xfId="3" applyNumberFormat="1" applyFont="1" applyFill="1" applyBorder="1" applyAlignment="1">
      <alignment horizontal="left" vertical="center" wrapText="1"/>
    </xf>
    <xf numFmtId="166" fontId="7" fillId="0" borderId="11" xfId="3" applyNumberFormat="1" applyFont="1" applyFill="1" applyBorder="1" applyAlignment="1">
      <alignment horizontal="center" vertical="center" wrapText="1"/>
    </xf>
    <xf numFmtId="166" fontId="7" fillId="0" borderId="26" xfId="3" applyNumberFormat="1" applyFont="1" applyFill="1" applyBorder="1" applyAlignment="1">
      <alignment horizontal="center" vertical="center" wrapText="1"/>
    </xf>
    <xf numFmtId="1" fontId="7" fillId="0" borderId="50" xfId="3" applyNumberFormat="1" applyFont="1" applyFill="1" applyBorder="1" applyAlignment="1">
      <alignment horizontal="left" vertical="center" wrapText="1"/>
    </xf>
    <xf numFmtId="166" fontId="11" fillId="14" borderId="47" xfId="3" applyNumberFormat="1" applyFont="1" applyFill="1" applyBorder="1" applyAlignment="1">
      <alignment horizontal="center" vertical="center" wrapText="1"/>
    </xf>
    <xf numFmtId="166" fontId="11" fillId="14" borderId="48" xfId="3" applyNumberFormat="1" applyFont="1" applyFill="1" applyBorder="1" applyAlignment="1">
      <alignment horizontal="center" vertical="center" wrapText="1"/>
    </xf>
    <xf numFmtId="166" fontId="11" fillId="14" borderId="67" xfId="3" applyNumberFormat="1" applyFont="1" applyFill="1" applyBorder="1" applyAlignment="1">
      <alignment horizontal="center" vertical="center" wrapText="1"/>
    </xf>
    <xf numFmtId="166" fontId="11" fillId="14" borderId="68" xfId="3" applyNumberFormat="1" applyFont="1" applyFill="1" applyBorder="1" applyAlignment="1">
      <alignment horizontal="center" vertical="center" wrapText="1"/>
    </xf>
    <xf numFmtId="0" fontId="11" fillId="15" borderId="11" xfId="0" applyFont="1" applyFill="1" applyBorder="1" applyAlignment="1">
      <alignment horizontal="center" vertical="center"/>
    </xf>
    <xf numFmtId="9" fontId="11" fillId="15" borderId="12" xfId="0" applyNumberFormat="1" applyFont="1" applyFill="1" applyBorder="1" applyAlignment="1">
      <alignment horizontal="center" vertical="center"/>
    </xf>
    <xf numFmtId="0" fontId="11" fillId="15" borderId="11" xfId="0" applyFont="1" applyFill="1" applyBorder="1" applyAlignment="1">
      <alignment horizontal="center" vertical="center"/>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0" xfId="0" applyFont="1" applyBorder="1" applyAlignment="1">
      <alignment horizontal="center" vertical="center" wrapText="1"/>
    </xf>
    <xf numFmtId="0" fontId="9" fillId="22" borderId="33" xfId="17" applyFont="1" applyFill="1" applyBorder="1" applyAlignment="1">
      <alignment horizontal="center" vertical="center" wrapText="1"/>
    </xf>
    <xf numFmtId="0" fontId="9" fillId="22" borderId="7" xfId="17" applyFont="1" applyFill="1" applyBorder="1" applyAlignment="1">
      <alignment horizontal="center" vertical="center" wrapText="1"/>
    </xf>
    <xf numFmtId="0" fontId="9" fillId="22" borderId="1" xfId="17" applyFont="1" applyFill="1" applyBorder="1" applyAlignment="1">
      <alignment horizontal="center" vertical="center" wrapText="1"/>
    </xf>
    <xf numFmtId="0" fontId="9" fillId="22" borderId="3" xfId="17" applyFont="1" applyFill="1" applyBorder="1" applyAlignment="1">
      <alignment horizontal="center" vertical="center" wrapText="1"/>
    </xf>
    <xf numFmtId="0" fontId="10" fillId="0" borderId="0"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1" fillId="15" borderId="11" xfId="0" applyFont="1" applyFill="1" applyBorder="1" applyAlignment="1">
      <alignment horizontal="center" vertical="center"/>
    </xf>
    <xf numFmtId="0" fontId="18" fillId="0" borderId="1" xfId="0" applyFont="1" applyBorder="1" applyAlignment="1">
      <alignment horizontal="left" vertical="center" wrapText="1"/>
    </xf>
    <xf numFmtId="0" fontId="18" fillId="0" borderId="1" xfId="0" applyFont="1" applyBorder="1" applyAlignment="1">
      <alignment vertical="center" wrapText="1"/>
    </xf>
    <xf numFmtId="166" fontId="7" fillId="0" borderId="2" xfId="3" applyNumberFormat="1" applyFont="1" applyFill="1" applyBorder="1" applyAlignment="1">
      <alignment horizontal="left" vertical="center" wrapText="1"/>
    </xf>
    <xf numFmtId="0" fontId="10" fillId="7" borderId="3" xfId="0" applyFont="1" applyFill="1" applyBorder="1" applyAlignment="1">
      <alignment horizontal="center" vertical="center" textRotation="90" wrapText="1"/>
    </xf>
    <xf numFmtId="0" fontId="10" fillId="0" borderId="3" xfId="0" applyFont="1" applyBorder="1" applyAlignment="1">
      <alignment horizontal="center" vertical="center" wrapText="1"/>
    </xf>
    <xf numFmtId="0" fontId="11" fillId="16" borderId="3" xfId="0" applyFont="1" applyFill="1" applyBorder="1" applyAlignment="1">
      <alignment vertical="center" wrapText="1"/>
    </xf>
    <xf numFmtId="0" fontId="7" fillId="0" borderId="3" xfId="0" applyFont="1" applyBorder="1" applyAlignment="1">
      <alignment horizontal="left" vertical="center" wrapText="1"/>
    </xf>
    <xf numFmtId="0" fontId="10" fillId="0" borderId="3" xfId="2" applyNumberFormat="1" applyFont="1" applyBorder="1" applyAlignment="1">
      <alignment horizontal="center" vertical="center" wrapText="1"/>
    </xf>
    <xf numFmtId="1" fontId="7" fillId="0" borderId="49" xfId="3" applyNumberFormat="1" applyFont="1" applyFill="1" applyBorder="1" applyAlignment="1">
      <alignment horizontal="left" vertical="center" wrapText="1"/>
    </xf>
    <xf numFmtId="166" fontId="7" fillId="0" borderId="3" xfId="3" applyNumberFormat="1" applyFont="1" applyFill="1" applyBorder="1" applyAlignment="1">
      <alignment horizontal="left" vertical="center" wrapText="1"/>
    </xf>
    <xf numFmtId="166" fontId="7" fillId="0" borderId="69" xfId="3" applyNumberFormat="1" applyFont="1" applyFill="1" applyBorder="1" applyAlignment="1">
      <alignment horizontal="left" vertical="center" wrapText="1"/>
    </xf>
    <xf numFmtId="0" fontId="7" fillId="0" borderId="3" xfId="0" applyFont="1" applyBorder="1" applyAlignment="1">
      <alignment vertical="center" wrapText="1"/>
    </xf>
    <xf numFmtId="1" fontId="10" fillId="0" borderId="1" xfId="3" applyNumberFormat="1" applyFont="1" applyFill="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7" fillId="0" borderId="23" xfId="0" applyFont="1" applyBorder="1" applyAlignment="1">
      <alignment vertical="center" wrapText="1"/>
    </xf>
    <xf numFmtId="166" fontId="7" fillId="0" borderId="23" xfId="3" applyNumberFormat="1" applyFont="1" applyFill="1" applyBorder="1" applyAlignment="1">
      <alignment horizontal="left" vertical="center" wrapText="1"/>
    </xf>
    <xf numFmtId="166" fontId="7" fillId="0" borderId="23" xfId="3" applyNumberFormat="1" applyFont="1" applyFill="1" applyBorder="1" applyAlignment="1">
      <alignment horizontal="center" vertical="center" wrapText="1"/>
    </xf>
    <xf numFmtId="49" fontId="7" fillId="0" borderId="23" xfId="3" applyNumberFormat="1" applyFont="1" applyFill="1" applyBorder="1" applyAlignment="1">
      <alignment horizontal="center" vertical="center" wrapText="1"/>
    </xf>
    <xf numFmtId="0" fontId="10" fillId="0" borderId="0"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1" fillId="15" borderId="11" xfId="0" applyFont="1" applyFill="1" applyBorder="1" applyAlignment="1">
      <alignment horizontal="center" vertical="center"/>
    </xf>
    <xf numFmtId="0" fontId="10" fillId="0" borderId="18" xfId="2" applyNumberFormat="1" applyFont="1" applyBorder="1" applyAlignment="1">
      <alignment horizontal="center" vertical="center" wrapText="1"/>
    </xf>
    <xf numFmtId="1" fontId="10" fillId="0" borderId="18" xfId="3" applyNumberFormat="1" applyFont="1" applyFill="1" applyBorder="1" applyAlignment="1">
      <alignment horizontal="center" vertical="center" wrapText="1"/>
    </xf>
    <xf numFmtId="49" fontId="7" fillId="0" borderId="42" xfId="3" applyNumberFormat="1" applyFont="1" applyFill="1" applyBorder="1" applyAlignment="1">
      <alignment horizontal="center" vertical="center" wrapText="1"/>
    </xf>
    <xf numFmtId="49" fontId="7" fillId="0" borderId="1" xfId="3" applyNumberFormat="1" applyFont="1" applyFill="1" applyBorder="1" applyAlignment="1">
      <alignment horizontal="center" vertical="center" wrapText="1"/>
    </xf>
    <xf numFmtId="0" fontId="7" fillId="7" borderId="1" xfId="0" applyFont="1" applyFill="1" applyBorder="1" applyAlignment="1">
      <alignment horizontal="left" vertical="center" wrapText="1"/>
    </xf>
    <xf numFmtId="0" fontId="7" fillId="7" borderId="1" xfId="0" applyFont="1" applyFill="1" applyBorder="1" applyAlignment="1">
      <alignment horizontal="center" vertical="center" wrapText="1"/>
    </xf>
    <xf numFmtId="166" fontId="7" fillId="7" borderId="1" xfId="3" applyNumberFormat="1" applyFont="1" applyFill="1" applyBorder="1" applyAlignment="1">
      <alignment horizontal="left" vertical="center" wrapText="1"/>
    </xf>
    <xf numFmtId="0" fontId="7" fillId="7" borderId="1" xfId="0" applyFont="1" applyFill="1" applyBorder="1" applyAlignment="1">
      <alignment vertical="center" wrapText="1"/>
    </xf>
    <xf numFmtId="49" fontId="7" fillId="7" borderId="1" xfId="3" applyNumberFormat="1" applyFont="1" applyFill="1" applyBorder="1" applyAlignment="1">
      <alignment horizontal="left" vertical="center" wrapText="1"/>
    </xf>
    <xf numFmtId="0" fontId="11" fillId="15" borderId="11" xfId="0" applyFont="1" applyFill="1" applyBorder="1" applyAlignment="1">
      <alignment horizontal="center" vertical="center"/>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0" xfId="0" applyFont="1" applyBorder="1" applyAlignment="1">
      <alignment horizontal="center" vertical="center" wrapText="1"/>
    </xf>
    <xf numFmtId="1" fontId="10" fillId="12" borderId="3" xfId="3" applyNumberFormat="1" applyFont="1" applyFill="1" applyBorder="1" applyAlignment="1">
      <alignment horizontal="center" vertical="center" wrapText="1"/>
    </xf>
    <xf numFmtId="1" fontId="10" fillId="23" borderId="51" xfId="3" applyNumberFormat="1" applyFont="1" applyFill="1" applyBorder="1" applyAlignment="1">
      <alignment horizontal="center" vertical="center" wrapText="1"/>
    </xf>
    <xf numFmtId="1" fontId="10" fillId="23" borderId="11" xfId="3" applyNumberFormat="1" applyFont="1" applyFill="1" applyBorder="1" applyAlignment="1">
      <alignment horizontal="center" vertical="center" wrapText="1"/>
    </xf>
    <xf numFmtId="166" fontId="7" fillId="0" borderId="3" xfId="3" applyNumberFormat="1" applyFont="1" applyFill="1" applyBorder="1" applyAlignment="1">
      <alignment horizontal="center" vertical="center" wrapText="1"/>
    </xf>
    <xf numFmtId="166" fontId="7" fillId="0" borderId="69" xfId="3" applyNumberFormat="1" applyFont="1" applyFill="1" applyBorder="1" applyAlignment="1">
      <alignment horizontal="center" vertical="center" wrapText="1"/>
    </xf>
    <xf numFmtId="0" fontId="11" fillId="16" borderId="18" xfId="0" applyFont="1" applyFill="1" applyBorder="1" applyAlignment="1">
      <alignment vertical="center" wrapText="1"/>
    </xf>
    <xf numFmtId="0" fontId="7" fillId="0" borderId="18" xfId="0" applyFont="1" applyBorder="1" applyAlignment="1">
      <alignment horizontal="left" vertical="center" wrapText="1"/>
    </xf>
    <xf numFmtId="0" fontId="7" fillId="0" borderId="70" xfId="0" applyFont="1" applyBorder="1" applyAlignment="1">
      <alignment horizontal="left" vertical="center" wrapText="1"/>
    </xf>
    <xf numFmtId="1" fontId="7" fillId="0" borderId="70" xfId="3" applyNumberFormat="1" applyFont="1" applyFill="1" applyBorder="1" applyAlignment="1">
      <alignment horizontal="left" vertical="center" wrapText="1"/>
    </xf>
    <xf numFmtId="1" fontId="7" fillId="0" borderId="1" xfId="3" applyNumberFormat="1" applyFont="1" applyFill="1" applyBorder="1" applyAlignment="1">
      <alignment horizontal="left" vertical="center" wrapText="1"/>
    </xf>
    <xf numFmtId="166" fontId="7" fillId="0" borderId="18" xfId="3" applyNumberFormat="1" applyFont="1" applyFill="1" applyBorder="1" applyAlignment="1">
      <alignment horizontal="left" vertical="center" wrapText="1"/>
    </xf>
    <xf numFmtId="166" fontId="7" fillId="0" borderId="18" xfId="3" applyNumberFormat="1" applyFont="1" applyFill="1" applyBorder="1" applyAlignment="1">
      <alignment horizontal="center" vertical="center" wrapText="1"/>
    </xf>
    <xf numFmtId="166" fontId="7" fillId="0" borderId="65" xfId="3" applyNumberFormat="1" applyFont="1" applyFill="1" applyBorder="1" applyAlignment="1">
      <alignment horizontal="center" vertical="center" wrapText="1"/>
    </xf>
    <xf numFmtId="0" fontId="7" fillId="0" borderId="18" xfId="0" applyFont="1" applyBorder="1" applyAlignment="1">
      <alignment vertical="center" wrapText="1"/>
    </xf>
    <xf numFmtId="1" fontId="10" fillId="12" borderId="18" xfId="3" applyNumberFormat="1" applyFont="1" applyFill="1" applyBorder="1" applyAlignment="1">
      <alignment horizontal="center" vertical="center" wrapText="1"/>
    </xf>
    <xf numFmtId="166" fontId="7" fillId="0" borderId="65" xfId="3" applyNumberFormat="1" applyFont="1" applyFill="1" applyBorder="1" applyAlignment="1">
      <alignment horizontal="left" vertical="center" wrapText="1"/>
    </xf>
    <xf numFmtId="166" fontId="18" fillId="0" borderId="1" xfId="3" applyNumberFormat="1" applyFont="1" applyFill="1" applyBorder="1" applyAlignment="1">
      <alignment horizontal="left" vertical="center" wrapText="1"/>
    </xf>
    <xf numFmtId="49" fontId="18" fillId="7" borderId="1" xfId="3" applyNumberFormat="1" applyFont="1" applyFill="1" applyBorder="1" applyAlignment="1">
      <alignment horizontal="left" vertical="center" wrapText="1"/>
    </xf>
    <xf numFmtId="17" fontId="18" fillId="0" borderId="1" xfId="3" applyNumberFormat="1" applyFont="1" applyFill="1" applyBorder="1" applyAlignment="1">
      <alignment horizontal="center" vertical="center" wrapText="1"/>
    </xf>
    <xf numFmtId="1" fontId="7" fillId="0" borderId="3" xfId="3" applyNumberFormat="1" applyFont="1" applyFill="1" applyBorder="1" applyAlignment="1">
      <alignment horizontal="left" vertical="center" wrapText="1"/>
    </xf>
    <xf numFmtId="166" fontId="18" fillId="0" borderId="3" xfId="3" applyNumberFormat="1" applyFont="1" applyFill="1" applyBorder="1" applyAlignment="1">
      <alignment horizontal="left" vertical="center" wrapText="1"/>
    </xf>
    <xf numFmtId="17" fontId="18" fillId="0" borderId="3" xfId="3" applyNumberFormat="1" applyFont="1" applyFill="1" applyBorder="1" applyAlignment="1">
      <alignment horizontal="center" vertical="center" wrapText="1"/>
    </xf>
    <xf numFmtId="49" fontId="18" fillId="7" borderId="3" xfId="3" applyNumberFormat="1" applyFont="1" applyFill="1" applyBorder="1" applyAlignment="1">
      <alignment horizontal="left" vertical="center" wrapText="1"/>
    </xf>
    <xf numFmtId="0" fontId="10" fillId="0" borderId="8" xfId="0" applyFont="1" applyBorder="1" applyAlignment="1">
      <alignment horizontal="center" vertical="center" wrapText="1"/>
    </xf>
    <xf numFmtId="0" fontId="10" fillId="0" borderId="13" xfId="0" applyFont="1" applyBorder="1" applyAlignment="1">
      <alignment horizontal="center" vertical="center" wrapText="1"/>
    </xf>
    <xf numFmtId="0" fontId="10" fillId="7" borderId="18" xfId="0" applyFont="1" applyFill="1" applyBorder="1" applyAlignment="1">
      <alignment horizontal="center" vertical="center" textRotation="90" wrapText="1"/>
    </xf>
    <xf numFmtId="0" fontId="10" fillId="0" borderId="18" xfId="0" applyFont="1" applyBorder="1" applyAlignment="1">
      <alignment horizontal="center" vertical="center" wrapText="1"/>
    </xf>
    <xf numFmtId="0" fontId="16" fillId="20" borderId="1" xfId="0" applyFont="1" applyFill="1" applyBorder="1" applyAlignment="1">
      <alignment vertical="center"/>
    </xf>
    <xf numFmtId="0" fontId="10" fillId="0" borderId="17" xfId="0" applyFont="1" applyBorder="1" applyAlignment="1">
      <alignment horizontal="center" vertical="center" wrapText="1"/>
    </xf>
    <xf numFmtId="0" fontId="10" fillId="0" borderId="19" xfId="0" applyFont="1" applyBorder="1" applyAlignment="1">
      <alignment horizontal="center" vertical="center" wrapText="1"/>
    </xf>
    <xf numFmtId="0" fontId="10" fillId="7" borderId="48" xfId="0" applyFont="1" applyFill="1" applyBorder="1" applyAlignment="1">
      <alignment horizontal="center" vertical="center" textRotation="90" wrapText="1"/>
    </xf>
    <xf numFmtId="0" fontId="10" fillId="0" borderId="48" xfId="0" applyFont="1" applyBorder="1" applyAlignment="1">
      <alignment horizontal="center" vertical="center" wrapText="1"/>
    </xf>
    <xf numFmtId="0" fontId="11" fillId="16" borderId="48" xfId="0" applyFont="1" applyFill="1" applyBorder="1" applyAlignment="1">
      <alignment vertical="center" wrapText="1"/>
    </xf>
    <xf numFmtId="0" fontId="7" fillId="0" borderId="48" xfId="0" applyFont="1" applyBorder="1" applyAlignment="1">
      <alignment horizontal="left" vertical="center" wrapText="1"/>
    </xf>
    <xf numFmtId="0" fontId="10" fillId="0" borderId="48" xfId="2" applyNumberFormat="1" applyFont="1" applyBorder="1" applyAlignment="1">
      <alignment horizontal="center" vertical="center" wrapText="1"/>
    </xf>
    <xf numFmtId="1" fontId="10" fillId="12" borderId="48" xfId="3" applyNumberFormat="1" applyFont="1" applyFill="1" applyBorder="1" applyAlignment="1">
      <alignment horizontal="center" vertical="center" wrapText="1"/>
    </xf>
    <xf numFmtId="166" fontId="18" fillId="0" borderId="48" xfId="3" applyNumberFormat="1" applyFont="1" applyFill="1" applyBorder="1" applyAlignment="1">
      <alignment horizontal="left" vertical="center" wrapText="1"/>
    </xf>
    <xf numFmtId="17" fontId="18" fillId="0" borderId="48" xfId="3" applyNumberFormat="1" applyFont="1" applyFill="1" applyBorder="1" applyAlignment="1">
      <alignment horizontal="left" vertical="center" wrapText="1"/>
    </xf>
    <xf numFmtId="49" fontId="18" fillId="7" borderId="48" xfId="3" applyNumberFormat="1" applyFont="1" applyFill="1" applyBorder="1" applyAlignment="1">
      <alignment horizontal="left" vertical="center" wrapText="1"/>
    </xf>
    <xf numFmtId="166" fontId="7" fillId="0" borderId="48" xfId="3" applyNumberFormat="1" applyFont="1" applyFill="1" applyBorder="1" applyAlignment="1">
      <alignment horizontal="left" vertical="center" wrapText="1"/>
    </xf>
    <xf numFmtId="1" fontId="7" fillId="23" borderId="1" xfId="3" applyNumberFormat="1" applyFont="1" applyFill="1" applyBorder="1" applyAlignment="1">
      <alignment horizontal="left" vertical="center" wrapText="1"/>
    </xf>
    <xf numFmtId="1" fontId="10" fillId="23" borderId="1" xfId="3" applyNumberFormat="1" applyFont="1" applyFill="1" applyBorder="1" applyAlignment="1">
      <alignment horizontal="center" vertical="center" wrapText="1"/>
    </xf>
    <xf numFmtId="0" fontId="7" fillId="23" borderId="1" xfId="0" applyFont="1" applyFill="1" applyBorder="1" applyAlignment="1">
      <alignment horizontal="left" vertical="center" wrapText="1"/>
    </xf>
    <xf numFmtId="0" fontId="7" fillId="23" borderId="49" xfId="0" applyFont="1" applyFill="1" applyBorder="1" applyAlignment="1">
      <alignment horizontal="left" vertical="center" wrapText="1"/>
    </xf>
    <xf numFmtId="1" fontId="7" fillId="23" borderId="49" xfId="3" applyNumberFormat="1" applyFont="1" applyFill="1" applyBorder="1" applyAlignment="1">
      <alignment horizontal="left" vertical="center" wrapText="1"/>
    </xf>
    <xf numFmtId="1" fontId="7" fillId="23" borderId="51" xfId="3" applyNumberFormat="1" applyFont="1" applyFill="1" applyBorder="1" applyAlignment="1">
      <alignment horizontal="left" vertical="center" wrapText="1"/>
    </xf>
    <xf numFmtId="1" fontId="10" fillId="23" borderId="3" xfId="3" applyNumberFormat="1" applyFont="1" applyFill="1" applyBorder="1" applyAlignment="1">
      <alignment horizontal="center" vertical="center" wrapText="1"/>
    </xf>
    <xf numFmtId="0" fontId="10" fillId="0" borderId="69" xfId="2" applyNumberFormat="1" applyFont="1" applyFill="1" applyBorder="1" applyAlignment="1">
      <alignment horizontal="center" vertical="center" wrapText="1"/>
    </xf>
    <xf numFmtId="0" fontId="10" fillId="0" borderId="11" xfId="2" applyNumberFormat="1" applyFont="1" applyFill="1" applyBorder="1" applyAlignment="1">
      <alignment horizontal="center" vertical="center" wrapText="1"/>
    </xf>
    <xf numFmtId="1" fontId="7" fillId="23" borderId="70" xfId="3" applyNumberFormat="1" applyFont="1" applyFill="1" applyBorder="1" applyAlignment="1">
      <alignment horizontal="left" vertical="center" wrapText="1"/>
    </xf>
    <xf numFmtId="1" fontId="7" fillId="23" borderId="68" xfId="3" applyNumberFormat="1" applyFont="1" applyFill="1" applyBorder="1" applyAlignment="1">
      <alignment horizontal="left" vertical="center" wrapText="1"/>
    </xf>
    <xf numFmtId="0" fontId="11" fillId="15" borderId="3" xfId="0" applyFont="1" applyFill="1" applyBorder="1" applyAlignment="1">
      <alignment horizontal="center" vertical="center"/>
    </xf>
    <xf numFmtId="0" fontId="11" fillId="24" borderId="15" xfId="0" applyFont="1" applyFill="1" applyBorder="1" applyAlignment="1">
      <alignment horizontal="center" vertical="center"/>
    </xf>
    <xf numFmtId="9" fontId="11" fillId="24" borderId="19" xfId="0" applyNumberFormat="1" applyFont="1" applyFill="1" applyBorder="1" applyAlignment="1">
      <alignment horizontal="center" vertical="center"/>
    </xf>
    <xf numFmtId="1" fontId="10" fillId="23" borderId="18" xfId="3" applyNumberFormat="1" applyFont="1" applyFill="1" applyBorder="1" applyAlignment="1">
      <alignment horizontal="center" vertical="center" wrapText="1"/>
    </xf>
    <xf numFmtId="1" fontId="10" fillId="23" borderId="48" xfId="3" applyNumberFormat="1" applyFont="1" applyFill="1" applyBorder="1" applyAlignment="1">
      <alignment horizontal="center" vertical="center" wrapText="1"/>
    </xf>
    <xf numFmtId="166" fontId="7" fillId="0" borderId="52" xfId="3" applyNumberFormat="1" applyFont="1" applyFill="1" applyBorder="1" applyAlignment="1">
      <alignment horizontal="left" vertical="center" wrapText="1"/>
    </xf>
    <xf numFmtId="0" fontId="11" fillId="16" borderId="49" xfId="0" applyFont="1" applyFill="1" applyBorder="1" applyAlignment="1">
      <alignment vertical="center" wrapText="1"/>
    </xf>
    <xf numFmtId="0" fontId="10" fillId="0" borderId="42" xfId="0" applyFont="1" applyBorder="1" applyAlignment="1">
      <alignment vertical="center" wrapText="1"/>
    </xf>
    <xf numFmtId="0" fontId="16" fillId="20" borderId="42" xfId="0" applyFont="1" applyFill="1" applyBorder="1" applyAlignment="1">
      <alignment vertical="center"/>
    </xf>
    <xf numFmtId="166" fontId="7" fillId="0" borderId="3" xfId="3" applyNumberFormat="1" applyFont="1" applyFill="1" applyBorder="1" applyAlignment="1">
      <alignment vertical="top" wrapText="1"/>
    </xf>
    <xf numFmtId="0" fontId="10" fillId="0" borderId="2" xfId="0" applyFont="1" applyBorder="1" applyAlignment="1">
      <alignment horizontal="center" vertical="center" wrapText="1"/>
    </xf>
    <xf numFmtId="0" fontId="11" fillId="25" borderId="1" xfId="0" applyFont="1" applyFill="1" applyBorder="1" applyAlignment="1">
      <alignment horizontal="left" vertical="center" wrapText="1"/>
    </xf>
    <xf numFmtId="0" fontId="10" fillId="0" borderId="52" xfId="0" applyFont="1" applyBorder="1" applyAlignment="1">
      <alignment horizontal="center" vertical="center" wrapText="1"/>
    </xf>
    <xf numFmtId="0" fontId="10" fillId="0" borderId="63" xfId="0" applyFont="1" applyBorder="1" applyAlignment="1">
      <alignment horizontal="center" vertical="center" wrapText="1"/>
    </xf>
    <xf numFmtId="1" fontId="7" fillId="0" borderId="18" xfId="3" applyNumberFormat="1" applyFont="1" applyFill="1" applyBorder="1" applyAlignment="1">
      <alignment horizontal="left" vertical="center" wrapText="1"/>
    </xf>
    <xf numFmtId="166" fontId="7" fillId="7" borderId="1" xfId="3" applyNumberFormat="1" applyFont="1" applyFill="1" applyBorder="1" applyAlignment="1">
      <alignment horizontal="center" vertical="center" wrapText="1"/>
    </xf>
    <xf numFmtId="166" fontId="7" fillId="0" borderId="24" xfId="3" applyNumberFormat="1" applyFont="1" applyFill="1" applyBorder="1" applyAlignment="1">
      <alignment horizontal="left" vertical="center" wrapText="1"/>
    </xf>
    <xf numFmtId="166" fontId="7" fillId="0" borderId="24" xfId="3" applyNumberFormat="1" applyFont="1" applyFill="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0" xfId="0" applyFont="1" applyBorder="1" applyAlignment="1">
      <alignment horizontal="center" vertical="center" wrapText="1"/>
    </xf>
    <xf numFmtId="0" fontId="11" fillId="15" borderId="11" xfId="0" applyFont="1" applyFill="1" applyBorder="1" applyAlignment="1">
      <alignment horizontal="center" vertical="center"/>
    </xf>
    <xf numFmtId="1" fontId="7" fillId="0" borderId="50" xfId="3" applyNumberFormat="1" applyFont="1" applyFill="1" applyBorder="1" applyAlignment="1">
      <alignment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7" fillId="0" borderId="11" xfId="0" applyFont="1" applyBorder="1" applyAlignment="1">
      <alignment horizontal="justify" vertical="center" wrapText="1"/>
    </xf>
    <xf numFmtId="0" fontId="7" fillId="7" borderId="11" xfId="0" applyFont="1" applyFill="1" applyBorder="1" applyAlignment="1">
      <alignment horizontal="justify" vertical="center" wrapText="1"/>
    </xf>
    <xf numFmtId="1" fontId="7" fillId="0" borderId="51" xfId="3" applyNumberFormat="1" applyFont="1" applyFill="1" applyBorder="1" applyAlignment="1">
      <alignment horizontal="left" vertical="center" wrapText="1"/>
    </xf>
    <xf numFmtId="1" fontId="10" fillId="0" borderId="48" xfId="3" applyNumberFormat="1" applyFont="1" applyFill="1" applyBorder="1" applyAlignment="1">
      <alignment horizontal="center" vertical="center" wrapText="1"/>
    </xf>
    <xf numFmtId="0" fontId="7" fillId="0" borderId="11" xfId="0" applyFont="1" applyBorder="1" applyAlignment="1">
      <alignment vertical="center" wrapText="1"/>
    </xf>
    <xf numFmtId="0" fontId="11" fillId="16" borderId="42" xfId="0" applyFont="1" applyFill="1" applyBorder="1" applyAlignment="1">
      <alignment vertical="center" wrapText="1"/>
    </xf>
    <xf numFmtId="0" fontId="7" fillId="0" borderId="42" xfId="0" applyFont="1" applyBorder="1" applyAlignment="1">
      <alignment horizontal="left" vertical="center" wrapText="1"/>
    </xf>
    <xf numFmtId="1" fontId="7" fillId="0" borderId="63" xfId="3" applyNumberFormat="1" applyFont="1" applyFill="1" applyBorder="1" applyAlignment="1">
      <alignment horizontal="left" vertical="center" wrapText="1"/>
    </xf>
    <xf numFmtId="0" fontId="10" fillId="2" borderId="51"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1" fillId="4" borderId="48" xfId="0" applyNumberFormat="1" applyFont="1" applyFill="1" applyBorder="1" applyAlignment="1">
      <alignment horizontal="center" vertical="center" wrapText="1"/>
    </xf>
    <xf numFmtId="0" fontId="11" fillId="2" borderId="48" xfId="0" applyFont="1" applyFill="1" applyBorder="1" applyAlignment="1">
      <alignment horizontal="center" vertical="center" wrapText="1"/>
    </xf>
    <xf numFmtId="0" fontId="11" fillId="2" borderId="67" xfId="0" applyFont="1" applyFill="1" applyBorder="1" applyAlignment="1">
      <alignment horizontal="center" vertical="center" wrapText="1"/>
    </xf>
    <xf numFmtId="0" fontId="7" fillId="0" borderId="71" xfId="0" applyFont="1" applyBorder="1" applyAlignment="1">
      <alignment horizontal="left" vertical="center" wrapText="1"/>
    </xf>
    <xf numFmtId="0" fontId="7" fillId="0" borderId="2" xfId="0" applyFont="1" applyBorder="1" applyAlignment="1">
      <alignment horizontal="left" vertical="center" wrapText="1"/>
    </xf>
    <xf numFmtId="0" fontId="11" fillId="16" borderId="49" xfId="0" applyFont="1" applyFill="1" applyBorder="1" applyAlignment="1">
      <alignment horizontal="left" vertical="center" wrapText="1"/>
    </xf>
    <xf numFmtId="0" fontId="7" fillId="0" borderId="1" xfId="0" applyFont="1" applyBorder="1" applyAlignment="1">
      <alignment horizontal="center" vertical="center" wrapText="1"/>
    </xf>
    <xf numFmtId="0" fontId="7" fillId="0" borderId="71" xfId="0" applyFont="1" applyBorder="1" applyAlignment="1">
      <alignment horizontal="center" vertical="center" wrapText="1"/>
    </xf>
    <xf numFmtId="0" fontId="7" fillId="0" borderId="2" xfId="0" applyFont="1" applyBorder="1" applyAlignment="1">
      <alignment horizontal="center" vertical="center" wrapText="1"/>
    </xf>
    <xf numFmtId="0" fontId="11" fillId="16" borderId="1" xfId="0" applyFont="1" applyFill="1" applyBorder="1" applyAlignment="1">
      <alignment horizontal="left" vertical="center" wrapText="1"/>
    </xf>
    <xf numFmtId="0" fontId="10" fillId="0" borderId="69" xfId="0" applyFont="1" applyBorder="1" applyAlignment="1">
      <alignment horizontal="center" vertical="center" wrapText="1"/>
    </xf>
    <xf numFmtId="0" fontId="11" fillId="16" borderId="3" xfId="0" applyFont="1" applyFill="1" applyBorder="1" applyAlignment="1">
      <alignment horizontal="left" vertical="center" wrapText="1"/>
    </xf>
    <xf numFmtId="0" fontId="7" fillId="0" borderId="3" xfId="0" applyFont="1" applyBorder="1" applyAlignment="1">
      <alignment horizontal="center" vertical="center" wrapText="1"/>
    </xf>
    <xf numFmtId="0" fontId="7" fillId="0" borderId="72" xfId="0" applyFont="1" applyBorder="1" applyAlignment="1">
      <alignment horizontal="center" vertical="center" wrapText="1"/>
    </xf>
    <xf numFmtId="0" fontId="7" fillId="0" borderId="69" xfId="0" applyFont="1" applyBorder="1" applyAlignment="1">
      <alignment horizontal="center" vertical="center" wrapText="1"/>
    </xf>
    <xf numFmtId="0" fontId="11" fillId="16" borderId="50" xfId="0" applyFont="1" applyFill="1" applyBorder="1" applyAlignment="1">
      <alignment vertical="center" wrapText="1"/>
    </xf>
    <xf numFmtId="0" fontId="7" fillId="7" borderId="11" xfId="0" applyFont="1" applyFill="1" applyBorder="1" applyAlignment="1">
      <alignment horizontal="left" vertical="center" wrapText="1"/>
    </xf>
    <xf numFmtId="166" fontId="7" fillId="0" borderId="46" xfId="3" applyNumberFormat="1" applyFont="1" applyFill="1" applyBorder="1" applyAlignment="1">
      <alignment horizontal="left" vertical="center" wrapText="1"/>
    </xf>
    <xf numFmtId="166" fontId="7" fillId="0" borderId="46" xfId="3" applyNumberFormat="1" applyFont="1" applyFill="1" applyBorder="1" applyAlignment="1">
      <alignment horizontal="center" vertical="center" wrapText="1"/>
    </xf>
    <xf numFmtId="0" fontId="11" fillId="16" borderId="51" xfId="0" applyFont="1" applyFill="1" applyBorder="1" applyAlignment="1">
      <alignment vertical="center" wrapText="1"/>
    </xf>
    <xf numFmtId="0" fontId="11" fillId="16" borderId="23" xfId="0" applyFont="1" applyFill="1" applyBorder="1" applyAlignment="1">
      <alignment horizontal="left" vertical="center" wrapText="1"/>
    </xf>
    <xf numFmtId="0" fontId="7" fillId="7" borderId="23" xfId="0" applyFont="1" applyFill="1" applyBorder="1" applyAlignment="1">
      <alignment horizontal="left" vertical="center" wrapText="1"/>
    </xf>
    <xf numFmtId="0" fontId="7" fillId="0" borderId="24" xfId="0" applyFont="1" applyBorder="1" applyAlignment="1">
      <alignment horizontal="center" vertical="center" wrapText="1"/>
    </xf>
    <xf numFmtId="0" fontId="7" fillId="0" borderId="52" xfId="0" applyFont="1" applyBorder="1" applyAlignment="1">
      <alignment horizontal="center" vertical="center" wrapText="1"/>
    </xf>
    <xf numFmtId="0" fontId="7" fillId="0" borderId="23" xfId="0" applyFont="1" applyBorder="1" applyAlignment="1">
      <alignment horizontal="center" vertical="center" wrapText="1"/>
    </xf>
    <xf numFmtId="0" fontId="10" fillId="0" borderId="1" xfId="0" applyFont="1" applyBorder="1" applyAlignment="1">
      <alignment horizontal="center" vertical="center" wrapText="1"/>
    </xf>
    <xf numFmtId="0" fontId="7" fillId="0" borderId="69" xfId="0" applyFont="1" applyBorder="1" applyAlignment="1">
      <alignment horizontal="left" vertical="center" wrapText="1"/>
    </xf>
    <xf numFmtId="0" fontId="7" fillId="7" borderId="48" xfId="0" applyFont="1" applyFill="1" applyBorder="1" applyAlignment="1">
      <alignment horizontal="left" vertical="center" wrapText="1"/>
    </xf>
    <xf numFmtId="49" fontId="7" fillId="0" borderId="48" xfId="0" applyNumberFormat="1" applyFont="1" applyBorder="1" applyAlignment="1">
      <alignment horizontal="left" vertical="center" wrapText="1"/>
    </xf>
    <xf numFmtId="0" fontId="7" fillId="7" borderId="67" xfId="0" applyFont="1" applyFill="1" applyBorder="1" applyAlignment="1">
      <alignment horizontal="left" vertical="center" wrapText="1"/>
    </xf>
    <xf numFmtId="0" fontId="7" fillId="0" borderId="67" xfId="0" applyFont="1" applyBorder="1" applyAlignment="1">
      <alignment horizontal="left" vertical="center" wrapText="1"/>
    </xf>
    <xf numFmtId="49" fontId="7" fillId="0" borderId="1" xfId="0" applyNumberFormat="1" applyFont="1" applyBorder="1" applyAlignment="1">
      <alignment horizontal="left" vertical="center" wrapText="1"/>
    </xf>
    <xf numFmtId="0" fontId="7" fillId="7" borderId="2" xfId="0" applyFont="1" applyFill="1" applyBorder="1" applyAlignment="1">
      <alignment horizontal="left" vertical="center" wrapText="1"/>
    </xf>
    <xf numFmtId="0" fontId="7" fillId="7" borderId="18" xfId="0" applyFont="1" applyFill="1" applyBorder="1" applyAlignment="1">
      <alignment horizontal="left" vertical="center" wrapText="1"/>
    </xf>
    <xf numFmtId="0" fontId="11" fillId="16" borderId="42" xfId="0" applyFont="1" applyFill="1" applyBorder="1" applyAlignment="1">
      <alignment horizontal="left" vertical="center" wrapText="1"/>
    </xf>
    <xf numFmtId="0" fontId="7" fillId="7" borderId="42" xfId="0" applyFont="1" applyFill="1" applyBorder="1" applyAlignment="1">
      <alignment horizontal="left" vertical="center" wrapText="1"/>
    </xf>
    <xf numFmtId="0" fontId="7" fillId="7" borderId="63" xfId="0" applyFont="1" applyFill="1" applyBorder="1" applyAlignment="1">
      <alignment horizontal="left" vertical="center" wrapText="1"/>
    </xf>
    <xf numFmtId="49" fontId="7" fillId="0" borderId="42" xfId="0" applyNumberFormat="1" applyFont="1" applyBorder="1" applyAlignment="1">
      <alignment horizontal="left" vertical="center" wrapText="1"/>
    </xf>
    <xf numFmtId="0" fontId="7" fillId="7" borderId="52" xfId="0" applyFont="1" applyFill="1" applyBorder="1" applyAlignment="1">
      <alignment horizontal="left" vertical="center" wrapText="1"/>
    </xf>
    <xf numFmtId="0" fontId="7" fillId="0" borderId="52" xfId="0" applyFont="1" applyBorder="1" applyAlignment="1">
      <alignment horizontal="left" vertical="center" wrapText="1"/>
    </xf>
    <xf numFmtId="0" fontId="1" fillId="0" borderId="24" xfId="0" applyFont="1" applyBorder="1" applyAlignment="1">
      <alignment horizontal="center"/>
    </xf>
    <xf numFmtId="0" fontId="1" fillId="0" borderId="2" xfId="0" applyFont="1" applyBorder="1" applyAlignment="1">
      <alignment horizontal="center"/>
    </xf>
    <xf numFmtId="0" fontId="1" fillId="0" borderId="69" xfId="0" applyFont="1" applyBorder="1" applyAlignment="1">
      <alignment horizontal="center"/>
    </xf>
    <xf numFmtId="0" fontId="1" fillId="0" borderId="59" xfId="0" applyFont="1" applyBorder="1" applyAlignment="1">
      <alignment horizontal="center"/>
    </xf>
    <xf numFmtId="0" fontId="1" fillId="0" borderId="32" xfId="0" applyFont="1" applyBorder="1" applyAlignment="1">
      <alignment horizontal="center"/>
    </xf>
    <xf numFmtId="0" fontId="1" fillId="0" borderId="30" xfId="0" applyFont="1" applyBorder="1" applyAlignment="1">
      <alignment horizontal="center"/>
    </xf>
    <xf numFmtId="0" fontId="1" fillId="0" borderId="6" xfId="0" applyFont="1" applyBorder="1" applyAlignment="1">
      <alignment horizontal="center"/>
    </xf>
    <xf numFmtId="0" fontId="1" fillId="0" borderId="27" xfId="0" applyFont="1" applyBorder="1" applyAlignment="1">
      <alignment horizontal="center"/>
    </xf>
    <xf numFmtId="0" fontId="1" fillId="0" borderId="19" xfId="0" applyFont="1" applyBorder="1" applyAlignment="1">
      <alignment horizontal="center"/>
    </xf>
    <xf numFmtId="0" fontId="19" fillId="0" borderId="39" xfId="0" applyFont="1" applyBorder="1" applyAlignment="1">
      <alignment horizontal="center"/>
    </xf>
    <xf numFmtId="0" fontId="19" fillId="0" borderId="4" xfId="0" applyFont="1" applyBorder="1" applyAlignment="1">
      <alignment horizontal="center"/>
    </xf>
    <xf numFmtId="0" fontId="19" fillId="0" borderId="57" xfId="0" applyFont="1" applyBorder="1" applyAlignment="1">
      <alignment horizontal="center"/>
    </xf>
    <xf numFmtId="0" fontId="19" fillId="0" borderId="5" xfId="0" applyFont="1" applyBorder="1" applyAlignment="1">
      <alignment horizontal="center"/>
    </xf>
    <xf numFmtId="9" fontId="19" fillId="0" borderId="57" xfId="0" applyNumberFormat="1" applyFont="1" applyFill="1" applyBorder="1" applyAlignment="1">
      <alignment horizontal="center"/>
    </xf>
    <xf numFmtId="9" fontId="19" fillId="0" borderId="4" xfId="0" applyNumberFormat="1" applyFont="1" applyFill="1" applyBorder="1" applyAlignment="1">
      <alignment horizontal="center"/>
    </xf>
    <xf numFmtId="0" fontId="0" fillId="0" borderId="40" xfId="0" applyBorder="1" applyAlignment="1">
      <alignment horizontal="center" vertical="center"/>
    </xf>
    <xf numFmtId="0" fontId="0" fillId="0" borderId="4" xfId="0" applyBorder="1" applyAlignment="1">
      <alignment horizontal="center" vertical="center"/>
    </xf>
    <xf numFmtId="17" fontId="7" fillId="0" borderId="42" xfId="0" applyNumberFormat="1" applyFont="1" applyBorder="1" applyAlignment="1">
      <alignment horizontal="left" vertical="center" wrapText="1"/>
    </xf>
    <xf numFmtId="49" fontId="7" fillId="0" borderId="1" xfId="3" applyNumberFormat="1" applyFont="1" applyFill="1" applyBorder="1" applyAlignment="1">
      <alignment horizontal="left" vertical="center" wrapText="1"/>
    </xf>
    <xf numFmtId="1" fontId="7" fillId="7" borderId="1" xfId="3" applyNumberFormat="1" applyFont="1" applyFill="1" applyBorder="1" applyAlignment="1">
      <alignment horizontal="left" vertical="center" wrapText="1"/>
    </xf>
    <xf numFmtId="17" fontId="7" fillId="0" borderId="1" xfId="3" applyNumberFormat="1" applyFont="1" applyFill="1" applyBorder="1" applyAlignment="1">
      <alignment horizontal="center" vertical="center" wrapText="1"/>
    </xf>
    <xf numFmtId="1" fontId="7" fillId="7" borderId="18" xfId="3" applyNumberFormat="1" applyFont="1" applyFill="1" applyBorder="1" applyAlignment="1">
      <alignment horizontal="left" vertical="center" wrapText="1"/>
    </xf>
    <xf numFmtId="0" fontId="11" fillId="25" borderId="1" xfId="0" applyFont="1" applyFill="1" applyBorder="1" applyAlignment="1">
      <alignment vertical="center" wrapText="1"/>
    </xf>
    <xf numFmtId="0" fontId="11" fillId="25" borderId="11" xfId="0" applyFont="1" applyFill="1" applyBorder="1" applyAlignment="1">
      <alignment vertical="center" wrapText="1"/>
    </xf>
    <xf numFmtId="0" fontId="7" fillId="7" borderId="11" xfId="0" applyFont="1" applyFill="1" applyBorder="1" applyAlignment="1">
      <alignment horizontal="center" vertical="center" wrapText="1"/>
    </xf>
    <xf numFmtId="166" fontId="7" fillId="7" borderId="11" xfId="3" applyNumberFormat="1" applyFont="1" applyFill="1" applyBorder="1" applyAlignment="1">
      <alignment horizontal="left" vertical="center" wrapText="1"/>
    </xf>
    <xf numFmtId="0" fontId="7" fillId="7" borderId="11" xfId="0" applyFont="1" applyFill="1" applyBorder="1" applyAlignment="1">
      <alignment vertical="center" wrapText="1"/>
    </xf>
    <xf numFmtId="166" fontId="7" fillId="7" borderId="11" xfId="3" applyNumberFormat="1" applyFont="1" applyFill="1" applyBorder="1" applyAlignment="1">
      <alignment horizontal="center" vertical="center" wrapText="1"/>
    </xf>
    <xf numFmtId="0" fontId="7" fillId="23" borderId="11" xfId="0" applyFont="1" applyFill="1" applyBorder="1" applyAlignment="1">
      <alignment horizontal="left" vertical="center" wrapText="1"/>
    </xf>
    <xf numFmtId="1" fontId="7" fillId="23" borderId="11" xfId="3" applyNumberFormat="1" applyFont="1" applyFill="1" applyBorder="1" applyAlignment="1">
      <alignment horizontal="left" vertical="center" wrapText="1"/>
    </xf>
    <xf numFmtId="0" fontId="10" fillId="0" borderId="65" xfId="2" applyNumberFormat="1" applyFont="1" applyFill="1" applyBorder="1" applyAlignment="1">
      <alignment horizontal="center" vertical="center" wrapText="1"/>
    </xf>
    <xf numFmtId="0" fontId="18" fillId="0" borderId="42" xfId="0" applyFont="1" applyBorder="1" applyAlignment="1">
      <alignment horizontal="left" vertical="top" wrapText="1"/>
    </xf>
    <xf numFmtId="49" fontId="18" fillId="0" borderId="42" xfId="3" applyNumberFormat="1" applyFont="1" applyFill="1" applyBorder="1" applyAlignment="1">
      <alignment horizontal="left" vertical="center" wrapText="1"/>
    </xf>
    <xf numFmtId="17" fontId="7" fillId="0" borderId="18" xfId="3" applyNumberFormat="1" applyFont="1" applyFill="1" applyBorder="1" applyAlignment="1">
      <alignment horizontal="left" vertical="center" wrapText="1"/>
    </xf>
    <xf numFmtId="0" fontId="10" fillId="11" borderId="1" xfId="0" applyFont="1" applyFill="1" applyBorder="1" applyAlignment="1">
      <alignment horizontal="center" vertical="center" textRotation="90" wrapText="1"/>
    </xf>
    <xf numFmtId="0" fontId="7" fillId="0" borderId="42" xfId="0" applyFont="1" applyBorder="1" applyAlignment="1">
      <alignment vertical="center" wrapText="1"/>
    </xf>
    <xf numFmtId="166" fontId="7" fillId="0" borderId="48" xfId="3" applyNumberFormat="1" applyFont="1" applyFill="1" applyBorder="1" applyAlignment="1">
      <alignment horizontal="center" vertical="center" wrapText="1"/>
    </xf>
    <xf numFmtId="166" fontId="7" fillId="0" borderId="67" xfId="3" applyNumberFormat="1" applyFont="1" applyFill="1" applyBorder="1" applyAlignment="1">
      <alignment horizontal="center" vertical="center" wrapText="1"/>
    </xf>
    <xf numFmtId="0" fontId="20" fillId="0" borderId="73" xfId="0" applyFont="1" applyBorder="1" applyAlignment="1">
      <alignment horizontal="center" vertical="center" wrapText="1"/>
    </xf>
    <xf numFmtId="0" fontId="20" fillId="0" borderId="74" xfId="0" applyFont="1" applyBorder="1" applyAlignment="1">
      <alignment horizontal="center" vertical="center" wrapText="1"/>
    </xf>
    <xf numFmtId="0" fontId="21" fillId="0" borderId="75" xfId="0" applyFont="1" applyBorder="1" applyAlignment="1">
      <alignment horizontal="center" vertical="center" wrapText="1"/>
    </xf>
    <xf numFmtId="0" fontId="21" fillId="0" borderId="76" xfId="0" applyFont="1" applyBorder="1" applyAlignment="1">
      <alignment horizontal="center" vertical="center" wrapText="1"/>
    </xf>
    <xf numFmtId="0" fontId="23" fillId="0" borderId="60" xfId="0" applyFont="1" applyBorder="1" applyAlignment="1">
      <alignment horizontal="center" vertical="center" wrapText="1"/>
    </xf>
    <xf numFmtId="0" fontId="23" fillId="0" borderId="78" xfId="0" applyFont="1" applyBorder="1" applyAlignment="1">
      <alignment horizontal="center" vertical="center" wrapText="1"/>
    </xf>
    <xf numFmtId="0" fontId="23" fillId="0" borderId="58" xfId="0" applyFont="1" applyBorder="1" applyAlignment="1">
      <alignment horizontal="center" vertical="center" wrapText="1"/>
    </xf>
    <xf numFmtId="0" fontId="19" fillId="10" borderId="4" xfId="0" applyFont="1" applyFill="1" applyBorder="1" applyAlignment="1">
      <alignment horizontal="center" vertical="center"/>
    </xf>
    <xf numFmtId="0" fontId="19" fillId="26" borderId="78" xfId="0" applyFont="1" applyFill="1" applyBorder="1" applyAlignment="1">
      <alignment horizontal="center" vertical="center"/>
    </xf>
    <xf numFmtId="0" fontId="19" fillId="11" borderId="78" xfId="0" applyFont="1" applyFill="1" applyBorder="1" applyAlignment="1">
      <alignment horizontal="center" vertical="center"/>
    </xf>
    <xf numFmtId="0" fontId="7" fillId="0" borderId="3" xfId="3" applyNumberFormat="1" applyFont="1" applyFill="1" applyBorder="1" applyAlignment="1">
      <alignment horizontal="left" vertical="center" wrapText="1"/>
    </xf>
    <xf numFmtId="166" fontId="7" fillId="0" borderId="26" xfId="3" applyNumberFormat="1" applyFont="1" applyFill="1" applyBorder="1" applyAlignment="1">
      <alignment horizontal="left" vertical="center" wrapText="1"/>
    </xf>
    <xf numFmtId="0" fontId="11" fillId="0" borderId="39" xfId="0" applyFont="1" applyBorder="1" applyAlignment="1">
      <alignment horizontal="left" vertical="center" wrapText="1"/>
    </xf>
    <xf numFmtId="0" fontId="11" fillId="0" borderId="20" xfId="0" applyFont="1" applyBorder="1" applyAlignment="1">
      <alignment horizontal="left" vertical="center" wrapText="1"/>
    </xf>
    <xf numFmtId="0" fontId="13" fillId="7" borderId="56"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12" fillId="0" borderId="39" xfId="0" applyFont="1" applyBorder="1" applyAlignment="1">
      <alignment horizontal="center" vertical="center" wrapText="1"/>
    </xf>
    <xf numFmtId="0" fontId="12" fillId="0" borderId="20" xfId="0" applyFont="1" applyBorder="1" applyAlignment="1">
      <alignment horizontal="center" vertical="center" wrapText="1"/>
    </xf>
    <xf numFmtId="0" fontId="12" fillId="0" borderId="40" xfId="0" applyFont="1" applyBorder="1" applyAlignment="1">
      <alignment horizontal="center" vertical="center" wrapText="1"/>
    </xf>
    <xf numFmtId="0" fontId="14" fillId="0" borderId="39" xfId="0" applyFont="1" applyBorder="1" applyAlignment="1">
      <alignment horizontal="center" vertical="center" wrapText="1"/>
    </xf>
    <xf numFmtId="0" fontId="14" fillId="0" borderId="20" xfId="0" applyFont="1" applyBorder="1" applyAlignment="1">
      <alignment horizontal="center" vertical="center" wrapText="1"/>
    </xf>
    <xf numFmtId="168" fontId="14" fillId="0" borderId="39" xfId="0" applyNumberFormat="1" applyFont="1" applyBorder="1" applyAlignment="1">
      <alignment horizontal="center" vertical="center" wrapText="1"/>
    </xf>
    <xf numFmtId="168" fontId="14" fillId="0" borderId="20" xfId="0" applyNumberFormat="1" applyFont="1" applyBorder="1" applyAlignment="1">
      <alignment horizontal="center" vertical="center" wrapText="1"/>
    </xf>
    <xf numFmtId="168" fontId="14" fillId="0" borderId="40" xfId="0" applyNumberFormat="1" applyFont="1" applyBorder="1" applyAlignment="1">
      <alignment horizontal="center" vertical="center" wrapText="1"/>
    </xf>
    <xf numFmtId="14" fontId="14" fillId="0" borderId="39" xfId="0" applyNumberFormat="1" applyFont="1" applyBorder="1" applyAlignment="1">
      <alignment horizontal="center" vertical="center" wrapText="1"/>
    </xf>
    <xf numFmtId="14" fontId="14" fillId="0" borderId="20" xfId="0" applyNumberFormat="1" applyFont="1" applyBorder="1" applyAlignment="1">
      <alignment horizontal="center" vertical="center" wrapText="1"/>
    </xf>
    <xf numFmtId="14" fontId="14" fillId="0" borderId="40" xfId="0" applyNumberFormat="1" applyFont="1" applyBorder="1" applyAlignment="1">
      <alignment horizontal="center" vertical="center" wrapText="1"/>
    </xf>
    <xf numFmtId="0" fontId="14" fillId="0" borderId="40" xfId="0" applyFont="1" applyBorder="1" applyAlignment="1">
      <alignment horizontal="center" vertical="center" wrapText="1"/>
    </xf>
    <xf numFmtId="0" fontId="10" fillId="0" borderId="0" xfId="0" applyFont="1" applyBorder="1" applyAlignment="1">
      <alignment horizontal="center" vertical="center" wrapText="1"/>
    </xf>
    <xf numFmtId="0" fontId="11" fillId="7" borderId="21" xfId="0" applyFont="1" applyFill="1" applyBorder="1" applyAlignment="1">
      <alignment horizontal="center" vertical="center" textRotation="90" wrapText="1"/>
    </xf>
    <xf numFmtId="0" fontId="11" fillId="7" borderId="17" xfId="0" applyFont="1" applyFill="1" applyBorder="1" applyAlignment="1">
      <alignment horizontal="center" vertical="center" textRotation="90" wrapText="1"/>
    </xf>
    <xf numFmtId="0" fontId="11" fillId="7" borderId="47" xfId="0" applyFont="1" applyFill="1" applyBorder="1" applyAlignment="1">
      <alignment horizontal="center" vertical="center" textRotation="90" wrapText="1"/>
    </xf>
    <xf numFmtId="17" fontId="10" fillId="0" borderId="27" xfId="0" applyNumberFormat="1" applyFont="1" applyBorder="1" applyAlignment="1">
      <alignment horizontal="center" vertical="center" wrapText="1"/>
    </xf>
    <xf numFmtId="17" fontId="10" fillId="0" borderId="19" xfId="0" applyNumberFormat="1" applyFont="1" applyBorder="1" applyAlignment="1">
      <alignment horizontal="center" vertical="center" wrapText="1"/>
    </xf>
    <xf numFmtId="17" fontId="10" fillId="0" borderId="66" xfId="0" applyNumberFormat="1" applyFont="1" applyBorder="1" applyAlignment="1">
      <alignment horizontal="center" vertical="center" wrapText="1"/>
    </xf>
    <xf numFmtId="0" fontId="10" fillId="0" borderId="14" xfId="0" applyFont="1" applyBorder="1" applyAlignment="1">
      <alignment horizontal="justify" vertical="center"/>
    </xf>
    <xf numFmtId="0" fontId="10" fillId="0" borderId="15" xfId="0" applyFont="1" applyBorder="1" applyAlignment="1">
      <alignment horizontal="justify" vertical="center"/>
    </xf>
    <xf numFmtId="0" fontId="10" fillId="0" borderId="16" xfId="0" applyFont="1" applyBorder="1" applyAlignment="1">
      <alignment horizontal="justify" vertical="center"/>
    </xf>
    <xf numFmtId="0" fontId="11" fillId="11" borderId="14" xfId="0" applyFont="1" applyFill="1" applyBorder="1" applyAlignment="1">
      <alignment horizontal="center" vertical="center" wrapText="1"/>
    </xf>
    <xf numFmtId="0" fontId="11" fillId="11" borderId="15" xfId="0" applyFont="1" applyFill="1" applyBorder="1" applyAlignment="1">
      <alignment horizontal="center" vertical="center" wrapText="1"/>
    </xf>
    <xf numFmtId="0" fontId="11" fillId="11" borderId="16" xfId="0" applyFont="1" applyFill="1" applyBorder="1" applyAlignment="1">
      <alignment horizontal="center" vertical="center" wrapText="1"/>
    </xf>
    <xf numFmtId="0" fontId="11" fillId="10" borderId="5" xfId="0" applyFont="1" applyFill="1" applyBorder="1" applyAlignment="1">
      <alignment horizontal="center" vertical="center" wrapText="1"/>
    </xf>
    <xf numFmtId="0" fontId="11" fillId="10" borderId="62" xfId="0" applyFont="1" applyFill="1" applyBorder="1" applyAlignment="1">
      <alignment horizontal="center" vertical="center" wrapText="1"/>
    </xf>
    <xf numFmtId="0" fontId="11" fillId="10" borderId="6" xfId="0" applyFont="1" applyFill="1" applyBorder="1" applyAlignment="1">
      <alignment horizontal="center" vertical="center" wrapText="1"/>
    </xf>
    <xf numFmtId="0" fontId="11" fillId="10" borderId="64" xfId="0" applyFont="1" applyFill="1" applyBorder="1" applyAlignment="1">
      <alignment horizontal="center" vertical="center" wrapText="1"/>
    </xf>
    <xf numFmtId="0" fontId="11" fillId="10" borderId="58" xfId="0" applyFont="1" applyFill="1" applyBorder="1" applyAlignment="1">
      <alignment horizontal="center" vertical="center" wrapText="1"/>
    </xf>
    <xf numFmtId="0" fontId="11" fillId="10" borderId="60" xfId="0" applyFont="1" applyFill="1" applyBorder="1" applyAlignment="1">
      <alignment horizontal="center" vertical="center" wrapText="1"/>
    </xf>
    <xf numFmtId="0" fontId="11" fillId="5" borderId="39" xfId="0" applyFont="1" applyFill="1" applyBorder="1" applyAlignment="1">
      <alignment horizontal="center" vertical="center" wrapText="1"/>
    </xf>
    <xf numFmtId="0" fontId="11" fillId="5" borderId="40" xfId="0" applyFont="1" applyFill="1" applyBorder="1" applyAlignment="1">
      <alignment horizontal="center" vertical="center" wrapText="1"/>
    </xf>
    <xf numFmtId="0" fontId="11" fillId="19" borderId="5" xfId="0" applyFont="1" applyFill="1" applyBorder="1" applyAlignment="1">
      <alignment horizontal="center" vertical="center" wrapText="1"/>
    </xf>
    <xf numFmtId="0" fontId="11" fillId="19" borderId="62" xfId="0" applyFont="1" applyFill="1" applyBorder="1" applyAlignment="1">
      <alignment horizontal="center" vertical="center" wrapText="1"/>
    </xf>
    <xf numFmtId="0" fontId="11" fillId="19" borderId="6" xfId="0" applyFont="1" applyFill="1" applyBorder="1" applyAlignment="1">
      <alignment horizontal="center" vertical="center" wrapText="1"/>
    </xf>
    <xf numFmtId="0" fontId="11" fillId="19" borderId="64" xfId="0" applyFont="1" applyFill="1" applyBorder="1" applyAlignment="1">
      <alignment horizontal="center" vertical="center" wrapText="1"/>
    </xf>
    <xf numFmtId="0" fontId="11" fillId="19" borderId="58" xfId="0" applyFont="1" applyFill="1" applyBorder="1" applyAlignment="1">
      <alignment horizontal="center" vertical="center" wrapText="1"/>
    </xf>
    <xf numFmtId="0" fontId="11" fillId="19" borderId="60" xfId="0" applyFont="1" applyFill="1" applyBorder="1" applyAlignment="1">
      <alignment horizontal="center" vertical="center" wrapText="1"/>
    </xf>
    <xf numFmtId="0" fontId="11" fillId="17" borderId="39" xfId="0" applyFont="1" applyFill="1" applyBorder="1" applyAlignment="1">
      <alignment horizontal="center" vertical="center" wrapText="1"/>
    </xf>
    <xf numFmtId="0" fontId="11" fillId="17" borderId="20" xfId="0" applyFont="1" applyFill="1" applyBorder="1" applyAlignment="1">
      <alignment horizontal="center" vertical="center" wrapText="1"/>
    </xf>
    <xf numFmtId="0" fontId="11" fillId="17" borderId="40" xfId="0" applyFont="1" applyFill="1" applyBorder="1" applyAlignment="1">
      <alignment horizontal="center" vertical="center" wrapText="1"/>
    </xf>
    <xf numFmtId="0" fontId="11" fillId="2" borderId="17" xfId="0" applyFont="1" applyFill="1" applyBorder="1" applyAlignment="1">
      <alignment horizontal="center" vertical="center" textRotation="90" wrapText="1"/>
    </xf>
    <xf numFmtId="0" fontId="11" fillId="2" borderId="18" xfId="0" applyFont="1" applyFill="1" applyBorder="1" applyAlignment="1">
      <alignment horizontal="center" vertical="center" textRotation="90" wrapText="1"/>
    </xf>
    <xf numFmtId="0" fontId="11" fillId="2" borderId="48" xfId="0" applyFont="1" applyFill="1" applyBorder="1" applyAlignment="1">
      <alignment horizontal="center" vertical="center" textRotation="90" wrapText="1"/>
    </xf>
    <xf numFmtId="0" fontId="11" fillId="2" borderId="34" xfId="0" applyFont="1" applyFill="1" applyBorder="1" applyAlignment="1">
      <alignment horizontal="center" vertical="center" wrapText="1"/>
    </xf>
    <xf numFmtId="0" fontId="11" fillId="2" borderId="38" xfId="0" applyFont="1" applyFill="1" applyBorder="1" applyAlignment="1">
      <alignment horizontal="center" vertical="center" wrapText="1"/>
    </xf>
    <xf numFmtId="0" fontId="11" fillId="18" borderId="5" xfId="0" applyFont="1" applyFill="1" applyBorder="1" applyAlignment="1">
      <alignment horizontal="center" vertical="center" wrapText="1"/>
    </xf>
    <xf numFmtId="0" fontId="11" fillId="18" borderId="62" xfId="0" applyFont="1" applyFill="1" applyBorder="1" applyAlignment="1">
      <alignment horizontal="center" vertical="center" wrapText="1"/>
    </xf>
    <xf numFmtId="0" fontId="11" fillId="18" borderId="6" xfId="0" applyFont="1" applyFill="1" applyBorder="1" applyAlignment="1">
      <alignment horizontal="center" vertical="center" wrapText="1"/>
    </xf>
    <xf numFmtId="9" fontId="11" fillId="0" borderId="0" xfId="0" applyNumberFormat="1" applyFont="1" applyFill="1" applyBorder="1" applyAlignment="1">
      <alignment horizontal="left" vertical="center"/>
    </xf>
    <xf numFmtId="2" fontId="11" fillId="8" borderId="10" xfId="0" applyNumberFormat="1" applyFont="1" applyFill="1" applyBorder="1" applyAlignment="1">
      <alignment horizontal="center" vertical="center"/>
    </xf>
    <xf numFmtId="2" fontId="11" fillId="8" borderId="11" xfId="0" applyNumberFormat="1" applyFont="1" applyFill="1" applyBorder="1" applyAlignment="1">
      <alignment horizontal="center" vertical="center"/>
    </xf>
    <xf numFmtId="2" fontId="11" fillId="8" borderId="12" xfId="0" applyNumberFormat="1" applyFont="1" applyFill="1" applyBorder="1" applyAlignment="1">
      <alignment horizontal="center" vertical="center"/>
    </xf>
    <xf numFmtId="0" fontId="11" fillId="18" borderId="39" xfId="0" applyNumberFormat="1" applyFont="1" applyFill="1" applyBorder="1" applyAlignment="1">
      <alignment horizontal="center" vertical="center" wrapText="1"/>
    </xf>
    <xf numFmtId="0" fontId="11" fillId="18" borderId="20" xfId="0" applyNumberFormat="1" applyFont="1" applyFill="1" applyBorder="1" applyAlignment="1">
      <alignment horizontal="center" vertical="center" wrapText="1"/>
    </xf>
    <xf numFmtId="0" fontId="11" fillId="18" borderId="28" xfId="0" applyNumberFormat="1" applyFont="1" applyFill="1" applyBorder="1" applyAlignment="1">
      <alignment horizontal="center" vertical="center" wrapText="1"/>
    </xf>
    <xf numFmtId="0" fontId="11" fillId="13" borderId="25" xfId="0" applyNumberFormat="1" applyFont="1" applyFill="1" applyBorder="1" applyAlignment="1">
      <alignment horizontal="center" vertical="center" wrapText="1"/>
    </xf>
    <xf numFmtId="0" fontId="11" fillId="13" borderId="12" xfId="0" applyNumberFormat="1" applyFont="1" applyFill="1" applyBorder="1" applyAlignment="1">
      <alignment horizontal="center" vertical="center" wrapText="1"/>
    </xf>
    <xf numFmtId="0" fontId="11" fillId="0" borderId="0" xfId="0" applyFont="1" applyFill="1" applyBorder="1" applyAlignment="1">
      <alignment horizontal="left" vertical="center"/>
    </xf>
    <xf numFmtId="0" fontId="16" fillId="20" borderId="5" xfId="0" applyFont="1" applyFill="1" applyBorder="1" applyAlignment="1">
      <alignment horizontal="center" vertical="center"/>
    </xf>
    <xf numFmtId="0" fontId="16" fillId="20" borderId="56" xfId="0" applyFont="1" applyFill="1" applyBorder="1" applyAlignment="1">
      <alignment horizontal="center" vertical="center"/>
    </xf>
    <xf numFmtId="0" fontId="16" fillId="20" borderId="64" xfId="0" applyFont="1" applyFill="1" applyBorder="1" applyAlignment="1">
      <alignment horizontal="center" vertical="center"/>
    </xf>
    <xf numFmtId="0" fontId="16" fillId="20" borderId="5" xfId="0" applyFont="1" applyFill="1" applyBorder="1" applyAlignment="1">
      <alignment horizontal="center" vertical="center" wrapText="1"/>
    </xf>
    <xf numFmtId="0" fontId="16" fillId="20" borderId="64" xfId="0" applyFont="1" applyFill="1" applyBorder="1" applyAlignment="1">
      <alignment horizontal="center" vertical="center" wrapText="1"/>
    </xf>
    <xf numFmtId="0" fontId="16" fillId="20" borderId="56" xfId="0" applyFont="1" applyFill="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2" fontId="11" fillId="6" borderId="33" xfId="0" applyNumberFormat="1" applyFont="1" applyFill="1" applyBorder="1" applyAlignment="1">
      <alignment horizontal="center" vertical="center"/>
    </xf>
    <xf numFmtId="2" fontId="11" fillId="6" borderId="23" xfId="0" applyNumberFormat="1" applyFont="1" applyFill="1" applyBorder="1" applyAlignment="1">
      <alignment horizontal="center" vertical="center"/>
    </xf>
    <xf numFmtId="2" fontId="11" fillId="6" borderId="25" xfId="0" applyNumberFormat="1" applyFont="1" applyFill="1" applyBorder="1" applyAlignment="1">
      <alignment horizontal="center" vertical="center"/>
    </xf>
    <xf numFmtId="2" fontId="11" fillId="22" borderId="7" xfId="0" applyNumberFormat="1" applyFont="1" applyFill="1" applyBorder="1" applyAlignment="1">
      <alignment horizontal="center" vertical="center"/>
    </xf>
    <xf numFmtId="2" fontId="11" fillId="22" borderId="1" xfId="0" applyNumberFormat="1" applyFont="1" applyFill="1" applyBorder="1" applyAlignment="1">
      <alignment horizontal="center" vertical="center"/>
    </xf>
    <xf numFmtId="0" fontId="11" fillId="15" borderId="33" xfId="0" applyFont="1" applyFill="1" applyBorder="1" applyAlignment="1">
      <alignment horizontal="center" vertical="center" wrapText="1"/>
    </xf>
    <xf numFmtId="0" fontId="11" fillId="15" borderId="23" xfId="0" applyFont="1" applyFill="1" applyBorder="1" applyAlignment="1">
      <alignment horizontal="center" vertical="center" wrapText="1"/>
    </xf>
    <xf numFmtId="0" fontId="11" fillId="15" borderId="25" xfId="0" applyFont="1" applyFill="1" applyBorder="1" applyAlignment="1">
      <alignment horizontal="center" vertical="center" wrapText="1"/>
    </xf>
    <xf numFmtId="9" fontId="11" fillId="0" borderId="7" xfId="0" applyNumberFormat="1" applyFont="1" applyBorder="1" applyAlignment="1">
      <alignment horizontal="center" vertical="center"/>
    </xf>
    <xf numFmtId="9" fontId="11" fillId="0" borderId="1" xfId="0" applyNumberFormat="1" applyFont="1" applyBorder="1" applyAlignment="1">
      <alignment horizontal="center" vertical="center"/>
    </xf>
    <xf numFmtId="0" fontId="11" fillId="15" borderId="8" xfId="0" applyFont="1" applyFill="1" applyBorder="1" applyAlignment="1">
      <alignment horizontal="center" vertical="center"/>
    </xf>
    <xf numFmtId="0" fontId="11" fillId="15" borderId="3" xfId="0" applyFont="1" applyFill="1" applyBorder="1" applyAlignment="1">
      <alignment horizontal="center" vertical="center"/>
    </xf>
    <xf numFmtId="2" fontId="11" fillId="22" borderId="9" xfId="0" applyNumberFormat="1" applyFont="1" applyFill="1" applyBorder="1" applyAlignment="1">
      <alignment horizontal="center" vertical="center"/>
    </xf>
    <xf numFmtId="0" fontId="11" fillId="24" borderId="14" xfId="0" applyFont="1" applyFill="1" applyBorder="1" applyAlignment="1">
      <alignment horizontal="center" vertical="center"/>
    </xf>
    <xf numFmtId="0" fontId="10" fillId="24" borderId="15" xfId="0" applyFont="1" applyFill="1" applyBorder="1" applyAlignment="1">
      <alignment horizontal="center" vertical="center"/>
    </xf>
    <xf numFmtId="0" fontId="11" fillId="15" borderId="10" xfId="0" applyFont="1" applyFill="1" applyBorder="1" applyAlignment="1">
      <alignment horizontal="center" vertical="center"/>
    </xf>
    <xf numFmtId="0" fontId="11" fillId="15" borderId="11" xfId="0" applyFont="1" applyFill="1" applyBorder="1" applyAlignment="1">
      <alignment horizontal="center" vertical="center"/>
    </xf>
    <xf numFmtId="0" fontId="11" fillId="2" borderId="47" xfId="0" applyFont="1" applyFill="1" applyBorder="1" applyAlignment="1">
      <alignment horizontal="center" vertical="center" textRotation="90" wrapText="1"/>
    </xf>
    <xf numFmtId="0" fontId="11" fillId="18" borderId="5" xfId="0" applyNumberFormat="1" applyFont="1" applyFill="1" applyBorder="1" applyAlignment="1">
      <alignment horizontal="center" vertical="center" wrapText="1"/>
    </xf>
    <xf numFmtId="0" fontId="11" fillId="18" borderId="62" xfId="0" applyNumberFormat="1" applyFont="1" applyFill="1" applyBorder="1" applyAlignment="1">
      <alignment horizontal="center" vertical="center" wrapText="1"/>
    </xf>
    <xf numFmtId="0" fontId="11" fillId="18" borderId="54" xfId="0" applyNumberFormat="1" applyFont="1" applyFill="1" applyBorder="1" applyAlignment="1">
      <alignment horizontal="center" vertical="center" wrapText="1"/>
    </xf>
    <xf numFmtId="1" fontId="10" fillId="22" borderId="31" xfId="3" applyNumberFormat="1" applyFont="1" applyFill="1" applyBorder="1" applyAlignment="1">
      <alignment horizontal="center" vertical="center" wrapText="1"/>
    </xf>
    <xf numFmtId="1" fontId="10" fillId="22" borderId="50" xfId="3" applyNumberFormat="1" applyFont="1" applyFill="1" applyBorder="1" applyAlignment="1">
      <alignment horizontal="center" vertical="center" wrapText="1"/>
    </xf>
    <xf numFmtId="1" fontId="10" fillId="22" borderId="2" xfId="3" applyNumberFormat="1" applyFont="1" applyFill="1" applyBorder="1" applyAlignment="1">
      <alignment horizontal="center" vertical="center" wrapText="1"/>
    </xf>
    <xf numFmtId="1" fontId="10" fillId="22" borderId="36" xfId="3" applyNumberFormat="1" applyFont="1" applyFill="1" applyBorder="1" applyAlignment="1">
      <alignment horizontal="center" vertical="center" wrapText="1"/>
    </xf>
    <xf numFmtId="2" fontId="11" fillId="11" borderId="10" xfId="0" applyNumberFormat="1" applyFont="1" applyFill="1" applyBorder="1" applyAlignment="1">
      <alignment horizontal="center" vertical="center"/>
    </xf>
    <xf numFmtId="2" fontId="11" fillId="11" borderId="11" xfId="0" applyNumberFormat="1" applyFont="1" applyFill="1" applyBorder="1" applyAlignment="1">
      <alignment horizontal="center" vertical="center"/>
    </xf>
    <xf numFmtId="2" fontId="11" fillId="11" borderId="12" xfId="0" applyNumberFormat="1" applyFont="1" applyFill="1" applyBorder="1" applyAlignment="1">
      <alignment horizontal="center" vertical="center"/>
    </xf>
    <xf numFmtId="2" fontId="11" fillId="10" borderId="33" xfId="0" applyNumberFormat="1" applyFont="1" applyFill="1" applyBorder="1" applyAlignment="1">
      <alignment horizontal="center" vertical="center"/>
    </xf>
    <xf numFmtId="2" fontId="11" fillId="10" borderId="23" xfId="0" applyNumberFormat="1" applyFont="1" applyFill="1" applyBorder="1" applyAlignment="1">
      <alignment horizontal="center" vertical="center"/>
    </xf>
    <xf numFmtId="2" fontId="11" fillId="10" borderId="25" xfId="0" applyNumberFormat="1" applyFont="1" applyFill="1" applyBorder="1" applyAlignment="1">
      <alignment horizontal="center" vertical="center"/>
    </xf>
    <xf numFmtId="1" fontId="11" fillId="22" borderId="31" xfId="3" applyNumberFormat="1" applyFont="1" applyFill="1" applyBorder="1" applyAlignment="1">
      <alignment horizontal="center" vertical="center" wrapText="1"/>
    </xf>
    <xf numFmtId="1" fontId="11" fillId="22" borderId="50" xfId="3" applyNumberFormat="1" applyFont="1" applyFill="1" applyBorder="1" applyAlignment="1">
      <alignment horizontal="center" vertical="center" wrapText="1"/>
    </xf>
    <xf numFmtId="1" fontId="11" fillId="22" borderId="2" xfId="3" applyNumberFormat="1" applyFont="1" applyFill="1" applyBorder="1" applyAlignment="1">
      <alignment horizontal="center" vertical="center" wrapText="1"/>
    </xf>
    <xf numFmtId="1" fontId="11" fillId="22" borderId="36" xfId="3" applyNumberFormat="1" applyFont="1" applyFill="1" applyBorder="1" applyAlignment="1">
      <alignment horizontal="center" vertical="center" wrapText="1"/>
    </xf>
    <xf numFmtId="0" fontId="1" fillId="0" borderId="39" xfId="0" applyFont="1" applyBorder="1" applyAlignment="1">
      <alignment horizontal="center" vertical="center" wrapText="1"/>
    </xf>
    <xf numFmtId="0" fontId="1" fillId="0" borderId="20" xfId="0" applyFont="1" applyBorder="1" applyAlignment="1">
      <alignment horizontal="center" vertical="center" wrapText="1"/>
    </xf>
    <xf numFmtId="0" fontId="1" fillId="0" borderId="40" xfId="0" applyFont="1" applyBorder="1" applyAlignment="1">
      <alignment horizontal="center" vertical="center" wrapText="1"/>
    </xf>
    <xf numFmtId="0" fontId="1" fillId="0" borderId="39" xfId="0" applyFont="1" applyBorder="1" applyAlignment="1">
      <alignment horizontal="center" vertical="center"/>
    </xf>
    <xf numFmtId="0" fontId="1" fillId="0" borderId="20" xfId="0" applyFont="1" applyBorder="1" applyAlignment="1">
      <alignment horizontal="center" vertical="center"/>
    </xf>
    <xf numFmtId="0" fontId="1" fillId="0" borderId="40" xfId="0" applyFont="1" applyBorder="1" applyAlignment="1">
      <alignment horizontal="center" vertical="center"/>
    </xf>
    <xf numFmtId="0" fontId="23" fillId="0" borderId="5" xfId="0" applyFont="1" applyBorder="1" applyAlignment="1">
      <alignment horizontal="center" vertical="center" wrapText="1"/>
    </xf>
    <xf numFmtId="0" fontId="23" fillId="0" borderId="62" xfId="0" applyFont="1" applyBorder="1" applyAlignment="1">
      <alignment horizontal="center" vertical="center" wrapText="1"/>
    </xf>
    <xf numFmtId="0" fontId="23" fillId="0" borderId="6" xfId="0" applyFont="1" applyBorder="1" applyAlignment="1">
      <alignment horizontal="center" vertical="center" wrapText="1"/>
    </xf>
    <xf numFmtId="0" fontId="23" fillId="0" borderId="64" xfId="0" applyFont="1" applyBorder="1" applyAlignment="1">
      <alignment horizontal="center" vertical="center" wrapText="1"/>
    </xf>
    <xf numFmtId="0" fontId="23" fillId="0" borderId="58" xfId="0" applyFont="1" applyBorder="1" applyAlignment="1">
      <alignment horizontal="center" vertical="center" wrapText="1"/>
    </xf>
    <xf numFmtId="0" fontId="23" fillId="0" borderId="60" xfId="0" applyFont="1" applyBorder="1" applyAlignment="1">
      <alignment horizontal="center" vertical="center" wrapText="1"/>
    </xf>
    <xf numFmtId="0" fontId="23" fillId="0" borderId="39" xfId="0" applyFont="1" applyBorder="1" applyAlignment="1">
      <alignment horizontal="center" vertical="center" wrapText="1"/>
    </xf>
    <xf numFmtId="0" fontId="23" fillId="0" borderId="20" xfId="0" applyFont="1" applyBorder="1" applyAlignment="1">
      <alignment horizontal="center" vertical="center" wrapText="1"/>
    </xf>
    <xf numFmtId="0" fontId="23" fillId="0" borderId="40" xfId="0" applyFont="1" applyBorder="1" applyAlignment="1">
      <alignment horizontal="center" vertical="center" wrapText="1"/>
    </xf>
    <xf numFmtId="0" fontId="23" fillId="0" borderId="77" xfId="0" applyFont="1" applyBorder="1" applyAlignment="1">
      <alignment horizontal="center" vertical="center" wrapText="1"/>
    </xf>
    <xf numFmtId="0" fontId="23" fillId="0" borderId="78" xfId="0" applyFont="1" applyBorder="1" applyAlignment="1">
      <alignment horizontal="center" vertical="center" wrapText="1"/>
    </xf>
    <xf numFmtId="0" fontId="22" fillId="0" borderId="57" xfId="0" applyFont="1" applyBorder="1" applyAlignment="1">
      <alignment horizontal="center" vertical="center" textRotation="90" wrapText="1"/>
    </xf>
    <xf numFmtId="0" fontId="22" fillId="0" borderId="78" xfId="0" applyFont="1" applyBorder="1" applyAlignment="1">
      <alignment horizontal="center" vertical="center" textRotation="90" wrapText="1"/>
    </xf>
    <xf numFmtId="0" fontId="22" fillId="0" borderId="5" xfId="0" applyFont="1" applyBorder="1" applyAlignment="1">
      <alignment horizontal="center" vertical="center" textRotation="90" wrapText="1"/>
    </xf>
    <xf numFmtId="0" fontId="22" fillId="0" borderId="62" xfId="0" applyFont="1" applyBorder="1" applyAlignment="1">
      <alignment horizontal="center" vertical="center" textRotation="90" wrapText="1"/>
    </xf>
    <xf numFmtId="0" fontId="22" fillId="0" borderId="6" xfId="0" applyFont="1" applyBorder="1" applyAlignment="1">
      <alignment horizontal="center" vertical="center" textRotation="90" wrapText="1"/>
    </xf>
    <xf numFmtId="0" fontId="22" fillId="0" borderId="64" xfId="0" applyFont="1" applyBorder="1" applyAlignment="1">
      <alignment horizontal="center" vertical="center" textRotation="90" wrapText="1"/>
    </xf>
    <xf numFmtId="0" fontId="22" fillId="0" borderId="58" xfId="0" applyFont="1" applyBorder="1" applyAlignment="1">
      <alignment horizontal="center" vertical="center" textRotation="90" wrapText="1"/>
    </xf>
    <xf numFmtId="0" fontId="22" fillId="0" borderId="60" xfId="0" applyFont="1" applyBorder="1" applyAlignment="1">
      <alignment horizontal="center" vertical="center" textRotation="90" wrapText="1"/>
    </xf>
    <xf numFmtId="0" fontId="23" fillId="0" borderId="57" xfId="0" applyFont="1" applyBorder="1" applyAlignment="1">
      <alignment horizontal="center" vertical="center" wrapText="1"/>
    </xf>
    <xf numFmtId="41" fontId="2" fillId="0" borderId="31" xfId="8" applyFont="1" applyBorder="1" applyAlignment="1">
      <alignment horizontal="center" vertical="center"/>
    </xf>
    <xf numFmtId="41" fontId="2" fillId="0" borderId="36" xfId="8" applyFont="1" applyBorder="1" applyAlignment="1">
      <alignment horizontal="center" vertical="center"/>
    </xf>
    <xf numFmtId="41" fontId="2" fillId="0" borderId="41" xfId="8" applyFont="1" applyBorder="1" applyAlignment="1">
      <alignment horizontal="center" vertical="center"/>
    </xf>
    <xf numFmtId="41" fontId="2" fillId="0" borderId="37" xfId="8" applyFont="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xf>
    <xf numFmtId="0" fontId="3" fillId="9" borderId="39" xfId="0" applyFont="1" applyFill="1" applyBorder="1" applyAlignment="1">
      <alignment horizontal="center" vertical="center"/>
    </xf>
    <xf numFmtId="0" fontId="3" fillId="9" borderId="20" xfId="0" applyFont="1" applyFill="1" applyBorder="1" applyAlignment="1">
      <alignment horizontal="center" vertical="center"/>
    </xf>
    <xf numFmtId="0" fontId="3" fillId="9" borderId="40" xfId="0" applyFont="1" applyFill="1" applyBorder="1" applyAlignment="1">
      <alignment horizontal="center" vertical="center"/>
    </xf>
    <xf numFmtId="0" fontId="2" fillId="0" borderId="17" xfId="0" applyFont="1" applyBorder="1" applyAlignment="1">
      <alignment horizontal="justify" vertical="center"/>
    </xf>
    <xf numFmtId="0" fontId="2" fillId="0" borderId="18" xfId="0" applyFont="1" applyBorder="1" applyAlignment="1">
      <alignment horizontal="justify" vertical="center"/>
    </xf>
    <xf numFmtId="0" fontId="2" fillId="0" borderId="19" xfId="0" applyFont="1" applyBorder="1" applyAlignment="1">
      <alignment horizontal="justify" vertical="center"/>
    </xf>
    <xf numFmtId="2" fontId="3" fillId="6" borderId="23" xfId="0" applyNumberFormat="1" applyFont="1" applyFill="1" applyBorder="1" applyAlignment="1">
      <alignment horizontal="center" vertical="center"/>
    </xf>
    <xf numFmtId="2" fontId="3" fillId="6" borderId="25" xfId="0" applyNumberFormat="1" applyFont="1" applyFill="1" applyBorder="1" applyAlignment="1">
      <alignment horizontal="center" vertical="center"/>
    </xf>
    <xf numFmtId="2" fontId="3" fillId="6" borderId="33" xfId="0" applyNumberFormat="1" applyFont="1" applyFill="1" applyBorder="1" applyAlignment="1">
      <alignment horizontal="center" vertical="center"/>
    </xf>
    <xf numFmtId="0" fontId="3" fillId="9" borderId="14" xfId="0" applyFont="1" applyFill="1" applyBorder="1" applyAlignment="1">
      <alignment horizontal="center" vertical="center"/>
    </xf>
    <xf numFmtId="0" fontId="3" fillId="9" borderId="15" xfId="0" applyFont="1" applyFill="1" applyBorder="1" applyAlignment="1">
      <alignment horizontal="center" vertical="center"/>
    </xf>
    <xf numFmtId="0" fontId="3" fillId="9" borderId="16" xfId="0" applyFont="1" applyFill="1" applyBorder="1" applyAlignment="1">
      <alignment horizontal="center" vertical="center"/>
    </xf>
    <xf numFmtId="0" fontId="3" fillId="9" borderId="21" xfId="0" applyFont="1" applyFill="1" applyBorder="1" applyAlignment="1">
      <alignment horizontal="center" vertical="center"/>
    </xf>
    <xf numFmtId="0" fontId="3" fillId="9" borderId="22" xfId="0" applyFont="1" applyFill="1" applyBorder="1" applyAlignment="1">
      <alignment horizontal="center" vertical="center"/>
    </xf>
    <xf numFmtId="0" fontId="3" fillId="9" borderId="27" xfId="0" applyFont="1" applyFill="1" applyBorder="1" applyAlignment="1">
      <alignment horizontal="center" vertical="center"/>
    </xf>
    <xf numFmtId="0" fontId="2" fillId="0" borderId="14" xfId="0" applyFont="1" applyBorder="1" applyAlignment="1">
      <alignment horizontal="justify" vertical="center"/>
    </xf>
    <xf numFmtId="0" fontId="2" fillId="0" borderId="15" xfId="0" applyFont="1" applyBorder="1" applyAlignment="1">
      <alignment horizontal="justify" vertical="center"/>
    </xf>
    <xf numFmtId="0" fontId="2" fillId="0" borderId="16" xfId="0" applyFont="1" applyBorder="1" applyAlignment="1">
      <alignment horizontal="justify" vertical="center"/>
    </xf>
    <xf numFmtId="0" fontId="2" fillId="0" borderId="21" xfId="0" applyFont="1" applyBorder="1" applyAlignment="1">
      <alignment horizontal="justify" vertical="center" wrapText="1"/>
    </xf>
    <xf numFmtId="0" fontId="2" fillId="0" borderId="22" xfId="0" applyFont="1" applyBorder="1" applyAlignment="1">
      <alignment horizontal="justify" vertical="center" wrapText="1"/>
    </xf>
    <xf numFmtId="0" fontId="2" fillId="0" borderId="27" xfId="0" applyFont="1" applyBorder="1" applyAlignment="1">
      <alignment horizontal="justify" vertical="center" wrapText="1"/>
    </xf>
    <xf numFmtId="41" fontId="2" fillId="0" borderId="34" xfId="8" applyFont="1" applyBorder="1" applyAlignment="1">
      <alignment horizontal="center" vertical="center"/>
    </xf>
    <xf numFmtId="41" fontId="2" fillId="0" borderId="38" xfId="8" applyFont="1" applyBorder="1" applyAlignment="1">
      <alignment horizontal="center" vertical="center"/>
    </xf>
    <xf numFmtId="2" fontId="3" fillId="22" borderId="1" xfId="0" applyNumberFormat="1" applyFont="1" applyFill="1" applyBorder="1" applyAlignment="1">
      <alignment horizontal="center" vertical="center"/>
    </xf>
    <xf numFmtId="2" fontId="3" fillId="22" borderId="9" xfId="0" applyNumberFormat="1" applyFont="1" applyFill="1" applyBorder="1" applyAlignment="1">
      <alignment horizontal="center" vertical="center"/>
    </xf>
    <xf numFmtId="2" fontId="3" fillId="8" borderId="11" xfId="0" applyNumberFormat="1" applyFont="1" applyFill="1" applyBorder="1" applyAlignment="1">
      <alignment horizontal="center" vertical="center"/>
    </xf>
    <xf numFmtId="2" fontId="3" fillId="8" borderId="12" xfId="0" applyNumberFormat="1" applyFont="1" applyFill="1" applyBorder="1" applyAlignment="1">
      <alignment horizontal="center" vertical="center"/>
    </xf>
    <xf numFmtId="1" fontId="2" fillId="0" borderId="24" xfId="0" applyNumberFormat="1" applyFont="1" applyBorder="1" applyAlignment="1">
      <alignment horizontal="center" vertical="center"/>
    </xf>
    <xf numFmtId="1" fontId="2" fillId="0" borderId="38" xfId="0" applyNumberFormat="1" applyFont="1" applyBorder="1" applyAlignment="1">
      <alignment horizontal="center" vertical="center"/>
    </xf>
    <xf numFmtId="2" fontId="3" fillId="22" borderId="7" xfId="0" applyNumberFormat="1" applyFont="1" applyFill="1" applyBorder="1" applyAlignment="1">
      <alignment horizontal="center" vertical="center"/>
    </xf>
    <xf numFmtId="2" fontId="3" fillId="8" borderId="10" xfId="0" applyNumberFormat="1" applyFont="1" applyFill="1" applyBorder="1" applyAlignment="1">
      <alignment horizontal="center" vertical="center"/>
    </xf>
    <xf numFmtId="0" fontId="2" fillId="0" borderId="33" xfId="0" applyFont="1" applyBorder="1" applyAlignment="1">
      <alignment horizontal="center"/>
    </xf>
    <xf numFmtId="0" fontId="2" fillId="0" borderId="23" xfId="0" applyFont="1" applyBorder="1" applyAlignment="1">
      <alignment horizontal="center"/>
    </xf>
    <xf numFmtId="0" fontId="2" fillId="0" borderId="7" xfId="0" applyFont="1" applyBorder="1" applyAlignment="1">
      <alignment horizontal="center"/>
    </xf>
    <xf numFmtId="0" fontId="2" fillId="0" borderId="1"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1" fontId="2" fillId="0" borderId="2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2" xfId="0" applyNumberFormat="1" applyFont="1" applyBorder="1" applyAlignment="1">
      <alignment horizontal="center" vertical="center"/>
    </xf>
    <xf numFmtId="1" fontId="2" fillId="0" borderId="36" xfId="0" applyNumberFormat="1" applyFont="1" applyBorder="1" applyAlignment="1">
      <alignment horizontal="center" vertical="center"/>
    </xf>
  </cellXfs>
  <cellStyles count="224">
    <cellStyle name="Euro" xfId="1"/>
    <cellStyle name="Hipervínculo" xfId="4" builtinId="8" hidden="1"/>
    <cellStyle name="Hipervínculo" xfId="6" builtinId="8" hidden="1"/>
    <cellStyle name="Hipervínculo" xfId="9" builtinId="8" hidden="1"/>
    <cellStyle name="Hipervínculo" xfId="11" builtinId="8" hidden="1"/>
    <cellStyle name="Hipervínculo" xfId="13" builtinId="8" hidden="1"/>
    <cellStyle name="Hipervínculo" xfId="15" builtinId="8" hidden="1"/>
    <cellStyle name="Hipervínculo" xfId="18" builtinId="8" hidden="1"/>
    <cellStyle name="Hipervínculo" xfId="20" builtinId="8" hidden="1"/>
    <cellStyle name="Hipervínculo" xfId="22" builtinId="8" hidden="1"/>
    <cellStyle name="Hipervínculo" xfId="24" builtinId="8" hidden="1"/>
    <cellStyle name="Hipervínculo" xfId="26" builtinId="8" hidden="1"/>
    <cellStyle name="Hipervínculo" xfId="28" builtinId="8" hidden="1"/>
    <cellStyle name="Hipervínculo" xfId="30" builtinId="8" hidden="1"/>
    <cellStyle name="Hipervínculo" xfId="32" builtinId="8" hidden="1"/>
    <cellStyle name="Hipervínculo" xfId="34" builtinId="8" hidden="1"/>
    <cellStyle name="Hipervínculo" xfId="36" builtinId="8" hidden="1"/>
    <cellStyle name="Hipervínculo" xfId="38" builtinId="8" hidden="1"/>
    <cellStyle name="Hipervínculo" xfId="40" builtinId="8" hidden="1"/>
    <cellStyle name="Hipervínculo" xfId="42" builtinId="8" hidden="1"/>
    <cellStyle name="Hipervínculo" xfId="44" builtinId="8" hidden="1"/>
    <cellStyle name="Hipervínculo" xfId="46" builtinId="8" hidden="1"/>
    <cellStyle name="Hipervínculo" xfId="48" builtinId="8" hidden="1"/>
    <cellStyle name="Hipervínculo" xfId="50" builtinId="8" hidden="1"/>
    <cellStyle name="Hipervínculo" xfId="52" builtinId="8" hidden="1"/>
    <cellStyle name="Hipervínculo" xfId="54" builtinId="8" hidden="1"/>
    <cellStyle name="Hipervínculo" xfId="56" builtinId="8" hidden="1"/>
    <cellStyle name="Hipervínculo" xfId="58" builtinId="8" hidden="1"/>
    <cellStyle name="Hipervínculo" xfId="60" builtinId="8" hidden="1"/>
    <cellStyle name="Hipervínculo" xfId="62" builtinId="8" hidden="1"/>
    <cellStyle name="Hipervínculo" xfId="64" builtinId="8" hidden="1"/>
    <cellStyle name="Hipervínculo" xfId="66" builtinId="8" hidden="1"/>
    <cellStyle name="Hipervínculo" xfId="68" builtinId="8" hidden="1"/>
    <cellStyle name="Hipervínculo" xfId="70" builtinId="8" hidden="1"/>
    <cellStyle name="Hipervínculo" xfId="72" builtinId="8" hidden="1"/>
    <cellStyle name="Hipervínculo" xfId="74" builtinId="8" hidden="1"/>
    <cellStyle name="Hipervínculo" xfId="76" builtinId="8" hidden="1"/>
    <cellStyle name="Hipervínculo" xfId="78" builtinId="8" hidden="1"/>
    <cellStyle name="Hipervínculo" xfId="80" builtinId="8" hidden="1"/>
    <cellStyle name="Hipervínculo" xfId="82" builtinId="8" hidden="1"/>
    <cellStyle name="Hipervínculo" xfId="84" builtinId="8" hidden="1"/>
    <cellStyle name="Hipervínculo" xfId="86" builtinId="8" hidden="1"/>
    <cellStyle name="Hipervínculo" xfId="88" builtinId="8" hidden="1"/>
    <cellStyle name="Hipervínculo" xfId="90" builtinId="8" hidden="1"/>
    <cellStyle name="Hipervínculo" xfId="92" builtinId="8" hidden="1"/>
    <cellStyle name="Hipervínculo" xfId="94" builtinId="8" hidden="1"/>
    <cellStyle name="Hipervínculo" xfId="96" builtinId="8" hidden="1"/>
    <cellStyle name="Hipervínculo" xfId="98" builtinId="8" hidden="1"/>
    <cellStyle name="Hipervínculo" xfId="100" builtinId="8" hidden="1"/>
    <cellStyle name="Hipervínculo" xfId="102" builtinId="8" hidden="1"/>
    <cellStyle name="Hipervínculo" xfId="104" builtinId="8" hidden="1"/>
    <cellStyle name="Hipervínculo" xfId="106" builtinId="8" hidden="1"/>
    <cellStyle name="Hipervínculo" xfId="108" builtinId="8" hidden="1"/>
    <cellStyle name="Hipervínculo" xfId="110" builtinId="8" hidden="1"/>
    <cellStyle name="Hipervínculo" xfId="112" builtinId="8" hidden="1"/>
    <cellStyle name="Hipervínculo" xfId="114" builtinId="8" hidden="1"/>
    <cellStyle name="Hipervínculo" xfId="116" builtinId="8" hidden="1"/>
    <cellStyle name="Hipervínculo" xfId="118" builtinId="8" hidden="1"/>
    <cellStyle name="Hipervínculo" xfId="120" builtinId="8" hidden="1"/>
    <cellStyle name="Hipervínculo" xfId="122" builtinId="8" hidden="1"/>
    <cellStyle name="Hipervínculo" xfId="124" builtinId="8" hidden="1"/>
    <cellStyle name="Hipervínculo" xfId="126" builtinId="8" hidden="1"/>
    <cellStyle name="Hipervínculo" xfId="128" builtinId="8" hidden="1"/>
    <cellStyle name="Hipervínculo" xfId="130" builtinId="8" hidden="1"/>
    <cellStyle name="Hipervínculo" xfId="132" builtinId="8" hidden="1"/>
    <cellStyle name="Hipervínculo" xfId="134" builtinId="8" hidden="1"/>
    <cellStyle name="Hipervínculo" xfId="136" builtinId="8" hidden="1"/>
    <cellStyle name="Hipervínculo" xfId="138" builtinId="8" hidden="1"/>
    <cellStyle name="Hipervínculo" xfId="140" builtinId="8" hidden="1"/>
    <cellStyle name="Hipervínculo" xfId="142" builtinId="8" hidden="1"/>
    <cellStyle name="Hipervínculo" xfId="144" builtinId="8" hidden="1"/>
    <cellStyle name="Hipervínculo" xfId="146" builtinId="8" hidden="1"/>
    <cellStyle name="Hipervínculo" xfId="148" builtinId="8" hidden="1"/>
    <cellStyle name="Hipervínculo" xfId="150" builtinId="8" hidden="1"/>
    <cellStyle name="Hipervínculo" xfId="152" builtinId="8" hidden="1"/>
    <cellStyle name="Hipervínculo" xfId="154" builtinId="8" hidden="1"/>
    <cellStyle name="Hipervínculo" xfId="156" builtinId="8" hidden="1"/>
    <cellStyle name="Hipervínculo" xfId="158" builtinId="8" hidden="1"/>
    <cellStyle name="Hipervínculo" xfId="160" builtinId="8" hidden="1"/>
    <cellStyle name="Hipervínculo" xfId="162" builtinId="8" hidden="1"/>
    <cellStyle name="Hipervínculo" xfId="164" builtinId="8" hidden="1"/>
    <cellStyle name="Hipervínculo" xfId="166" builtinId="8" hidden="1"/>
    <cellStyle name="Hipervínculo" xfId="168" builtinId="8" hidden="1"/>
    <cellStyle name="Hipervínculo" xfId="170" builtinId="8" hidden="1"/>
    <cellStyle name="Hipervínculo" xfId="172" builtinId="8" hidden="1"/>
    <cellStyle name="Hipervínculo" xfId="174" builtinId="8" hidden="1"/>
    <cellStyle name="Hipervínculo" xfId="176" builtinId="8" hidden="1"/>
    <cellStyle name="Hipervínculo" xfId="178" builtinId="8" hidden="1"/>
    <cellStyle name="Hipervínculo" xfId="180" builtinId="8" hidden="1"/>
    <cellStyle name="Hipervínculo" xfId="182" builtinId="8" hidden="1"/>
    <cellStyle name="Hipervínculo" xfId="184" builtinId="8" hidden="1"/>
    <cellStyle name="Hipervínculo" xfId="186" builtinId="8" hidden="1"/>
    <cellStyle name="Hipervínculo" xfId="188" builtinId="8" hidden="1"/>
    <cellStyle name="Hipervínculo" xfId="190" builtinId="8" hidden="1"/>
    <cellStyle name="Hipervínculo" xfId="192" builtinId="8" hidden="1"/>
    <cellStyle name="Hipervínculo" xfId="194" builtinId="8" hidden="1"/>
    <cellStyle name="Hipervínculo" xfId="196" builtinId="8" hidden="1"/>
    <cellStyle name="Hipervínculo" xfId="198" builtinId="8" hidden="1"/>
    <cellStyle name="Hipervínculo" xfId="200" builtinId="8" hidden="1"/>
    <cellStyle name="Hipervínculo" xfId="202" builtinId="8" hidden="1"/>
    <cellStyle name="Hipervínculo" xfId="204" builtinId="8" hidden="1"/>
    <cellStyle name="Hipervínculo" xfId="206" builtinId="8" hidden="1"/>
    <cellStyle name="Hipervínculo" xfId="208" builtinId="8" hidden="1"/>
    <cellStyle name="Hipervínculo" xfId="210" builtinId="8" hidden="1"/>
    <cellStyle name="Hipervínculo" xfId="212" builtinId="8" hidden="1"/>
    <cellStyle name="Hipervínculo" xfId="214" builtinId="8" hidden="1"/>
    <cellStyle name="Hipervínculo" xfId="216" builtinId="8" hidden="1"/>
    <cellStyle name="Hipervínculo" xfId="218" builtinId="8" hidden="1"/>
    <cellStyle name="Hipervínculo" xfId="220" builtinId="8" hidden="1"/>
    <cellStyle name="Hipervínculo" xfId="222" builtinId="8" hidden="1"/>
    <cellStyle name="Hipervínculo visitado" xfId="5" builtinId="9" hidden="1"/>
    <cellStyle name="Hipervínculo visitado" xfId="7" builtinId="9" hidden="1"/>
    <cellStyle name="Hipervínculo visitado" xfId="10" builtinId="9" hidden="1"/>
    <cellStyle name="Hipervínculo visitado" xfId="12" builtinId="9" hidden="1"/>
    <cellStyle name="Hipervínculo visitado" xfId="14" builtinId="9" hidden="1"/>
    <cellStyle name="Hipervínculo visitado" xfId="16" builtinId="9" hidden="1"/>
    <cellStyle name="Hipervínculo visitado" xfId="19" builtinId="9" hidden="1"/>
    <cellStyle name="Hipervínculo visitado" xfId="21" builtinId="9" hidden="1"/>
    <cellStyle name="Hipervínculo visitado" xfId="23" builtinId="9" hidden="1"/>
    <cellStyle name="Hipervínculo visitado" xfId="25" builtinId="9" hidden="1"/>
    <cellStyle name="Hipervínculo visitado" xfId="27" builtinId="9" hidden="1"/>
    <cellStyle name="Hipervínculo visitado" xfId="29" builtinId="9" hidden="1"/>
    <cellStyle name="Hipervínculo visitado" xfId="31" builtinId="9" hidden="1"/>
    <cellStyle name="Hipervínculo visitado" xfId="33" builtinId="9" hidden="1"/>
    <cellStyle name="Hipervínculo visitado" xfId="35" builtinId="9" hidden="1"/>
    <cellStyle name="Hipervínculo visitado" xfId="37" builtinId="9" hidden="1"/>
    <cellStyle name="Hipervínculo visitado" xfId="39" builtinId="9" hidden="1"/>
    <cellStyle name="Hipervínculo visitado" xfId="41" builtinId="9" hidden="1"/>
    <cellStyle name="Hipervínculo visitado" xfId="43" builtinId="9" hidden="1"/>
    <cellStyle name="Hipervínculo visitado" xfId="45" builtinId="9" hidden="1"/>
    <cellStyle name="Hipervínculo visitado" xfId="47" builtinId="9" hidden="1"/>
    <cellStyle name="Hipervínculo visitado" xfId="49" builtinId="9" hidden="1"/>
    <cellStyle name="Hipervínculo visitado" xfId="51" builtinId="9" hidden="1"/>
    <cellStyle name="Hipervínculo visitado" xfId="53" builtinId="9" hidden="1"/>
    <cellStyle name="Hipervínculo visitado" xfId="55" builtinId="9" hidden="1"/>
    <cellStyle name="Hipervínculo visitado" xfId="57" builtinId="9" hidden="1"/>
    <cellStyle name="Hipervínculo visitado" xfId="59" builtinId="9" hidden="1"/>
    <cellStyle name="Hipervínculo visitado" xfId="61" builtinId="9" hidden="1"/>
    <cellStyle name="Hipervínculo visitado" xfId="63" builtinId="9" hidden="1"/>
    <cellStyle name="Hipervínculo visitado" xfId="65" builtinId="9" hidden="1"/>
    <cellStyle name="Hipervínculo visitado" xfId="67" builtinId="9" hidden="1"/>
    <cellStyle name="Hipervínculo visitado" xfId="69" builtinId="9" hidden="1"/>
    <cellStyle name="Hipervínculo visitado" xfId="71" builtinId="9" hidden="1"/>
    <cellStyle name="Hipervínculo visitado" xfId="73" builtinId="9" hidden="1"/>
    <cellStyle name="Hipervínculo visitado" xfId="75" builtinId="9" hidden="1"/>
    <cellStyle name="Hipervínculo visitado" xfId="77" builtinId="9" hidden="1"/>
    <cellStyle name="Hipervínculo visitado" xfId="79" builtinId="9" hidden="1"/>
    <cellStyle name="Hipervínculo visitado" xfId="81" builtinId="9" hidden="1"/>
    <cellStyle name="Hipervínculo visitado" xfId="83" builtinId="9" hidden="1"/>
    <cellStyle name="Hipervínculo visitado" xfId="85" builtinId="9" hidden="1"/>
    <cellStyle name="Hipervínculo visitado" xfId="87" builtinId="9" hidden="1"/>
    <cellStyle name="Hipervínculo visitado" xfId="89" builtinId="9" hidden="1"/>
    <cellStyle name="Hipervínculo visitado" xfId="91" builtinId="9" hidden="1"/>
    <cellStyle name="Hipervínculo visitado" xfId="93" builtinId="9" hidden="1"/>
    <cellStyle name="Hipervínculo visitado" xfId="95" builtinId="9" hidden="1"/>
    <cellStyle name="Hipervínculo visitado" xfId="97" builtinId="9" hidden="1"/>
    <cellStyle name="Hipervínculo visitado" xfId="99" builtinId="9" hidden="1"/>
    <cellStyle name="Hipervínculo visitado" xfId="101" builtinId="9" hidden="1"/>
    <cellStyle name="Hipervínculo visitado" xfId="103" builtinId="9" hidden="1"/>
    <cellStyle name="Hipervínculo visitado" xfId="105" builtinId="9" hidden="1"/>
    <cellStyle name="Hipervínculo visitado" xfId="107" builtinId="9" hidden="1"/>
    <cellStyle name="Hipervínculo visitado" xfId="109" builtinId="9" hidden="1"/>
    <cellStyle name="Hipervínculo visitado" xfId="111" builtinId="9" hidden="1"/>
    <cellStyle name="Hipervínculo visitado" xfId="113" builtinId="9" hidden="1"/>
    <cellStyle name="Hipervínculo visitado" xfId="115" builtinId="9" hidden="1"/>
    <cellStyle name="Hipervínculo visitado" xfId="117" builtinId="9" hidden="1"/>
    <cellStyle name="Hipervínculo visitado" xfId="119" builtinId="9" hidden="1"/>
    <cellStyle name="Hipervínculo visitado" xfId="121" builtinId="9" hidden="1"/>
    <cellStyle name="Hipervínculo visitado" xfId="123" builtinId="9" hidden="1"/>
    <cellStyle name="Hipervínculo visitado" xfId="125" builtinId="9" hidden="1"/>
    <cellStyle name="Hipervínculo visitado" xfId="127" builtinId="9" hidden="1"/>
    <cellStyle name="Hipervínculo visitado" xfId="129" builtinId="9" hidden="1"/>
    <cellStyle name="Hipervínculo visitado" xfId="131" builtinId="9" hidden="1"/>
    <cellStyle name="Hipervínculo visitado" xfId="133" builtinId="9" hidden="1"/>
    <cellStyle name="Hipervínculo visitado" xfId="135" builtinId="9" hidden="1"/>
    <cellStyle name="Hipervínculo visitado" xfId="137" builtinId="9" hidden="1"/>
    <cellStyle name="Hipervínculo visitado" xfId="139" builtinId="9" hidden="1"/>
    <cellStyle name="Hipervínculo visitado" xfId="141" builtinId="9" hidden="1"/>
    <cellStyle name="Hipervínculo visitado" xfId="143" builtinId="9" hidden="1"/>
    <cellStyle name="Hipervínculo visitado" xfId="145" builtinId="9" hidden="1"/>
    <cellStyle name="Hipervínculo visitado" xfId="147" builtinId="9" hidden="1"/>
    <cellStyle name="Hipervínculo visitado" xfId="149" builtinId="9" hidden="1"/>
    <cellStyle name="Hipervínculo visitado" xfId="151" builtinId="9" hidden="1"/>
    <cellStyle name="Hipervínculo visitado" xfId="153" builtinId="9" hidden="1"/>
    <cellStyle name="Hipervínculo visitado" xfId="155" builtinId="9" hidden="1"/>
    <cellStyle name="Hipervínculo visitado" xfId="157" builtinId="9" hidden="1"/>
    <cellStyle name="Hipervínculo visitado" xfId="159" builtinId="9" hidden="1"/>
    <cellStyle name="Hipervínculo visitado" xfId="161" builtinId="9" hidden="1"/>
    <cellStyle name="Hipervínculo visitado" xfId="163" builtinId="9" hidden="1"/>
    <cellStyle name="Hipervínculo visitado" xfId="165" builtinId="9" hidden="1"/>
    <cellStyle name="Hipervínculo visitado" xfId="167" builtinId="9" hidden="1"/>
    <cellStyle name="Hipervínculo visitado" xfId="169" builtinId="9" hidden="1"/>
    <cellStyle name="Hipervínculo visitado" xfId="171" builtinId="9" hidden="1"/>
    <cellStyle name="Hipervínculo visitado" xfId="173" builtinId="9" hidden="1"/>
    <cellStyle name="Hipervínculo visitado" xfId="175" builtinId="9" hidden="1"/>
    <cellStyle name="Hipervínculo visitado" xfId="177" builtinId="9" hidden="1"/>
    <cellStyle name="Hipervínculo visitado" xfId="179" builtinId="9" hidden="1"/>
    <cellStyle name="Hipervínculo visitado" xfId="181" builtinId="9" hidden="1"/>
    <cellStyle name="Hipervínculo visitado" xfId="183" builtinId="9" hidden="1"/>
    <cellStyle name="Hipervínculo visitado" xfId="185" builtinId="9" hidden="1"/>
    <cellStyle name="Hipervínculo visitado" xfId="187" builtinId="9" hidden="1"/>
    <cellStyle name="Hipervínculo visitado" xfId="189" builtinId="9" hidden="1"/>
    <cellStyle name="Hipervínculo visitado" xfId="191" builtinId="9" hidden="1"/>
    <cellStyle name="Hipervínculo visitado" xfId="193" builtinId="9" hidden="1"/>
    <cellStyle name="Hipervínculo visitado" xfId="195" builtinId="9" hidden="1"/>
    <cellStyle name="Hipervínculo visitado" xfId="197" builtinId="9" hidden="1"/>
    <cellStyle name="Hipervínculo visitado" xfId="199" builtinId="9" hidden="1"/>
    <cellStyle name="Hipervínculo visitado" xfId="201" builtinId="9" hidden="1"/>
    <cellStyle name="Hipervínculo visitado" xfId="203" builtinId="9" hidden="1"/>
    <cellStyle name="Hipervínculo visitado" xfId="205" builtinId="9" hidden="1"/>
    <cellStyle name="Hipervínculo visitado" xfId="207" builtinId="9" hidden="1"/>
    <cellStyle name="Hipervínculo visitado" xfId="209" builtinId="9" hidden="1"/>
    <cellStyle name="Hipervínculo visitado" xfId="211" builtinId="9" hidden="1"/>
    <cellStyle name="Hipervínculo visitado" xfId="213" builtinId="9" hidden="1"/>
    <cellStyle name="Hipervínculo visitado" xfId="215" builtinId="9" hidden="1"/>
    <cellStyle name="Hipervínculo visitado" xfId="217" builtinId="9" hidden="1"/>
    <cellStyle name="Hipervínculo visitado" xfId="219" builtinId="9" hidden="1"/>
    <cellStyle name="Hipervínculo visitado" xfId="221" builtinId="9" hidden="1"/>
    <cellStyle name="Hipervínculo visitado" xfId="223" builtinId="9" hidden="1"/>
    <cellStyle name="Millares" xfId="2" builtinId="3"/>
    <cellStyle name="Millares [0]" xfId="8" builtinId="6"/>
    <cellStyle name="Normal" xfId="0" builtinId="0"/>
    <cellStyle name="Normal 2" xfId="17"/>
    <cellStyle name="Porcentaje" xfId="3" builtinId="5"/>
  </cellStyles>
  <dxfs count="158">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rgb="FFFF9A05"/>
        </patternFill>
      </fill>
    </dxf>
    <dxf>
      <fill>
        <patternFill>
          <bgColor rgb="FFFF00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s>
  <tableStyles count="0" defaultTableStyle="TableStyleMedium9" defaultPivotStyle="PivotStyleMedium4"/>
  <colors>
    <mruColors>
      <color rgb="FFFFFF00"/>
      <color rgb="FFFF9A05"/>
      <color rgb="FFFF0000"/>
      <color rgb="FFE19A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 IDENTIFICACIÓN DEL RIESGO ZONA FRANCA INTERNACIONAL DE PEREIRA</a:t>
            </a:r>
          </a:p>
          <a:p>
            <a:pPr>
              <a:defRPr/>
            </a:pPr>
            <a:r>
              <a:rPr lang="es-CO"/>
              <a:t>2018</a:t>
            </a:r>
            <a:r>
              <a:rPr lang="es-CO" baseline="0"/>
              <a:t> - 2019</a:t>
            </a:r>
            <a:endParaRPr lang="es-CO"/>
          </a:p>
        </c:rich>
      </c:tx>
      <c:layout/>
      <c:overlay val="0"/>
    </c:title>
    <c:autoTitleDeleted val="0"/>
    <c:plotArea>
      <c:layout/>
      <c:barChart>
        <c:barDir val="col"/>
        <c:grouping val="clustered"/>
        <c:varyColors val="0"/>
        <c:ser>
          <c:idx val="0"/>
          <c:order val="0"/>
          <c:tx>
            <c:strRef>
              <c:f>'Indicador Comparativo 2018-2019'!$C$39</c:f>
              <c:strCache>
                <c:ptCount val="1"/>
                <c:pt idx="0">
                  <c:v>2018</c:v>
                </c:pt>
              </c:strCache>
            </c:strRef>
          </c:tx>
          <c:invertIfNegative val="0"/>
          <c:dLbls>
            <c:spPr>
              <a:noFill/>
              <a:ln>
                <a:noFill/>
              </a:ln>
              <a:effectLst/>
            </c:spPr>
            <c:txPr>
              <a:bodyPr/>
              <a:lstStyle/>
              <a:p>
                <a:pPr>
                  <a:defRPr sz="1100"/>
                </a:pPr>
                <a:endParaRPr lang="es-CO"/>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strRef>
              <c:extLst>
                <c:ext xmlns:c15="http://schemas.microsoft.com/office/drawing/2012/chart" uri="{02D57815-91ED-43cb-92C2-25804820EDAC}">
                  <c15:fullRef>
                    <c15:sqref>'Indicador Comparativo 2018-2019'!$B$39:$B$44</c15:sqref>
                  </c15:fullRef>
                </c:ext>
              </c:extLst>
              <c:f>'Indicador Comparativo 2018-2019'!$B$40:$B$44</c:f>
              <c:strCache>
                <c:ptCount val="5"/>
                <c:pt idx="0">
                  <c:v>RIESGOS BAJOS </c:v>
                </c:pt>
                <c:pt idx="1">
                  <c:v>RIESGOS MEDIOS </c:v>
                </c:pt>
                <c:pt idx="2">
                  <c:v>RIESGOS ALTOS </c:v>
                </c:pt>
                <c:pt idx="3">
                  <c:v>Total </c:v>
                </c:pt>
                <c:pt idx="4">
                  <c:v>TOTAL OPORTUNIDADES</c:v>
                </c:pt>
              </c:strCache>
            </c:strRef>
          </c:cat>
          <c:val>
            <c:numRef>
              <c:extLst>
                <c:ext xmlns:c15="http://schemas.microsoft.com/office/drawing/2012/chart" uri="{02D57815-91ED-43cb-92C2-25804820EDAC}">
                  <c15:fullRef>
                    <c15:sqref>'Indicador Comparativo 2018-2019'!$C$39:$C$44</c15:sqref>
                  </c15:fullRef>
                </c:ext>
              </c:extLst>
              <c:f>'Indicador Comparativo 2018-2019'!$C$40:$C$44</c:f>
              <c:numCache>
                <c:formatCode>General</c:formatCode>
                <c:ptCount val="5"/>
                <c:pt idx="0">
                  <c:v>4</c:v>
                </c:pt>
                <c:pt idx="1">
                  <c:v>41</c:v>
                </c:pt>
                <c:pt idx="2">
                  <c:v>8</c:v>
                </c:pt>
                <c:pt idx="3">
                  <c:v>53</c:v>
                </c:pt>
                <c:pt idx="4">
                  <c:v>0</c:v>
                </c:pt>
              </c:numCache>
            </c:numRef>
          </c:val>
          <c:extLst xmlns:c16r2="http://schemas.microsoft.com/office/drawing/2015/06/chart">
            <c:ext xmlns:c16="http://schemas.microsoft.com/office/drawing/2014/chart" uri="{C3380CC4-5D6E-409C-BE32-E72D297353CC}">
              <c16:uniqueId val="{00000000-906D-487F-9A3E-958FB3684DBA}"/>
            </c:ext>
          </c:extLst>
        </c:ser>
        <c:ser>
          <c:idx val="1"/>
          <c:order val="1"/>
          <c:tx>
            <c:strRef>
              <c:f>'Indicador Comparativo 2018-2019'!$D$39</c:f>
              <c:strCache>
                <c:ptCount val="1"/>
                <c:pt idx="0">
                  <c:v>2019</c:v>
                </c:pt>
              </c:strCache>
            </c:strRef>
          </c:tx>
          <c:invertIfNegative val="0"/>
          <c:dLbls>
            <c:dLbl>
              <c:idx val="0"/>
              <c:layout>
                <c:manualLayout>
                  <c:x val="0"/>
                  <c:y val="-3.3425500202247306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906D-487F-9A3E-958FB3684DBA}"/>
                </c:ext>
                <c:ext xmlns:c15="http://schemas.microsoft.com/office/drawing/2012/chart" uri="{CE6537A1-D6FC-4f65-9D91-7224C49458BB}"/>
              </c:extLst>
            </c:dLbl>
            <c:dLbl>
              <c:idx val="2"/>
              <c:layout>
                <c:manualLayout>
                  <c:x val="-1.0003227362867955E-16"/>
                  <c:y val="-1.8801843863764111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906D-487F-9A3E-958FB3684DBA}"/>
                </c:ext>
                <c:ext xmlns:c15="http://schemas.microsoft.com/office/drawing/2012/chart" uri="{CE6537A1-D6FC-4f65-9D91-7224C49458BB}"/>
              </c:extLst>
            </c:dLbl>
            <c:spPr>
              <a:noFill/>
              <a:ln>
                <a:noFill/>
              </a:ln>
              <a:effectLst/>
            </c:spPr>
            <c:txPr>
              <a:bodyPr/>
              <a:lstStyle/>
              <a:p>
                <a:pPr>
                  <a:defRPr sz="1100" b="1"/>
                </a:pPr>
                <a:endParaRPr lang="es-CO"/>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extLst>
                <c:ext xmlns:c15="http://schemas.microsoft.com/office/drawing/2012/chart" uri="{02D57815-91ED-43cb-92C2-25804820EDAC}">
                  <c15:fullRef>
                    <c15:sqref>'Indicador Comparativo 2018-2019'!$B$39:$B$44</c15:sqref>
                  </c15:fullRef>
                </c:ext>
              </c:extLst>
              <c:f>'Indicador Comparativo 2018-2019'!$B$40:$B$44</c:f>
              <c:strCache>
                <c:ptCount val="5"/>
                <c:pt idx="0">
                  <c:v>TIPO DE RIESGO/AÑO</c:v>
                </c:pt>
                <c:pt idx="1">
                  <c:v>RIESGOS BAJOS </c:v>
                </c:pt>
                <c:pt idx="2">
                  <c:v>RIESGOS MEDIOS </c:v>
                </c:pt>
                <c:pt idx="3">
                  <c:v>RIESGOS ALTOS </c:v>
                </c:pt>
                <c:pt idx="4">
                  <c:v>Total </c:v>
                </c:pt>
                <c:pt idx="5">
                  <c:v>TOTAL OPORTUNIDADES</c:v>
                </c:pt>
              </c:strCache>
            </c:strRef>
          </c:cat>
          <c:val>
            <c:numRef>
              <c:extLst>
                <c:ext xmlns:c15="http://schemas.microsoft.com/office/drawing/2012/chart" uri="{02D57815-91ED-43cb-92C2-25804820EDAC}">
                  <c15:fullRef>
                    <c15:sqref>'Indicador Comparativo 2018-2019'!$D$39:$D$44</c15:sqref>
                  </c15:fullRef>
                </c:ext>
              </c:extLst>
              <c:f>'Indicador Comparativo 2018-2019'!$D$40:$D$44</c:f>
            </c:numRef>
          </c:val>
          <c:extLst xmlns:c16r2="http://schemas.microsoft.com/office/drawing/2015/06/chart">
            <c:ext xmlns:c16="http://schemas.microsoft.com/office/drawing/2014/chart" uri="{C3380CC4-5D6E-409C-BE32-E72D297353CC}">
              <c16:uniqueId val="{00000003-906D-487F-9A3E-958FB3684DBA}"/>
            </c:ext>
          </c:extLst>
        </c:ser>
        <c:ser>
          <c:idx val="2"/>
          <c:order val="2"/>
          <c:tx>
            <c:strRef>
              <c:f>'Indicador Comparativo 2018-2019'!$E$39</c:f>
              <c:strCache>
                <c:ptCount val="1"/>
                <c:pt idx="0">
                  <c:v>2019</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extLst>
                <c:ext xmlns:c15="http://schemas.microsoft.com/office/drawing/2012/chart" uri="{02D57815-91ED-43cb-92C2-25804820EDAC}">
                  <c15:fullRef>
                    <c15:sqref>'Indicador Comparativo 2018-2019'!$B$39:$B$44</c15:sqref>
                  </c15:fullRef>
                </c:ext>
              </c:extLst>
              <c:f>'Indicador Comparativo 2018-2019'!$B$40:$B$44</c:f>
              <c:strCache>
                <c:ptCount val="5"/>
                <c:pt idx="0">
                  <c:v>RIESGOS BAJOS </c:v>
                </c:pt>
                <c:pt idx="1">
                  <c:v>RIESGOS MEDIOS </c:v>
                </c:pt>
                <c:pt idx="2">
                  <c:v>RIESGOS ALTOS </c:v>
                </c:pt>
                <c:pt idx="3">
                  <c:v>Total </c:v>
                </c:pt>
                <c:pt idx="4">
                  <c:v>TOTAL OPORTUNIDADES</c:v>
                </c:pt>
              </c:strCache>
            </c:strRef>
          </c:cat>
          <c:val>
            <c:numRef>
              <c:extLst>
                <c:ext xmlns:c15="http://schemas.microsoft.com/office/drawing/2012/chart" uri="{02D57815-91ED-43cb-92C2-25804820EDAC}">
                  <c15:fullRef>
                    <c15:sqref>'Indicador Comparativo 2018-2019'!$E$39:$E$44</c15:sqref>
                  </c15:fullRef>
                </c:ext>
              </c:extLst>
              <c:f>'Indicador Comparativo 2018-2019'!$E$40:$E$44</c:f>
              <c:numCache>
                <c:formatCode>General</c:formatCode>
                <c:ptCount val="5"/>
                <c:pt idx="0">
                  <c:v>5</c:v>
                </c:pt>
                <c:pt idx="1">
                  <c:v>56</c:v>
                </c:pt>
                <c:pt idx="2">
                  <c:v>3</c:v>
                </c:pt>
                <c:pt idx="3">
                  <c:v>64</c:v>
                </c:pt>
                <c:pt idx="4">
                  <c:v>15</c:v>
                </c:pt>
              </c:numCache>
            </c:numRef>
          </c:val>
        </c:ser>
        <c:dLbls>
          <c:dLblPos val="outEnd"/>
          <c:showLegendKey val="0"/>
          <c:showVal val="1"/>
          <c:showCatName val="0"/>
          <c:showSerName val="0"/>
          <c:showPercent val="0"/>
          <c:showBubbleSize val="0"/>
        </c:dLbls>
        <c:gapWidth val="150"/>
        <c:axId val="-193791280"/>
        <c:axId val="-193794544"/>
      </c:barChart>
      <c:catAx>
        <c:axId val="-193791280"/>
        <c:scaling>
          <c:orientation val="minMax"/>
        </c:scaling>
        <c:delete val="0"/>
        <c:axPos val="b"/>
        <c:numFmt formatCode="General" sourceLinked="0"/>
        <c:majorTickMark val="out"/>
        <c:minorTickMark val="none"/>
        <c:tickLblPos val="nextTo"/>
        <c:txPr>
          <a:bodyPr/>
          <a:lstStyle/>
          <a:p>
            <a:pPr>
              <a:defRPr sz="1200" b="1"/>
            </a:pPr>
            <a:endParaRPr lang="es-CO"/>
          </a:p>
        </c:txPr>
        <c:crossAx val="-193794544"/>
        <c:crosses val="autoZero"/>
        <c:auto val="1"/>
        <c:lblAlgn val="ctr"/>
        <c:lblOffset val="100"/>
        <c:noMultiLvlLbl val="0"/>
      </c:catAx>
      <c:valAx>
        <c:axId val="-193794544"/>
        <c:scaling>
          <c:orientation val="minMax"/>
        </c:scaling>
        <c:delete val="0"/>
        <c:axPos val="l"/>
        <c:majorGridlines/>
        <c:title>
          <c:tx>
            <c:rich>
              <a:bodyPr rot="-5400000" vert="horz"/>
              <a:lstStyle/>
              <a:p>
                <a:pPr>
                  <a:defRPr sz="1800"/>
                </a:pPr>
                <a:r>
                  <a:rPr lang="es-CO" sz="1800"/>
                  <a:t>Número</a:t>
                </a:r>
                <a:r>
                  <a:rPr lang="es-CO" sz="1800" baseline="0"/>
                  <a:t> de Riesgos</a:t>
                </a:r>
                <a:endParaRPr lang="es-CO" sz="1800"/>
              </a:p>
            </c:rich>
          </c:tx>
          <c:layout/>
          <c:overlay val="0"/>
        </c:title>
        <c:numFmt formatCode="General" sourceLinked="1"/>
        <c:majorTickMark val="out"/>
        <c:minorTickMark val="none"/>
        <c:tickLblPos val="nextTo"/>
        <c:crossAx val="-19379128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552450" y="76200"/>
    <xdr:ext cx="9284368" cy="6096000"/>
    <xdr:graphicFrame macro="">
      <xdr:nvGraphicFramePr>
        <xdr:cNvPr id="2" name="1 Gráfico"/>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THINK\Documents\Sistema%20Integado%20de%20Gesti&#243;n\SIG\Sistema%20Integrado%20de%20Gesti&#243;n\Planeacci&#243;n%20estrategica&#61480;\Revisi&#243;n%20por%20la%20gerencia&#61480;\2018\Riesgo%20por%20proces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Users\THINK\Documents\Sistema%20Integado%20de%20Gesti&#243;n\SIG\Sistema%20Integrado%20de%20Gesti&#243;n\Planeacci&#243;n%20estrategica&#61480;\Revisi&#243;n%20por%20la%20gerencia&#61480;\2019\Riesgo%20por%20proceso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esgos por procesos 2017"/>
      <sheetName val="Riesgos por procesos 2018"/>
      <sheetName val="Hoja3"/>
      <sheetName val="Riesgos por procesos 2019"/>
    </sheetNames>
    <sheetDataSet>
      <sheetData sheetId="0" refreshError="1"/>
      <sheetData sheetId="1" refreshError="1">
        <row r="13">
          <cell r="C13">
            <v>8</v>
          </cell>
          <cell r="D13">
            <v>41</v>
          </cell>
          <cell r="E13">
            <v>4</v>
          </cell>
        </row>
      </sheetData>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esgos por procesos 2017"/>
      <sheetName val="Riesgos por procesos 2018"/>
      <sheetName val="Riesgos por procesos 2019"/>
      <sheetName val="Hoja3"/>
    </sheetNames>
    <sheetDataSet>
      <sheetData sheetId="0"/>
      <sheetData sheetId="1"/>
      <sheetData sheetId="2">
        <row r="13">
          <cell r="C13">
            <v>5</v>
          </cell>
          <cell r="D13">
            <v>44</v>
          </cell>
          <cell r="E13">
            <v>5</v>
          </cell>
        </row>
      </sheetData>
      <sheetData sheetId="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B1:AO82"/>
  <sheetViews>
    <sheetView showGridLines="0" view="pageBreakPreview" topLeftCell="A16" zoomScale="60" zoomScaleNormal="25" zoomScalePageLayoutView="75" workbookViewId="0">
      <selection activeCell="AD18" sqref="AD18"/>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0" width="16.28515625" style="24" customWidth="1"/>
    <col min="21" max="21" width="18" style="24" customWidth="1"/>
    <col min="22"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72" t="s">
        <v>111</v>
      </c>
      <c r="C2" s="373"/>
      <c r="D2" s="373"/>
      <c r="E2" s="373"/>
      <c r="F2" s="373"/>
      <c r="G2" s="373"/>
      <c r="H2" s="373"/>
      <c r="I2" s="373"/>
      <c r="J2" s="373"/>
      <c r="K2" s="373"/>
      <c r="L2" s="373"/>
      <c r="M2" s="373"/>
      <c r="N2" s="373"/>
      <c r="O2" s="373"/>
      <c r="P2" s="373"/>
      <c r="Q2" s="373"/>
      <c r="R2" s="373"/>
      <c r="S2" s="373"/>
      <c r="T2" s="373"/>
      <c r="U2" s="373"/>
      <c r="V2" s="373"/>
      <c r="W2" s="373"/>
      <c r="X2" s="373"/>
      <c r="Y2" s="373"/>
      <c r="Z2" s="373"/>
      <c r="AA2" s="373"/>
      <c r="AB2" s="373"/>
      <c r="AC2" s="373"/>
      <c r="AD2" s="373"/>
      <c r="AE2" s="373"/>
      <c r="AF2" s="31"/>
    </row>
    <row r="3" spans="2:41" s="29" customFormat="1" ht="66" customHeight="1" thickBot="1" x14ac:dyDescent="0.25">
      <c r="B3" s="374" t="s">
        <v>39</v>
      </c>
      <c r="C3" s="375"/>
      <c r="D3" s="375"/>
      <c r="E3" s="375"/>
      <c r="F3" s="375"/>
      <c r="G3" s="374" t="s">
        <v>110</v>
      </c>
      <c r="H3" s="375"/>
      <c r="I3" s="375"/>
      <c r="J3" s="375"/>
      <c r="K3" s="375"/>
      <c r="L3" s="375"/>
      <c r="M3" s="375"/>
      <c r="N3" s="376"/>
      <c r="O3" s="374" t="s">
        <v>109</v>
      </c>
      <c r="P3" s="375"/>
      <c r="Q3" s="375"/>
      <c r="R3" s="375"/>
      <c r="S3" s="375"/>
      <c r="T3" s="376"/>
      <c r="U3" s="374" t="s">
        <v>40</v>
      </c>
      <c r="V3" s="375"/>
      <c r="W3" s="375"/>
      <c r="X3" s="375"/>
      <c r="Y3" s="375"/>
      <c r="Z3" s="375"/>
      <c r="AA3" s="376"/>
      <c r="AB3" s="374" t="s">
        <v>37</v>
      </c>
      <c r="AC3" s="375"/>
      <c r="AD3" s="375"/>
      <c r="AE3" s="376"/>
      <c r="AF3" s="32"/>
    </row>
    <row r="4" spans="2:41" s="29" customFormat="1" ht="72" customHeight="1" thickBot="1" x14ac:dyDescent="0.25">
      <c r="B4" s="377" t="s">
        <v>38</v>
      </c>
      <c r="C4" s="378"/>
      <c r="D4" s="378"/>
      <c r="E4" s="378"/>
      <c r="F4" s="378"/>
      <c r="G4" s="379">
        <v>42874</v>
      </c>
      <c r="H4" s="380"/>
      <c r="I4" s="380"/>
      <c r="J4" s="380"/>
      <c r="K4" s="380"/>
      <c r="L4" s="380"/>
      <c r="M4" s="380"/>
      <c r="N4" s="381"/>
      <c r="O4" s="382">
        <v>43700</v>
      </c>
      <c r="P4" s="383"/>
      <c r="Q4" s="383"/>
      <c r="R4" s="383"/>
      <c r="S4" s="383"/>
      <c r="T4" s="384"/>
      <c r="U4" s="377">
        <v>4</v>
      </c>
      <c r="V4" s="378"/>
      <c r="W4" s="378"/>
      <c r="X4" s="378"/>
      <c r="Y4" s="378"/>
      <c r="Z4" s="378"/>
      <c r="AA4" s="385"/>
      <c r="AB4" s="377" t="s">
        <v>52</v>
      </c>
      <c r="AC4" s="378"/>
      <c r="AD4" s="378"/>
      <c r="AE4" s="385"/>
      <c r="AF4" s="113"/>
    </row>
    <row r="5" spans="2:41" s="29" customFormat="1" ht="32.1" customHeight="1" thickBot="1" x14ac:dyDescent="0.25">
      <c r="B5" s="370" t="s">
        <v>921</v>
      </c>
      <c r="C5" s="371"/>
      <c r="D5" s="371"/>
      <c r="E5" s="371"/>
      <c r="F5" s="371"/>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113"/>
    </row>
    <row r="6" spans="2:41" s="29" customFormat="1" ht="54.95" customHeight="1" thickBot="1" x14ac:dyDescent="0.25">
      <c r="B6" s="396" t="s">
        <v>0</v>
      </c>
      <c r="C6" s="397"/>
      <c r="D6" s="397"/>
      <c r="E6" s="397"/>
      <c r="F6" s="397"/>
      <c r="G6" s="397"/>
      <c r="H6" s="397"/>
      <c r="I6" s="398"/>
      <c r="J6" s="399" t="s">
        <v>62</v>
      </c>
      <c r="K6" s="400"/>
      <c r="L6" s="400"/>
      <c r="M6" s="400"/>
      <c r="N6" s="401"/>
      <c r="O6" s="405" t="s">
        <v>94</v>
      </c>
      <c r="P6" s="406"/>
      <c r="Q6" s="407" t="s">
        <v>63</v>
      </c>
      <c r="R6" s="408"/>
      <c r="S6" s="408"/>
      <c r="T6" s="408"/>
      <c r="U6" s="409"/>
      <c r="V6" s="413" t="s">
        <v>58</v>
      </c>
      <c r="W6" s="414"/>
      <c r="X6" s="414"/>
      <c r="Y6" s="414"/>
      <c r="Z6" s="414"/>
      <c r="AA6" s="414"/>
      <c r="AB6" s="414"/>
      <c r="AC6" s="414"/>
      <c r="AD6" s="414"/>
      <c r="AE6" s="415"/>
    </row>
    <row r="7" spans="2:41" s="29" customFormat="1" ht="90" customHeight="1" thickBot="1" x14ac:dyDescent="0.25">
      <c r="B7" s="416" t="s">
        <v>8</v>
      </c>
      <c r="C7" s="417" t="s">
        <v>60</v>
      </c>
      <c r="D7" s="417" t="s">
        <v>91</v>
      </c>
      <c r="E7" s="77" t="s">
        <v>61</v>
      </c>
      <c r="F7" s="43" t="s">
        <v>9</v>
      </c>
      <c r="G7" s="43" t="s">
        <v>104</v>
      </c>
      <c r="H7" s="43" t="s">
        <v>10</v>
      </c>
      <c r="I7" s="96" t="s">
        <v>59</v>
      </c>
      <c r="J7" s="402"/>
      <c r="K7" s="403"/>
      <c r="L7" s="403"/>
      <c r="M7" s="403"/>
      <c r="N7" s="404"/>
      <c r="O7" s="419" t="s">
        <v>103</v>
      </c>
      <c r="P7" s="420"/>
      <c r="Q7" s="410"/>
      <c r="R7" s="411"/>
      <c r="S7" s="411"/>
      <c r="T7" s="411"/>
      <c r="U7" s="412"/>
      <c r="V7" s="421" t="s">
        <v>96</v>
      </c>
      <c r="W7" s="422"/>
      <c r="X7" s="422"/>
      <c r="Y7" s="423"/>
      <c r="Z7" s="428" t="s">
        <v>53</v>
      </c>
      <c r="AA7" s="429"/>
      <c r="AB7" s="429"/>
      <c r="AC7" s="429"/>
      <c r="AD7" s="430"/>
      <c r="AE7" s="431" t="s">
        <v>25</v>
      </c>
      <c r="AG7" s="386" t="s">
        <v>45</v>
      </c>
      <c r="AH7" s="386"/>
      <c r="AI7" s="386"/>
      <c r="AJ7" s="386"/>
      <c r="AK7" s="29" t="s">
        <v>67</v>
      </c>
      <c r="AL7" s="29" t="s">
        <v>68</v>
      </c>
    </row>
    <row r="8" spans="2:41" s="29" customFormat="1" ht="202.5" customHeight="1" thickBot="1" x14ac:dyDescent="0.25">
      <c r="B8" s="416"/>
      <c r="C8" s="418"/>
      <c r="D8" s="418"/>
      <c r="E8" s="78" t="s">
        <v>7</v>
      </c>
      <c r="F8" s="23" t="s">
        <v>64</v>
      </c>
      <c r="G8" s="23" t="s">
        <v>13</v>
      </c>
      <c r="H8" s="23" t="s">
        <v>65</v>
      </c>
      <c r="I8" s="23" t="s">
        <v>66</v>
      </c>
      <c r="J8" s="97" t="s">
        <v>11</v>
      </c>
      <c r="K8" s="103" t="s">
        <v>12</v>
      </c>
      <c r="L8" s="98" t="s">
        <v>1</v>
      </c>
      <c r="M8" s="103" t="s">
        <v>2</v>
      </c>
      <c r="N8" s="107" t="s">
        <v>95</v>
      </c>
      <c r="O8" s="105" t="s">
        <v>92</v>
      </c>
      <c r="P8" s="106" t="s">
        <v>93</v>
      </c>
      <c r="Q8" s="102" t="s">
        <v>11</v>
      </c>
      <c r="R8" s="103" t="s">
        <v>12</v>
      </c>
      <c r="S8" s="103" t="s">
        <v>1</v>
      </c>
      <c r="T8" s="103" t="s">
        <v>2</v>
      </c>
      <c r="U8" s="104" t="s">
        <v>102</v>
      </c>
      <c r="V8" s="99" t="s">
        <v>97</v>
      </c>
      <c r="W8" s="100" t="s">
        <v>98</v>
      </c>
      <c r="X8" s="100" t="s">
        <v>99</v>
      </c>
      <c r="Y8" s="101" t="s">
        <v>100</v>
      </c>
      <c r="Z8" s="133" t="s">
        <v>54</v>
      </c>
      <c r="AA8" s="134" t="s">
        <v>55</v>
      </c>
      <c r="AB8" s="135" t="s">
        <v>56</v>
      </c>
      <c r="AC8" s="134" t="s">
        <v>57</v>
      </c>
      <c r="AD8" s="136" t="s">
        <v>101</v>
      </c>
      <c r="AE8" s="432"/>
      <c r="AG8" s="74" t="s">
        <v>41</v>
      </c>
      <c r="AH8" s="75" t="s">
        <v>42</v>
      </c>
      <c r="AI8" s="75" t="s">
        <v>43</v>
      </c>
      <c r="AJ8" s="76" t="s">
        <v>44</v>
      </c>
      <c r="AK8" s="87" t="s">
        <v>85</v>
      </c>
      <c r="AL8" s="87" t="s">
        <v>85</v>
      </c>
      <c r="AM8" s="29" t="s">
        <v>71</v>
      </c>
      <c r="AN8" s="29" t="s">
        <v>72</v>
      </c>
      <c r="AO8" s="92"/>
    </row>
    <row r="9" spans="2:41" s="29" customFormat="1" ht="235.5" customHeight="1" x14ac:dyDescent="0.2">
      <c r="B9" s="387" t="s">
        <v>73</v>
      </c>
      <c r="C9" s="79" t="s">
        <v>71</v>
      </c>
      <c r="D9" s="95" t="s">
        <v>77</v>
      </c>
      <c r="E9" s="46" t="s">
        <v>112</v>
      </c>
      <c r="F9" s="117" t="s">
        <v>113</v>
      </c>
      <c r="G9" s="117" t="s">
        <v>114</v>
      </c>
      <c r="H9" s="117" t="s">
        <v>115</v>
      </c>
      <c r="I9" s="117" t="s">
        <v>116</v>
      </c>
      <c r="J9" s="88">
        <v>2</v>
      </c>
      <c r="K9" s="88" t="str">
        <f t="shared" ref="K9:K16" si="0">IF(J9=3,"ALTO",IF(J9=2,"MEDIO",IF(J9="N/A","N/A","BAJO")))</f>
        <v>MEDIO</v>
      </c>
      <c r="L9" s="44">
        <v>20</v>
      </c>
      <c r="M9" s="88" t="str">
        <f t="shared" ref="M9:M17" si="1">IF(L9=20,"ALTO",IF(L9=10,"MEDIO",IF(L9="N/A","N/A","BAJO")))</f>
        <v>ALTO</v>
      </c>
      <c r="N9" s="90">
        <f>J9*L9</f>
        <v>40</v>
      </c>
      <c r="O9" s="120" t="s">
        <v>117</v>
      </c>
      <c r="P9" s="121" t="s">
        <v>884</v>
      </c>
      <c r="Q9" s="88">
        <v>2</v>
      </c>
      <c r="R9" s="88" t="str">
        <f>IF(Q9=3,"ALTO",IF(Q9=2,"MEDIO",IF(Q9="N/A","N/A","BAJO")))</f>
        <v>MEDIO</v>
      </c>
      <c r="S9" s="88">
        <v>10</v>
      </c>
      <c r="T9" s="88" t="str">
        <f>IF(S9=20,"ALTO",IF(S9=10,"MEDIO",IF(S9="N/A","N/A","BAJO")))</f>
        <v>MEDIO</v>
      </c>
      <c r="U9" s="108">
        <f>Q9*S9</f>
        <v>20</v>
      </c>
      <c r="V9" s="59"/>
      <c r="W9" s="59" t="s">
        <v>118</v>
      </c>
      <c r="X9" s="59"/>
      <c r="Y9" s="59"/>
      <c r="Z9" s="122" t="s">
        <v>119</v>
      </c>
      <c r="AA9" s="123" t="s">
        <v>885</v>
      </c>
      <c r="AB9" s="124" t="s">
        <v>120</v>
      </c>
      <c r="AC9" s="124" t="s">
        <v>121</v>
      </c>
      <c r="AD9" s="117" t="s">
        <v>968</v>
      </c>
      <c r="AE9" s="390">
        <v>43818</v>
      </c>
      <c r="AG9" s="51">
        <v>1</v>
      </c>
      <c r="AH9" s="52"/>
      <c r="AI9" s="52"/>
      <c r="AJ9" s="50">
        <f>SUM(AG9:AI9)</f>
        <v>1</v>
      </c>
      <c r="AK9" s="29">
        <v>1</v>
      </c>
      <c r="AL9" s="29">
        <v>5</v>
      </c>
      <c r="AM9" s="29" t="s">
        <v>74</v>
      </c>
      <c r="AN9" s="29" t="s">
        <v>76</v>
      </c>
      <c r="AO9" s="93"/>
    </row>
    <row r="10" spans="2:41" s="29" customFormat="1" ht="214.5" customHeight="1" x14ac:dyDescent="0.2">
      <c r="B10" s="388"/>
      <c r="C10" s="80" t="s">
        <v>71</v>
      </c>
      <c r="D10" s="115" t="s">
        <v>77</v>
      </c>
      <c r="E10" s="45" t="s">
        <v>122</v>
      </c>
      <c r="F10" s="118" t="s">
        <v>123</v>
      </c>
      <c r="G10" s="118" t="s">
        <v>124</v>
      </c>
      <c r="H10" s="118" t="s">
        <v>125</v>
      </c>
      <c r="I10" s="118" t="s">
        <v>126</v>
      </c>
      <c r="J10" s="88">
        <v>2</v>
      </c>
      <c r="K10" s="57" t="str">
        <f t="shared" si="0"/>
        <v>MEDIO</v>
      </c>
      <c r="L10" s="57">
        <v>20</v>
      </c>
      <c r="M10" s="57" t="str">
        <f t="shared" si="1"/>
        <v>ALTO</v>
      </c>
      <c r="N10" s="89">
        <f t="shared" ref="N10:N18" si="2">J10*L10</f>
        <v>40</v>
      </c>
      <c r="O10" s="118" t="s">
        <v>127</v>
      </c>
      <c r="P10" s="132" t="s">
        <v>886</v>
      </c>
      <c r="Q10" s="88">
        <v>2</v>
      </c>
      <c r="R10" s="88" t="str">
        <f t="shared" ref="R10:R18" si="3">IF(Q10=3,"ALTO",IF(Q10=2,"MEDIO",IF(Q10="N/A","N/A","BAJO")))</f>
        <v>MEDIO</v>
      </c>
      <c r="S10" s="57">
        <v>10</v>
      </c>
      <c r="T10" s="88" t="str">
        <f t="shared" ref="T10:T18" si="4">IF(S10=20,"ALTO",IF(S10=10,"MEDIO",IF(S10="N/A","N/A","BAJO")))</f>
        <v>MEDIO</v>
      </c>
      <c r="U10" s="89">
        <f t="shared" ref="U10:U18" si="5">Q10*S10</f>
        <v>20</v>
      </c>
      <c r="V10" s="59"/>
      <c r="W10" s="59" t="s">
        <v>118</v>
      </c>
      <c r="X10" s="59"/>
      <c r="Y10" s="59"/>
      <c r="Z10" s="125" t="s">
        <v>128</v>
      </c>
      <c r="AA10" s="126" t="s">
        <v>129</v>
      </c>
      <c r="AB10" s="127" t="s">
        <v>130</v>
      </c>
      <c r="AC10" s="127" t="s">
        <v>121</v>
      </c>
      <c r="AD10" s="128" t="s">
        <v>131</v>
      </c>
      <c r="AE10" s="391"/>
      <c r="AG10" s="114"/>
      <c r="AH10" s="115">
        <v>1</v>
      </c>
      <c r="AI10" s="115"/>
      <c r="AJ10" s="116">
        <f t="shared" ref="AJ10:AJ30" si="6">SUM(AG10:AI10)</f>
        <v>1</v>
      </c>
      <c r="AK10" s="29">
        <v>2</v>
      </c>
      <c r="AL10" s="29">
        <v>10</v>
      </c>
      <c r="AN10" s="29" t="s">
        <v>77</v>
      </c>
      <c r="AO10" s="93"/>
    </row>
    <row r="11" spans="2:41" s="29" customFormat="1" ht="145.5" customHeight="1" x14ac:dyDescent="0.2">
      <c r="B11" s="388"/>
      <c r="C11" s="80" t="s">
        <v>71</v>
      </c>
      <c r="D11" s="115" t="s">
        <v>89</v>
      </c>
      <c r="E11" s="45" t="s">
        <v>132</v>
      </c>
      <c r="F11" s="118" t="s">
        <v>133</v>
      </c>
      <c r="G11" s="118" t="s">
        <v>134</v>
      </c>
      <c r="H11" s="118" t="s">
        <v>135</v>
      </c>
      <c r="I11" s="118" t="s">
        <v>136</v>
      </c>
      <c r="J11" s="88">
        <v>2</v>
      </c>
      <c r="K11" s="57" t="str">
        <f t="shared" si="0"/>
        <v>MEDIO</v>
      </c>
      <c r="L11" s="57">
        <v>20</v>
      </c>
      <c r="M11" s="57" t="str">
        <f t="shared" si="1"/>
        <v>ALTO</v>
      </c>
      <c r="N11" s="89">
        <f t="shared" si="2"/>
        <v>40</v>
      </c>
      <c r="O11" s="118" t="s">
        <v>137</v>
      </c>
      <c r="P11" s="132" t="s">
        <v>862</v>
      </c>
      <c r="Q11" s="88">
        <v>1</v>
      </c>
      <c r="R11" s="88" t="str">
        <f t="shared" si="3"/>
        <v>BAJO</v>
      </c>
      <c r="S11" s="57">
        <v>20</v>
      </c>
      <c r="T11" s="88" t="str">
        <f t="shared" si="4"/>
        <v>ALTO</v>
      </c>
      <c r="U11" s="89">
        <f t="shared" si="5"/>
        <v>20</v>
      </c>
      <c r="V11" s="59"/>
      <c r="W11" s="59" t="s">
        <v>118</v>
      </c>
      <c r="X11" s="59"/>
      <c r="Y11" s="59"/>
      <c r="Z11" s="125" t="s">
        <v>138</v>
      </c>
      <c r="AA11" s="126" t="s">
        <v>139</v>
      </c>
      <c r="AB11" s="127" t="s">
        <v>140</v>
      </c>
      <c r="AC11" s="127" t="s">
        <v>121</v>
      </c>
      <c r="AD11" s="128" t="s">
        <v>969</v>
      </c>
      <c r="AE11" s="391"/>
      <c r="AG11" s="114">
        <v>1</v>
      </c>
      <c r="AH11" s="115"/>
      <c r="AI11" s="115"/>
      <c r="AJ11" s="116">
        <f t="shared" si="6"/>
        <v>1</v>
      </c>
      <c r="AK11" s="29">
        <v>3</v>
      </c>
      <c r="AL11" s="29">
        <v>20</v>
      </c>
      <c r="AN11" s="29" t="s">
        <v>88</v>
      </c>
      <c r="AO11" s="93"/>
    </row>
    <row r="12" spans="2:41" s="29" customFormat="1" ht="129" customHeight="1" x14ac:dyDescent="0.2">
      <c r="B12" s="388"/>
      <c r="C12" s="156" t="s">
        <v>71</v>
      </c>
      <c r="D12" s="157" t="s">
        <v>88</v>
      </c>
      <c r="E12" s="45" t="s">
        <v>141</v>
      </c>
      <c r="F12" s="118" t="s">
        <v>142</v>
      </c>
      <c r="G12" s="118" t="s">
        <v>143</v>
      </c>
      <c r="H12" s="118" t="s">
        <v>144</v>
      </c>
      <c r="I12" s="118" t="s">
        <v>145</v>
      </c>
      <c r="J12" s="57">
        <v>3</v>
      </c>
      <c r="K12" s="57" t="str">
        <f t="shared" si="0"/>
        <v>ALTO</v>
      </c>
      <c r="L12" s="160">
        <v>10</v>
      </c>
      <c r="M12" s="57" t="str">
        <f t="shared" si="1"/>
        <v>MEDIO</v>
      </c>
      <c r="N12" s="89">
        <f t="shared" si="2"/>
        <v>30</v>
      </c>
      <c r="O12" s="201" t="s">
        <v>146</v>
      </c>
      <c r="P12" s="201" t="s">
        <v>887</v>
      </c>
      <c r="Q12" s="57">
        <v>1</v>
      </c>
      <c r="R12" s="88" t="str">
        <f t="shared" si="3"/>
        <v>BAJO</v>
      </c>
      <c r="S12" s="160">
        <v>5</v>
      </c>
      <c r="T12" s="88" t="str">
        <f t="shared" si="4"/>
        <v>BAJO</v>
      </c>
      <c r="U12" s="89">
        <f t="shared" si="5"/>
        <v>5</v>
      </c>
      <c r="V12" s="165"/>
      <c r="W12" s="165" t="s">
        <v>118</v>
      </c>
      <c r="X12" s="165"/>
      <c r="Y12" s="165"/>
      <c r="Z12" s="125" t="s">
        <v>147</v>
      </c>
      <c r="AA12" s="126" t="s">
        <v>148</v>
      </c>
      <c r="AB12" s="126" t="s">
        <v>120</v>
      </c>
      <c r="AC12" s="126" t="s">
        <v>121</v>
      </c>
      <c r="AD12" s="125" t="s">
        <v>985</v>
      </c>
      <c r="AE12" s="391"/>
      <c r="AG12" s="174"/>
      <c r="AH12" s="175"/>
      <c r="AI12" s="175"/>
      <c r="AJ12" s="176"/>
      <c r="AN12" s="29" t="s">
        <v>89</v>
      </c>
      <c r="AO12" s="93"/>
    </row>
    <row r="13" spans="2:41" s="29" customFormat="1" ht="129" customHeight="1" x14ac:dyDescent="0.2">
      <c r="B13" s="388"/>
      <c r="C13" s="156" t="s">
        <v>71</v>
      </c>
      <c r="D13" s="157" t="s">
        <v>72</v>
      </c>
      <c r="E13" s="45" t="s">
        <v>258</v>
      </c>
      <c r="F13" s="118" t="s">
        <v>863</v>
      </c>
      <c r="G13" s="118" t="s">
        <v>853</v>
      </c>
      <c r="H13" s="118" t="s">
        <v>888</v>
      </c>
      <c r="I13" s="118" t="s">
        <v>854</v>
      </c>
      <c r="J13" s="57">
        <v>3</v>
      </c>
      <c r="K13" s="57" t="str">
        <f t="shared" si="0"/>
        <v>ALTO</v>
      </c>
      <c r="L13" s="57">
        <v>10</v>
      </c>
      <c r="M13" s="57" t="str">
        <f t="shared" si="1"/>
        <v>MEDIO</v>
      </c>
      <c r="N13" s="89">
        <f t="shared" si="2"/>
        <v>30</v>
      </c>
      <c r="O13" s="201" t="s">
        <v>889</v>
      </c>
      <c r="P13" s="201" t="s">
        <v>890</v>
      </c>
      <c r="Q13" s="57">
        <v>2</v>
      </c>
      <c r="R13" s="88" t="str">
        <f t="shared" si="3"/>
        <v>MEDIO</v>
      </c>
      <c r="S13" s="57">
        <v>10</v>
      </c>
      <c r="T13" s="88" t="str">
        <f t="shared" si="4"/>
        <v>MEDIO</v>
      </c>
      <c r="U13" s="89">
        <f t="shared" si="5"/>
        <v>20</v>
      </c>
      <c r="V13" s="165" t="s">
        <v>118</v>
      </c>
      <c r="W13" s="165"/>
      <c r="X13" s="165"/>
      <c r="Y13" s="165"/>
      <c r="Z13" s="125" t="s">
        <v>891</v>
      </c>
      <c r="AA13" s="126" t="s">
        <v>892</v>
      </c>
      <c r="AB13" s="126" t="s">
        <v>271</v>
      </c>
      <c r="AC13" s="126" t="s">
        <v>121</v>
      </c>
      <c r="AD13" s="125" t="s">
        <v>986</v>
      </c>
      <c r="AE13" s="391"/>
      <c r="AG13" s="174"/>
      <c r="AH13" s="175"/>
      <c r="AI13" s="175"/>
      <c r="AJ13" s="176"/>
      <c r="AN13" s="29" t="s">
        <v>90</v>
      </c>
      <c r="AO13" s="93"/>
    </row>
    <row r="14" spans="2:41" s="29" customFormat="1" ht="147.75" customHeight="1" x14ac:dyDescent="0.2">
      <c r="B14" s="388"/>
      <c r="C14" s="156" t="s">
        <v>71</v>
      </c>
      <c r="D14" s="157" t="s">
        <v>72</v>
      </c>
      <c r="E14" s="45" t="s">
        <v>259</v>
      </c>
      <c r="F14" s="118" t="s">
        <v>893</v>
      </c>
      <c r="G14" s="118" t="s">
        <v>894</v>
      </c>
      <c r="H14" s="118" t="s">
        <v>895</v>
      </c>
      <c r="I14" s="118" t="s">
        <v>855</v>
      </c>
      <c r="J14" s="57">
        <v>3</v>
      </c>
      <c r="K14" s="57" t="str">
        <f t="shared" si="0"/>
        <v>ALTO</v>
      </c>
      <c r="L14" s="57">
        <v>10</v>
      </c>
      <c r="M14" s="57" t="str">
        <f t="shared" si="1"/>
        <v>MEDIO</v>
      </c>
      <c r="N14" s="89">
        <f t="shared" si="2"/>
        <v>30</v>
      </c>
      <c r="O14" s="201" t="s">
        <v>864</v>
      </c>
      <c r="P14" s="201" t="s">
        <v>865</v>
      </c>
      <c r="Q14" s="57">
        <v>2</v>
      </c>
      <c r="R14" s="88" t="str">
        <f t="shared" si="3"/>
        <v>MEDIO</v>
      </c>
      <c r="S14" s="57">
        <v>10</v>
      </c>
      <c r="T14" s="88" t="str">
        <f t="shared" si="4"/>
        <v>MEDIO</v>
      </c>
      <c r="U14" s="89">
        <f t="shared" si="5"/>
        <v>20</v>
      </c>
      <c r="V14" s="165" t="s">
        <v>118</v>
      </c>
      <c r="W14" s="165"/>
      <c r="X14" s="165"/>
      <c r="Y14" s="165"/>
      <c r="Z14" s="125" t="s">
        <v>896</v>
      </c>
      <c r="AA14" s="126" t="s">
        <v>897</v>
      </c>
      <c r="AB14" s="126" t="s">
        <v>860</v>
      </c>
      <c r="AC14" s="126" t="s">
        <v>121</v>
      </c>
      <c r="AD14" s="125" t="s">
        <v>970</v>
      </c>
      <c r="AE14" s="391"/>
      <c r="AG14" s="174"/>
      <c r="AH14" s="175"/>
      <c r="AI14" s="175"/>
      <c r="AJ14" s="176"/>
      <c r="AO14" s="93"/>
    </row>
    <row r="15" spans="2:41" s="29" customFormat="1" ht="191.25" customHeight="1" x14ac:dyDescent="0.2">
      <c r="B15" s="388"/>
      <c r="C15" s="156" t="s">
        <v>71</v>
      </c>
      <c r="D15" s="157" t="s">
        <v>76</v>
      </c>
      <c r="E15" s="197" t="s">
        <v>859</v>
      </c>
      <c r="F15" s="198" t="s">
        <v>866</v>
      </c>
      <c r="G15" s="118" t="s">
        <v>853</v>
      </c>
      <c r="H15" s="118" t="s">
        <v>898</v>
      </c>
      <c r="I15" s="118" t="s">
        <v>854</v>
      </c>
      <c r="J15" s="178">
        <v>3</v>
      </c>
      <c r="K15" s="57" t="str">
        <f t="shared" si="0"/>
        <v>ALTO</v>
      </c>
      <c r="L15" s="178">
        <v>10</v>
      </c>
      <c r="M15" s="57" t="str">
        <f t="shared" si="1"/>
        <v>MEDIO</v>
      </c>
      <c r="N15" s="206">
        <f t="shared" si="2"/>
        <v>30</v>
      </c>
      <c r="O15" s="199" t="s">
        <v>899</v>
      </c>
      <c r="P15" s="200" t="s">
        <v>867</v>
      </c>
      <c r="Q15" s="178">
        <v>2</v>
      </c>
      <c r="R15" s="88" t="str">
        <f t="shared" si="3"/>
        <v>MEDIO</v>
      </c>
      <c r="S15" s="57">
        <v>10</v>
      </c>
      <c r="T15" s="88" t="str">
        <f t="shared" si="4"/>
        <v>MEDIO</v>
      </c>
      <c r="U15" s="89">
        <f t="shared" si="5"/>
        <v>20</v>
      </c>
      <c r="V15" s="179" t="s">
        <v>118</v>
      </c>
      <c r="W15" s="179"/>
      <c r="X15" s="179"/>
      <c r="Y15" s="179"/>
      <c r="Z15" s="202" t="s">
        <v>900</v>
      </c>
      <c r="AA15" s="203" t="s">
        <v>901</v>
      </c>
      <c r="AB15" s="204" t="s">
        <v>902</v>
      </c>
      <c r="AC15" s="126" t="s">
        <v>121</v>
      </c>
      <c r="AD15" s="205" t="s">
        <v>903</v>
      </c>
      <c r="AE15" s="391"/>
      <c r="AG15" s="174"/>
      <c r="AH15" s="175"/>
      <c r="AI15" s="175"/>
      <c r="AJ15" s="176"/>
      <c r="AO15" s="93"/>
    </row>
    <row r="16" spans="2:41" s="29" customFormat="1" ht="141.75" customHeight="1" x14ac:dyDescent="0.2">
      <c r="B16" s="388"/>
      <c r="C16" s="156" t="s">
        <v>74</v>
      </c>
      <c r="D16" s="157" t="s">
        <v>72</v>
      </c>
      <c r="E16" s="45" t="s">
        <v>261</v>
      </c>
      <c r="F16" s="118" t="s">
        <v>904</v>
      </c>
      <c r="G16" s="118" t="s">
        <v>905</v>
      </c>
      <c r="H16" s="118" t="s">
        <v>906</v>
      </c>
      <c r="I16" s="118" t="s">
        <v>907</v>
      </c>
      <c r="J16" s="57" t="s">
        <v>85</v>
      </c>
      <c r="K16" s="57" t="str">
        <f t="shared" si="0"/>
        <v>N/A</v>
      </c>
      <c r="L16" s="57" t="s">
        <v>85</v>
      </c>
      <c r="M16" s="57" t="str">
        <f t="shared" si="1"/>
        <v>N/A</v>
      </c>
      <c r="N16" s="89" t="e">
        <f t="shared" si="2"/>
        <v>#VALUE!</v>
      </c>
      <c r="O16" s="234"/>
      <c r="P16" s="232"/>
      <c r="Q16" s="57" t="s">
        <v>85</v>
      </c>
      <c r="R16" s="88" t="str">
        <f t="shared" si="3"/>
        <v>N/A</v>
      </c>
      <c r="S16" s="57" t="s">
        <v>85</v>
      </c>
      <c r="T16" s="88" t="str">
        <f t="shared" si="4"/>
        <v>N/A</v>
      </c>
      <c r="U16" s="89" t="e">
        <f t="shared" si="5"/>
        <v>#VALUE!</v>
      </c>
      <c r="V16" s="233"/>
      <c r="W16" s="233"/>
      <c r="X16" s="233"/>
      <c r="Y16" s="233"/>
      <c r="Z16" s="125" t="s">
        <v>908</v>
      </c>
      <c r="AA16" s="126" t="s">
        <v>129</v>
      </c>
      <c r="AB16" s="126" t="s">
        <v>909</v>
      </c>
      <c r="AC16" s="126" t="s">
        <v>121</v>
      </c>
      <c r="AD16" s="128" t="s">
        <v>987</v>
      </c>
      <c r="AE16" s="391"/>
      <c r="AG16" s="174"/>
      <c r="AH16" s="175"/>
      <c r="AI16" s="175"/>
      <c r="AJ16" s="176"/>
      <c r="AO16" s="93"/>
    </row>
    <row r="17" spans="2:41" s="29" customFormat="1" ht="145.5" x14ac:dyDescent="0.2">
      <c r="B17" s="388"/>
      <c r="C17" s="156" t="s">
        <v>74</v>
      </c>
      <c r="D17" s="157" t="s">
        <v>76</v>
      </c>
      <c r="E17" s="158" t="s">
        <v>262</v>
      </c>
      <c r="F17" s="159" t="s">
        <v>914</v>
      </c>
      <c r="G17" s="159" t="s">
        <v>911</v>
      </c>
      <c r="H17" s="159" t="s">
        <v>912</v>
      </c>
      <c r="I17" s="159" t="s">
        <v>916</v>
      </c>
      <c r="J17" s="160" t="s">
        <v>85</v>
      </c>
      <c r="K17" s="57" t="str">
        <f>IF(J17=3,"ALTO",IF(J17=2,"MEDIO",IF(J17="N/A","N/A","BAJO")))</f>
        <v>N/A</v>
      </c>
      <c r="L17" s="160" t="s">
        <v>85</v>
      </c>
      <c r="M17" s="57" t="str">
        <f t="shared" si="1"/>
        <v>N/A</v>
      </c>
      <c r="N17" s="206" t="e">
        <f t="shared" si="2"/>
        <v>#VALUE!</v>
      </c>
      <c r="O17" s="235"/>
      <c r="P17" s="236"/>
      <c r="Q17" s="160" t="s">
        <v>85</v>
      </c>
      <c r="R17" s="88" t="str">
        <f t="shared" si="3"/>
        <v>N/A</v>
      </c>
      <c r="S17" s="57" t="s">
        <v>85</v>
      </c>
      <c r="T17" s="88" t="str">
        <f t="shared" si="4"/>
        <v>N/A</v>
      </c>
      <c r="U17" s="89" t="e">
        <f t="shared" si="5"/>
        <v>#VALUE!</v>
      </c>
      <c r="V17" s="238"/>
      <c r="W17" s="238"/>
      <c r="X17" s="238"/>
      <c r="Y17" s="238"/>
      <c r="Z17" s="162" t="s">
        <v>918</v>
      </c>
      <c r="AA17" s="195" t="s">
        <v>919</v>
      </c>
      <c r="AB17" s="126" t="s">
        <v>909</v>
      </c>
      <c r="AC17" s="126" t="s">
        <v>121</v>
      </c>
      <c r="AD17" s="164" t="s">
        <v>920</v>
      </c>
      <c r="AE17" s="391"/>
      <c r="AG17" s="174"/>
      <c r="AH17" s="175"/>
      <c r="AI17" s="175"/>
      <c r="AJ17" s="176"/>
      <c r="AO17" s="93"/>
    </row>
    <row r="18" spans="2:41" s="29" customFormat="1" ht="153" customHeight="1" thickBot="1" x14ac:dyDescent="0.25">
      <c r="B18" s="389"/>
      <c r="C18" s="81" t="s">
        <v>74</v>
      </c>
      <c r="D18" s="82" t="s">
        <v>76</v>
      </c>
      <c r="E18" s="33" t="s">
        <v>260</v>
      </c>
      <c r="F18" s="119" t="s">
        <v>910</v>
      </c>
      <c r="G18" s="119" t="s">
        <v>911</v>
      </c>
      <c r="H18" s="119" t="s">
        <v>912</v>
      </c>
      <c r="I18" s="119" t="s">
        <v>915</v>
      </c>
      <c r="J18" s="58" t="s">
        <v>85</v>
      </c>
      <c r="K18" s="58" t="str">
        <f>IF(J18=3,"ALTO",IF(J18=2,"MEDIO",IF(J18="N/A","N/A","BAJO")))</f>
        <v>N/A</v>
      </c>
      <c r="L18" s="58" t="s">
        <v>85</v>
      </c>
      <c r="M18" s="58" t="str">
        <f>IF(L18=20,"ALTO",IF(L18=10,"MEDIO",IF(L18="N/A","N/A","BAJO")))</f>
        <v>N/A</v>
      </c>
      <c r="N18" s="91" t="e">
        <f t="shared" si="2"/>
        <v>#VALUE!</v>
      </c>
      <c r="O18" s="237"/>
      <c r="P18" s="237"/>
      <c r="Q18" s="58" t="s">
        <v>85</v>
      </c>
      <c r="R18" s="58" t="str">
        <f t="shared" si="3"/>
        <v>N/A</v>
      </c>
      <c r="S18" s="58" t="s">
        <v>85</v>
      </c>
      <c r="T18" s="58" t="str">
        <f t="shared" si="4"/>
        <v>N/A</v>
      </c>
      <c r="U18" s="91" t="e">
        <f t="shared" si="5"/>
        <v>#VALUE!</v>
      </c>
      <c r="V18" s="194"/>
      <c r="W18" s="194"/>
      <c r="X18" s="194"/>
      <c r="Y18" s="194"/>
      <c r="Z18" s="129" t="s">
        <v>917</v>
      </c>
      <c r="AA18" s="130" t="s">
        <v>913</v>
      </c>
      <c r="AB18" s="130" t="s">
        <v>909</v>
      </c>
      <c r="AC18" s="130" t="s">
        <v>121</v>
      </c>
      <c r="AD18" s="129" t="s">
        <v>971</v>
      </c>
      <c r="AE18" s="392"/>
      <c r="AG18" s="114">
        <v>1</v>
      </c>
      <c r="AH18" s="115"/>
      <c r="AI18" s="115"/>
      <c r="AJ18" s="116">
        <f t="shared" si="6"/>
        <v>1</v>
      </c>
      <c r="AK18" s="29">
        <v>4</v>
      </c>
      <c r="AO18" s="93"/>
    </row>
    <row r="19" spans="2:41" s="29" customFormat="1" ht="31.5" customHeight="1" thickBot="1" x14ac:dyDescent="0.25">
      <c r="B19" s="24"/>
      <c r="C19" s="24"/>
      <c r="D19" s="24"/>
      <c r="E19" s="24"/>
      <c r="F19" s="24"/>
      <c r="G19" s="24"/>
      <c r="H19" s="24"/>
      <c r="I19" s="24"/>
      <c r="J19" s="24"/>
      <c r="K19" s="24"/>
      <c r="L19" s="24"/>
      <c r="M19" s="24"/>
      <c r="N19" s="24"/>
      <c r="O19" s="24"/>
      <c r="P19" s="24"/>
      <c r="Q19" s="24"/>
      <c r="R19" s="24"/>
      <c r="S19" s="24"/>
      <c r="T19" s="24"/>
      <c r="U19" s="24"/>
      <c r="V19" s="24"/>
      <c r="W19" s="24"/>
      <c r="X19" s="24"/>
      <c r="Y19" s="24"/>
      <c r="Z19" s="24"/>
      <c r="AA19" s="24"/>
      <c r="AB19" s="24"/>
      <c r="AC19" s="24"/>
      <c r="AD19" s="86"/>
      <c r="AE19" s="47"/>
      <c r="AG19" s="114"/>
      <c r="AH19" s="115">
        <v>1</v>
      </c>
      <c r="AI19" s="115"/>
      <c r="AJ19" s="116">
        <f t="shared" si="6"/>
        <v>1</v>
      </c>
      <c r="AO19" s="94"/>
    </row>
    <row r="20" spans="2:41" s="29" customFormat="1" ht="129" customHeight="1" thickBot="1" x14ac:dyDescent="0.25">
      <c r="B20" s="24"/>
      <c r="C20" s="24"/>
      <c r="D20" s="24"/>
      <c r="E20" s="24"/>
      <c r="F20" s="110"/>
      <c r="G20" s="110"/>
      <c r="H20" s="448" t="s">
        <v>268</v>
      </c>
      <c r="I20" s="449"/>
      <c r="J20" s="449"/>
      <c r="K20" s="450"/>
      <c r="L20" s="24"/>
      <c r="M20" s="393" t="s">
        <v>861</v>
      </c>
      <c r="N20" s="394"/>
      <c r="O20" s="394"/>
      <c r="P20" s="395"/>
      <c r="Q20" s="111"/>
      <c r="R20" s="24"/>
      <c r="S20" s="24"/>
      <c r="T20" s="24"/>
      <c r="U20" s="24"/>
      <c r="V20" s="24"/>
      <c r="W20" s="24"/>
      <c r="X20" s="24"/>
      <c r="Y20" s="24"/>
      <c r="Z20" s="24"/>
      <c r="AA20" s="24"/>
      <c r="AB20" s="24"/>
      <c r="AC20" s="24"/>
      <c r="AD20" s="24"/>
      <c r="AE20" s="42"/>
      <c r="AG20" s="114">
        <v>1</v>
      </c>
      <c r="AH20" s="115"/>
      <c r="AI20" s="115"/>
      <c r="AJ20" s="116">
        <f t="shared" si="6"/>
        <v>1</v>
      </c>
      <c r="AK20" s="29" t="s">
        <v>86</v>
      </c>
      <c r="AO20" s="434" t="s">
        <v>78</v>
      </c>
    </row>
    <row r="21" spans="2:41" s="29" customFormat="1" ht="46.5" customHeight="1" x14ac:dyDescent="0.2">
      <c r="B21" s="24"/>
      <c r="C21" s="24"/>
      <c r="D21" s="24"/>
      <c r="E21" s="24"/>
      <c r="F21" s="424"/>
      <c r="G21" s="424"/>
      <c r="H21" s="451" t="s">
        <v>149</v>
      </c>
      <c r="I21" s="452"/>
      <c r="J21" s="26">
        <f>COUNTIF(U9:U18,"=5")</f>
        <v>1</v>
      </c>
      <c r="K21" s="27">
        <f>J21*100%/J24</f>
        <v>0.14285714285714285</v>
      </c>
      <c r="L21" s="24"/>
      <c r="M21" s="443" t="s">
        <v>106</v>
      </c>
      <c r="N21" s="444"/>
      <c r="O21" s="444" t="s">
        <v>49</v>
      </c>
      <c r="P21" s="445"/>
      <c r="Q21" s="112"/>
      <c r="R21" s="24"/>
      <c r="S21" s="24"/>
      <c r="T21" s="24"/>
      <c r="U21" s="24"/>
      <c r="V21" s="24"/>
      <c r="W21" s="24"/>
      <c r="X21" s="24"/>
      <c r="Y21" s="24"/>
      <c r="Z21" s="24"/>
      <c r="AA21" s="24"/>
      <c r="AB21" s="24"/>
      <c r="AC21" s="24"/>
      <c r="AD21" s="24"/>
      <c r="AE21" s="42"/>
      <c r="AG21" s="114">
        <v>1</v>
      </c>
      <c r="AH21" s="115"/>
      <c r="AI21" s="115"/>
      <c r="AJ21" s="116">
        <f t="shared" si="6"/>
        <v>1</v>
      </c>
      <c r="AK21" s="29" t="s">
        <v>87</v>
      </c>
      <c r="AO21" s="435"/>
    </row>
    <row r="22" spans="2:41" s="29" customFormat="1" ht="46.5" customHeight="1" x14ac:dyDescent="0.2">
      <c r="B22" s="24"/>
      <c r="C22" s="24"/>
      <c r="D22" s="24"/>
      <c r="E22" s="24"/>
      <c r="F22" s="424"/>
      <c r="G22" s="424"/>
      <c r="H22" s="451" t="s">
        <v>150</v>
      </c>
      <c r="I22" s="452"/>
      <c r="J22" s="26">
        <f>COUNTIFS(U9:U18,"&gt;=6",U9:U18,"&lt;=30")</f>
        <v>6</v>
      </c>
      <c r="K22" s="27">
        <f>J22*100%/J24</f>
        <v>0.8571428571428571</v>
      </c>
      <c r="L22" s="24"/>
      <c r="M22" s="446" t="s">
        <v>107</v>
      </c>
      <c r="N22" s="447"/>
      <c r="O22" s="447" t="s">
        <v>50</v>
      </c>
      <c r="P22" s="455"/>
      <c r="Q22" s="112"/>
      <c r="R22" s="24"/>
      <c r="S22" s="24"/>
      <c r="T22" s="24"/>
      <c r="U22" s="24"/>
      <c r="V22" s="24"/>
      <c r="W22" s="24"/>
      <c r="X22" s="24"/>
      <c r="Y22" s="24"/>
      <c r="Z22" s="24"/>
      <c r="AA22" s="24"/>
      <c r="AB22" s="24"/>
      <c r="AC22" s="24"/>
      <c r="AD22" s="24"/>
      <c r="AE22" s="42"/>
      <c r="AG22" s="114">
        <v>1</v>
      </c>
      <c r="AH22" s="115"/>
      <c r="AI22" s="115"/>
      <c r="AJ22" s="116">
        <f t="shared" si="6"/>
        <v>1</v>
      </c>
      <c r="AO22" s="435"/>
    </row>
    <row r="23" spans="2:41" s="29" customFormat="1" ht="46.5" customHeight="1" thickBot="1" x14ac:dyDescent="0.25">
      <c r="B23" s="24"/>
      <c r="C23" s="24"/>
      <c r="D23" s="24"/>
      <c r="E23" s="24"/>
      <c r="F23" s="424"/>
      <c r="G23" s="424"/>
      <c r="H23" s="451" t="s">
        <v>151</v>
      </c>
      <c r="I23" s="452"/>
      <c r="J23" s="26">
        <f>COUNTIFS(U10:U19,"&gt;=40",U10:U19,"&lt;=60")</f>
        <v>0</v>
      </c>
      <c r="K23" s="27">
        <f>J23*100%/J24</f>
        <v>0</v>
      </c>
      <c r="L23" s="24"/>
      <c r="M23" s="425" t="s">
        <v>108</v>
      </c>
      <c r="N23" s="426"/>
      <c r="O23" s="426" t="s">
        <v>20</v>
      </c>
      <c r="P23" s="427"/>
      <c r="Q23" s="112"/>
      <c r="R23" s="24"/>
      <c r="S23" s="24"/>
      <c r="T23" s="24"/>
      <c r="U23" s="24"/>
      <c r="V23" s="24"/>
      <c r="W23" s="24"/>
      <c r="X23" s="24"/>
      <c r="Y23" s="24"/>
      <c r="Z23" s="24"/>
      <c r="AA23" s="24"/>
      <c r="AB23" s="24"/>
      <c r="AC23" s="24"/>
      <c r="AD23" s="24"/>
      <c r="AE23" s="42"/>
      <c r="AG23" s="114">
        <v>1</v>
      </c>
      <c r="AH23" s="115"/>
      <c r="AI23" s="115"/>
      <c r="AJ23" s="116">
        <f t="shared" si="6"/>
        <v>1</v>
      </c>
      <c r="AO23" s="435"/>
    </row>
    <row r="24" spans="2:41" s="29" customFormat="1" ht="46.5" customHeight="1" thickBot="1" x14ac:dyDescent="0.25">
      <c r="B24" s="24"/>
      <c r="C24" s="24"/>
      <c r="D24" s="24"/>
      <c r="E24" s="24"/>
      <c r="F24" s="433"/>
      <c r="G24" s="433"/>
      <c r="H24" s="453" t="s">
        <v>152</v>
      </c>
      <c r="I24" s="454"/>
      <c r="J24" s="243">
        <f>+J21+J23+J22</f>
        <v>7</v>
      </c>
      <c r="K24" s="138">
        <f>K21+K22+K23</f>
        <v>1</v>
      </c>
      <c r="L24" s="24"/>
      <c r="M24" s="24"/>
      <c r="N24" s="24"/>
      <c r="O24" s="24"/>
      <c r="P24" s="24"/>
      <c r="Q24" s="24"/>
      <c r="R24" s="24"/>
      <c r="S24" s="24"/>
      <c r="T24" s="24"/>
      <c r="U24" s="24"/>
      <c r="V24" s="24"/>
      <c r="W24" s="24"/>
      <c r="X24" s="24"/>
      <c r="Y24" s="24"/>
      <c r="Z24" s="24"/>
      <c r="AA24" s="24"/>
      <c r="AB24" s="24"/>
      <c r="AC24" s="24"/>
      <c r="AD24" s="24"/>
      <c r="AE24" s="42"/>
      <c r="AG24" s="114">
        <v>1</v>
      </c>
      <c r="AH24" s="115"/>
      <c r="AI24" s="115"/>
      <c r="AJ24" s="116">
        <f t="shared" si="6"/>
        <v>1</v>
      </c>
      <c r="AO24" s="435"/>
    </row>
    <row r="25" spans="2:41" s="29" customFormat="1" ht="75" customHeight="1" thickBot="1" x14ac:dyDescent="0.25">
      <c r="B25" s="24"/>
      <c r="C25" s="24"/>
      <c r="D25" s="24"/>
      <c r="E25" s="24"/>
      <c r="F25" s="24"/>
      <c r="G25" s="24"/>
      <c r="H25" s="456" t="s">
        <v>269</v>
      </c>
      <c r="I25" s="457"/>
      <c r="J25" s="244">
        <f>COUNTIF(Q9:Q18,"N/A")</f>
        <v>3</v>
      </c>
      <c r="K25" s="245" t="str">
        <f>IF(J25&gt;=1,"100%",0)</f>
        <v>100%</v>
      </c>
      <c r="L25" s="24"/>
      <c r="M25" s="24"/>
      <c r="N25" s="24"/>
      <c r="O25" s="24"/>
      <c r="P25" s="24"/>
      <c r="Q25" s="24"/>
      <c r="R25" s="24"/>
      <c r="S25" s="24"/>
      <c r="T25" s="24"/>
      <c r="U25" s="24"/>
      <c r="V25" s="24"/>
      <c r="W25" s="24"/>
      <c r="X25" s="24"/>
      <c r="Y25" s="24"/>
      <c r="Z25" s="24"/>
      <c r="AA25" s="24"/>
      <c r="AB25" s="24"/>
      <c r="AC25" s="24"/>
      <c r="AD25" s="24"/>
      <c r="AE25" s="42"/>
      <c r="AG25" s="114"/>
      <c r="AH25" s="115">
        <v>1</v>
      </c>
      <c r="AI25" s="115"/>
      <c r="AJ25" s="116">
        <f t="shared" si="6"/>
        <v>1</v>
      </c>
      <c r="AO25" s="435"/>
    </row>
    <row r="26" spans="2:41" s="29" customFormat="1" ht="97.5" customHeight="1" x14ac:dyDescent="0.2">
      <c r="B26" s="24"/>
      <c r="C26" s="83"/>
      <c r="D26" s="83"/>
      <c r="E26" s="83"/>
      <c r="F26" s="83"/>
      <c r="G26" s="84"/>
      <c r="H26" s="84"/>
      <c r="I26" s="83"/>
      <c r="J26" s="24"/>
      <c r="K26" s="24"/>
      <c r="L26" s="24"/>
      <c r="M26" s="24"/>
      <c r="N26" s="24"/>
      <c r="O26" s="24"/>
      <c r="P26" s="24"/>
      <c r="Q26" s="24"/>
      <c r="R26" s="24"/>
      <c r="S26" s="24"/>
      <c r="T26" s="24"/>
      <c r="U26" s="24"/>
      <c r="V26" s="24"/>
      <c r="W26" s="24"/>
      <c r="X26" s="24"/>
      <c r="Y26" s="24"/>
      <c r="Z26" s="24"/>
      <c r="AA26" s="24"/>
      <c r="AB26" s="24"/>
      <c r="AC26" s="24"/>
      <c r="AD26" s="24"/>
      <c r="AE26" s="42"/>
      <c r="AG26" s="114"/>
      <c r="AH26" s="115">
        <v>1</v>
      </c>
      <c r="AI26" s="115"/>
      <c r="AJ26" s="116">
        <f t="shared" si="6"/>
        <v>1</v>
      </c>
      <c r="AO26" s="435"/>
    </row>
    <row r="27" spans="2:41" s="29" customFormat="1" ht="107.25" customHeight="1" thickBot="1" x14ac:dyDescent="0.25">
      <c r="B27" s="24"/>
      <c r="C27" s="83"/>
      <c r="D27" s="83"/>
      <c r="E27" s="83"/>
      <c r="F27" s="84"/>
      <c r="G27" s="84"/>
      <c r="H27" s="84"/>
      <c r="I27" s="84"/>
      <c r="J27" s="24"/>
      <c r="K27" s="24"/>
      <c r="L27" s="24"/>
      <c r="M27" s="24"/>
      <c r="N27" s="24"/>
      <c r="O27" s="24"/>
      <c r="P27" s="24"/>
      <c r="Q27" s="24"/>
      <c r="R27" s="24"/>
      <c r="S27" s="24"/>
      <c r="T27" s="24"/>
      <c r="U27" s="24"/>
      <c r="V27" s="24"/>
      <c r="W27" s="24"/>
      <c r="X27" s="24"/>
      <c r="Y27" s="24"/>
      <c r="Z27" s="24"/>
      <c r="AA27" s="24"/>
      <c r="AB27" s="24"/>
      <c r="AC27" s="24"/>
      <c r="AD27" s="24"/>
      <c r="AE27" s="42"/>
      <c r="AG27" s="114">
        <v>1</v>
      </c>
      <c r="AH27" s="115"/>
      <c r="AI27" s="115"/>
      <c r="AJ27" s="116">
        <f t="shared" si="6"/>
        <v>1</v>
      </c>
      <c r="AO27" s="436"/>
    </row>
    <row r="28" spans="2:41" s="28" customFormat="1" ht="80.25" customHeight="1" x14ac:dyDescent="0.2">
      <c r="B28" s="24"/>
      <c r="C28" s="83"/>
      <c r="D28" s="83"/>
      <c r="E28" s="85"/>
      <c r="F28" s="85"/>
      <c r="G28" s="85"/>
      <c r="H28" s="85"/>
      <c r="I28" s="85"/>
      <c r="J28" s="24"/>
      <c r="K28" s="24"/>
      <c r="L28" s="24"/>
      <c r="M28" s="24"/>
      <c r="N28" s="24"/>
      <c r="O28" s="24"/>
      <c r="P28" s="24"/>
      <c r="Q28" s="24"/>
      <c r="R28" s="24"/>
      <c r="S28" s="24"/>
      <c r="T28" s="24"/>
      <c r="U28" s="24"/>
      <c r="V28" s="24"/>
      <c r="W28" s="24"/>
      <c r="X28" s="24"/>
      <c r="Y28" s="24"/>
      <c r="Z28" s="24"/>
      <c r="AA28" s="24"/>
      <c r="AB28" s="24"/>
      <c r="AC28" s="24"/>
      <c r="AD28" s="24"/>
      <c r="AE28" s="42"/>
      <c r="AG28" s="39"/>
      <c r="AH28" s="49"/>
      <c r="AI28" s="49"/>
      <c r="AJ28" s="40"/>
      <c r="AO28" s="434" t="s">
        <v>79</v>
      </c>
    </row>
    <row r="29" spans="2:41" s="29" customFormat="1" ht="101.25" customHeight="1" x14ac:dyDescent="0.2">
      <c r="B29" s="24"/>
      <c r="C29" s="84"/>
      <c r="D29" s="84"/>
      <c r="E29" s="48"/>
      <c r="F29" s="48"/>
      <c r="G29" s="48"/>
      <c r="H29" s="48"/>
      <c r="I29" s="48"/>
      <c r="J29" s="24"/>
      <c r="K29" s="24"/>
      <c r="L29" s="24"/>
      <c r="M29" s="24"/>
      <c r="N29" s="24"/>
      <c r="O29" s="24"/>
      <c r="P29" s="24"/>
      <c r="Q29" s="24"/>
      <c r="R29" s="24"/>
      <c r="S29" s="24"/>
      <c r="T29" s="24"/>
      <c r="U29" s="24"/>
      <c r="V29" s="24"/>
      <c r="W29" s="24"/>
      <c r="X29" s="24"/>
      <c r="Y29" s="24"/>
      <c r="Z29" s="24"/>
      <c r="AA29" s="24"/>
      <c r="AB29" s="24"/>
      <c r="AC29" s="24"/>
      <c r="AD29" s="24"/>
      <c r="AE29" s="42"/>
      <c r="AG29" s="114">
        <v>1</v>
      </c>
      <c r="AH29" s="115"/>
      <c r="AI29" s="115"/>
      <c r="AJ29" s="116">
        <f t="shared" si="6"/>
        <v>1</v>
      </c>
      <c r="AO29" s="435"/>
    </row>
    <row r="30" spans="2:41" s="29" customFormat="1" ht="109.5" customHeight="1" x14ac:dyDescent="0.2">
      <c r="B30" s="24"/>
      <c r="C30" s="84"/>
      <c r="D30" s="84"/>
      <c r="I30" s="24"/>
      <c r="J30" s="24"/>
      <c r="K30" s="24"/>
      <c r="L30" s="24"/>
      <c r="M30" s="24"/>
      <c r="N30" s="24"/>
      <c r="O30" s="24"/>
      <c r="P30" s="24"/>
      <c r="Q30" s="24"/>
      <c r="R30" s="24"/>
      <c r="S30" s="24"/>
      <c r="T30" s="24"/>
      <c r="U30" s="24"/>
      <c r="V30" s="24"/>
      <c r="W30" s="24"/>
      <c r="X30" s="24"/>
      <c r="Y30" s="24"/>
      <c r="Z30" s="24"/>
      <c r="AA30" s="24"/>
      <c r="AB30" s="24"/>
      <c r="AC30" s="24"/>
      <c r="AD30" s="24"/>
      <c r="AE30" s="42"/>
      <c r="AG30" s="114"/>
      <c r="AH30" s="115">
        <v>1</v>
      </c>
      <c r="AI30" s="115"/>
      <c r="AJ30" s="116">
        <f t="shared" si="6"/>
        <v>1</v>
      </c>
      <c r="AO30" s="435"/>
    </row>
    <row r="31" spans="2:41" s="29" customFormat="1" ht="67.5" customHeight="1" x14ac:dyDescent="0.2">
      <c r="B31" s="24"/>
      <c r="C31" s="84"/>
      <c r="D31" s="84"/>
      <c r="H31" s="24"/>
      <c r="I31" s="24"/>
      <c r="J31" s="24"/>
      <c r="K31" s="24"/>
      <c r="L31" s="24"/>
      <c r="M31" s="24"/>
      <c r="N31" s="24"/>
      <c r="O31" s="24"/>
      <c r="P31" s="24"/>
      <c r="Q31" s="24"/>
      <c r="R31" s="24"/>
      <c r="S31" s="24"/>
      <c r="T31" s="24"/>
      <c r="U31" s="24"/>
      <c r="V31" s="24"/>
      <c r="W31" s="24"/>
      <c r="X31" s="24"/>
      <c r="Y31" s="24"/>
      <c r="Z31" s="24"/>
      <c r="AA31" s="24"/>
      <c r="AB31" s="24"/>
      <c r="AC31" s="24"/>
      <c r="AD31" s="24"/>
      <c r="AE31" s="42"/>
      <c r="AG31" s="114"/>
      <c r="AH31" s="115">
        <v>1</v>
      </c>
      <c r="AI31" s="115"/>
      <c r="AJ31" s="116">
        <v>1</v>
      </c>
      <c r="AO31" s="435"/>
    </row>
    <row r="32" spans="2:41" s="29" customFormat="1" ht="83.25" customHeight="1" x14ac:dyDescent="0.2">
      <c r="B32" s="24"/>
      <c r="C32" s="83"/>
      <c r="D32" s="83"/>
      <c r="G32" s="24"/>
      <c r="H32" s="24"/>
      <c r="I32" s="24"/>
      <c r="J32" s="24"/>
      <c r="K32" s="24"/>
      <c r="L32" s="24"/>
      <c r="M32" s="24"/>
      <c r="N32" s="24"/>
      <c r="O32" s="24"/>
      <c r="P32" s="24"/>
      <c r="Q32" s="24"/>
      <c r="R32" s="24"/>
      <c r="S32" s="24"/>
      <c r="T32" s="24"/>
      <c r="U32" s="24"/>
      <c r="V32" s="24"/>
      <c r="W32" s="24"/>
      <c r="X32" s="24"/>
      <c r="Y32" s="24"/>
      <c r="Z32" s="24"/>
      <c r="AA32" s="24"/>
      <c r="AB32" s="24"/>
      <c r="AC32" s="24"/>
      <c r="AD32" s="24"/>
      <c r="AE32" s="42"/>
      <c r="AG32" s="114"/>
      <c r="AH32" s="115">
        <v>1</v>
      </c>
      <c r="AI32" s="115"/>
      <c r="AJ32" s="116">
        <v>1</v>
      </c>
      <c r="AO32" s="435"/>
    </row>
    <row r="33" spans="2:41" s="29" customFormat="1" ht="75.75" customHeight="1" thickBot="1" x14ac:dyDescent="0.25">
      <c r="B33" s="24"/>
      <c r="C33" s="83"/>
      <c r="D33" s="83"/>
      <c r="G33" s="24"/>
      <c r="H33" s="24"/>
      <c r="I33" s="24"/>
      <c r="J33" s="24"/>
      <c r="K33" s="24"/>
      <c r="L33" s="24"/>
      <c r="M33" s="24"/>
      <c r="N33" s="24"/>
      <c r="O33" s="24"/>
      <c r="P33" s="24"/>
      <c r="Q33" s="24"/>
      <c r="R33" s="24"/>
      <c r="S33" s="24"/>
      <c r="T33" s="24"/>
      <c r="U33" s="24"/>
      <c r="V33" s="24"/>
      <c r="W33" s="24"/>
      <c r="X33" s="24"/>
      <c r="Y33" s="24"/>
      <c r="Z33" s="24"/>
      <c r="AA33" s="24"/>
      <c r="AB33" s="24"/>
      <c r="AC33" s="24"/>
      <c r="AD33" s="24"/>
      <c r="AE33" s="42"/>
      <c r="AG33" s="114"/>
      <c r="AH33" s="115"/>
      <c r="AI33" s="115"/>
      <c r="AJ33" s="116"/>
      <c r="AO33" s="436"/>
    </row>
    <row r="34" spans="2:41" s="29" customFormat="1" ht="73.5" customHeight="1" x14ac:dyDescent="0.2">
      <c r="B34" s="24"/>
      <c r="C34" s="83"/>
      <c r="D34" s="83"/>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114"/>
      <c r="AH34" s="115">
        <v>1</v>
      </c>
      <c r="AI34" s="115"/>
      <c r="AJ34" s="116">
        <v>1</v>
      </c>
      <c r="AO34" s="434" t="s">
        <v>80</v>
      </c>
    </row>
    <row r="35" spans="2:41" s="29" customFormat="1" ht="58.5" customHeight="1" x14ac:dyDescent="0.2">
      <c r="B35" s="24"/>
      <c r="C35" s="84"/>
      <c r="D35" s="84"/>
      <c r="J35" s="24"/>
      <c r="K35" s="24"/>
      <c r="L35" s="24"/>
      <c r="M35" s="24"/>
      <c r="N35" s="24"/>
      <c r="O35" s="24"/>
      <c r="P35" s="24"/>
      <c r="Q35" s="24"/>
      <c r="R35" s="24"/>
      <c r="S35" s="24"/>
      <c r="T35" s="24"/>
      <c r="U35" s="24"/>
      <c r="V35" s="24"/>
      <c r="W35" s="24"/>
      <c r="X35" s="24"/>
      <c r="Y35" s="24"/>
      <c r="Z35" s="24"/>
      <c r="AA35" s="24"/>
      <c r="AB35" s="24"/>
      <c r="AC35" s="24"/>
      <c r="AD35" s="24"/>
      <c r="AE35" s="42"/>
      <c r="AG35" s="114">
        <v>1</v>
      </c>
      <c r="AH35" s="115"/>
      <c r="AI35" s="115"/>
      <c r="AJ35" s="116">
        <v>1</v>
      </c>
      <c r="AO35" s="435"/>
    </row>
    <row r="36" spans="2:41" s="29" customFormat="1" ht="73.5" customHeight="1" x14ac:dyDescent="0.2">
      <c r="B36" s="24"/>
      <c r="C36" s="84"/>
      <c r="D36" s="8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14"/>
      <c r="AH36" s="115">
        <v>1</v>
      </c>
      <c r="AI36" s="115"/>
      <c r="AJ36" s="116">
        <v>1</v>
      </c>
      <c r="AO36" s="435"/>
    </row>
    <row r="37" spans="2:41" s="29" customFormat="1" ht="102" customHeight="1" thickBot="1" x14ac:dyDescent="0.25">
      <c r="B37" s="24"/>
      <c r="C37" s="84"/>
      <c r="D37" s="8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14">
        <v>1</v>
      </c>
      <c r="AH37" s="115"/>
      <c r="AI37" s="115"/>
      <c r="AJ37" s="116">
        <v>1</v>
      </c>
      <c r="AO37" s="435"/>
    </row>
    <row r="38" spans="2:41" s="29" customFormat="1" ht="86.25" customHeight="1" x14ac:dyDescent="0.2">
      <c r="B38" s="24"/>
      <c r="C38" s="84"/>
      <c r="D38" s="8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114"/>
      <c r="AH38" s="115">
        <v>1</v>
      </c>
      <c r="AI38" s="115"/>
      <c r="AJ38" s="116">
        <v>1</v>
      </c>
      <c r="AO38" s="437" t="s">
        <v>81</v>
      </c>
    </row>
    <row r="39" spans="2:41" s="29" customFormat="1" ht="70.5" customHeight="1" thickBot="1" x14ac:dyDescent="0.25">
      <c r="B39" s="24"/>
      <c r="C39" s="84"/>
      <c r="D39" s="8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114">
        <v>1</v>
      </c>
      <c r="AH39" s="115"/>
      <c r="AI39" s="115"/>
      <c r="AJ39" s="116">
        <v>1</v>
      </c>
      <c r="AO39" s="438"/>
    </row>
    <row r="40" spans="2:41" s="29" customFormat="1" ht="62.25" customHeight="1" x14ac:dyDescent="0.2">
      <c r="B40" s="24"/>
      <c r="C40" s="84"/>
      <c r="D40" s="8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114">
        <v>1</v>
      </c>
      <c r="AH40" s="115"/>
      <c r="AI40" s="115"/>
      <c r="AJ40" s="116">
        <v>1</v>
      </c>
      <c r="AO40" s="437" t="s">
        <v>82</v>
      </c>
    </row>
    <row r="41" spans="2:41" s="29" customFormat="1" ht="45.75" customHeight="1" x14ac:dyDescent="0.2">
      <c r="B41" s="24"/>
      <c r="C41" s="84"/>
      <c r="D41" s="8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114"/>
      <c r="AH41" s="115"/>
      <c r="AI41" s="115">
        <v>1</v>
      </c>
      <c r="AJ41" s="116">
        <v>1</v>
      </c>
      <c r="AO41" s="439"/>
    </row>
    <row r="42" spans="2:41" s="29" customFormat="1" ht="43.5" customHeight="1" x14ac:dyDescent="0.2">
      <c r="B42" s="24"/>
      <c r="C42" s="84"/>
      <c r="D42" s="8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114">
        <v>1</v>
      </c>
      <c r="AH42" s="115"/>
      <c r="AI42" s="115"/>
      <c r="AJ42" s="116">
        <v>1</v>
      </c>
      <c r="AO42" s="439"/>
    </row>
    <row r="43" spans="2:41" s="29" customFormat="1" ht="61.5" customHeight="1" thickBot="1" x14ac:dyDescent="0.25">
      <c r="B43" s="24"/>
      <c r="C43" s="84"/>
      <c r="D43" s="84"/>
      <c r="J43" s="24"/>
      <c r="K43" s="24"/>
      <c r="L43" s="24"/>
      <c r="M43" s="24"/>
      <c r="N43" s="24"/>
      <c r="O43" s="24"/>
      <c r="P43" s="24"/>
      <c r="Q43" s="24"/>
      <c r="R43" s="24"/>
      <c r="S43" s="24"/>
      <c r="T43" s="24"/>
      <c r="U43" s="24"/>
      <c r="V43" s="24"/>
      <c r="W43" s="24"/>
      <c r="X43" s="24"/>
      <c r="Y43" s="24"/>
      <c r="Z43" s="24"/>
      <c r="AA43" s="24"/>
      <c r="AB43" s="24"/>
      <c r="AC43" s="24"/>
      <c r="AD43" s="24"/>
      <c r="AE43" s="42"/>
      <c r="AG43" s="440"/>
      <c r="AH43" s="441"/>
      <c r="AI43" s="441">
        <v>1</v>
      </c>
      <c r="AJ43" s="442">
        <v>1</v>
      </c>
      <c r="AO43" s="438"/>
    </row>
    <row r="44" spans="2:41" s="29" customFormat="1" ht="70.5" customHeight="1" x14ac:dyDescent="0.2">
      <c r="B44" s="24"/>
      <c r="C44" s="84"/>
      <c r="D44" s="8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440"/>
      <c r="AH44" s="441"/>
      <c r="AI44" s="441"/>
      <c r="AJ44" s="442"/>
      <c r="AO44" s="434" t="s">
        <v>83</v>
      </c>
    </row>
    <row r="45" spans="2:41" s="29" customFormat="1" ht="59.25" customHeight="1" x14ac:dyDescent="0.2">
      <c r="B45" s="24"/>
      <c r="C45" s="84"/>
      <c r="D45" s="8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14">
        <v>1</v>
      </c>
      <c r="AH45" s="115"/>
      <c r="AI45" s="115"/>
      <c r="AJ45" s="116">
        <v>1</v>
      </c>
      <c r="AO45" s="435"/>
    </row>
    <row r="46" spans="2:41" s="29" customFormat="1" ht="122.25" customHeight="1" x14ac:dyDescent="0.2">
      <c r="B46" s="24"/>
      <c r="C46" s="84"/>
      <c r="D46" s="8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114">
        <v>1</v>
      </c>
      <c r="AH46" s="115"/>
      <c r="AI46" s="115"/>
      <c r="AJ46" s="116">
        <v>1</v>
      </c>
      <c r="AO46" s="435"/>
    </row>
    <row r="47" spans="2:41" s="29" customFormat="1" ht="97.5" customHeight="1" x14ac:dyDescent="0.2">
      <c r="B47" s="24"/>
      <c r="C47" s="84"/>
      <c r="D47" s="8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114">
        <v>1</v>
      </c>
      <c r="AH47" s="115"/>
      <c r="AI47" s="115"/>
      <c r="AJ47" s="116">
        <v>1</v>
      </c>
      <c r="AO47" s="435"/>
    </row>
    <row r="48" spans="2:41" s="29" customFormat="1" ht="49.5" customHeight="1" thickBot="1" x14ac:dyDescent="0.25">
      <c r="B48" s="24"/>
      <c r="C48" s="84"/>
      <c r="D48" s="8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114">
        <v>1</v>
      </c>
      <c r="AH48" s="115"/>
      <c r="AI48" s="115"/>
      <c r="AJ48" s="116">
        <v>1</v>
      </c>
      <c r="AO48" s="436"/>
    </row>
    <row r="49" spans="2:41" s="29" customFormat="1" ht="61.5" customHeight="1" x14ac:dyDescent="0.2">
      <c r="B49" s="24"/>
      <c r="C49" s="84"/>
      <c r="D49" s="8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114"/>
      <c r="AH49" s="115">
        <v>1</v>
      </c>
      <c r="AI49" s="115"/>
      <c r="AJ49" s="116">
        <v>1</v>
      </c>
      <c r="AO49" s="434" t="s">
        <v>84</v>
      </c>
    </row>
    <row r="50" spans="2:41" s="29" customFormat="1" ht="44.25" customHeight="1" x14ac:dyDescent="0.2">
      <c r="B50" s="24"/>
      <c r="C50" s="84"/>
      <c r="D50" s="8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114">
        <v>1</v>
      </c>
      <c r="AH50" s="115"/>
      <c r="AI50" s="115"/>
      <c r="AJ50" s="116">
        <v>1</v>
      </c>
      <c r="AO50" s="435"/>
    </row>
    <row r="51" spans="2:41" s="29" customFormat="1" ht="97.5" customHeight="1" x14ac:dyDescent="0.2">
      <c r="B51" s="24"/>
      <c r="C51" s="84"/>
      <c r="D51" s="84"/>
      <c r="J51" s="24"/>
      <c r="K51" s="24"/>
      <c r="L51" s="24"/>
      <c r="M51" s="24"/>
      <c r="N51" s="24"/>
      <c r="O51" s="24"/>
      <c r="P51" s="24"/>
      <c r="Q51" s="24"/>
      <c r="R51" s="24"/>
      <c r="S51" s="24"/>
      <c r="T51" s="24"/>
      <c r="U51" s="24"/>
      <c r="V51" s="24"/>
      <c r="W51" s="24"/>
      <c r="X51" s="24"/>
      <c r="Y51" s="24"/>
      <c r="Z51" s="24"/>
      <c r="AA51" s="24"/>
      <c r="AB51" s="24"/>
      <c r="AC51" s="24"/>
      <c r="AD51" s="24"/>
      <c r="AE51" s="42"/>
      <c r="AG51" s="114">
        <v>1</v>
      </c>
      <c r="AH51" s="115"/>
      <c r="AI51" s="115"/>
      <c r="AJ51" s="116">
        <v>1</v>
      </c>
      <c r="AO51" s="435"/>
    </row>
    <row r="52" spans="2:41" s="29" customFormat="1" ht="54.75" customHeight="1" thickBot="1" x14ac:dyDescent="0.25">
      <c r="B52" s="24"/>
      <c r="C52" s="84"/>
      <c r="D52" s="8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14">
        <v>1</v>
      </c>
      <c r="AH52" s="115"/>
      <c r="AI52" s="115"/>
      <c r="AJ52" s="116">
        <v>1</v>
      </c>
      <c r="AO52" s="436"/>
    </row>
    <row r="53" spans="2:41" s="29" customFormat="1" ht="83.25" customHeight="1" x14ac:dyDescent="0.2">
      <c r="B53" s="24"/>
      <c r="C53" s="84"/>
      <c r="D53" s="8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14">
        <v>1</v>
      </c>
      <c r="AH53" s="115"/>
      <c r="AI53" s="115"/>
      <c r="AJ53" s="116">
        <v>1</v>
      </c>
      <c r="AO53" s="434" t="s">
        <v>75</v>
      </c>
    </row>
    <row r="54" spans="2:41" s="29" customFormat="1" ht="82.5" customHeight="1" x14ac:dyDescent="0.2">
      <c r="B54" s="24"/>
      <c r="C54" s="84"/>
      <c r="D54" s="8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114"/>
      <c r="AH54" s="115"/>
      <c r="AI54" s="115">
        <v>1</v>
      </c>
      <c r="AJ54" s="116">
        <v>1</v>
      </c>
      <c r="AO54" s="435"/>
    </row>
    <row r="55" spans="2:41" s="29" customFormat="1" ht="67.5" customHeight="1" x14ac:dyDescent="0.2">
      <c r="B55" s="24"/>
      <c r="C55" s="84"/>
      <c r="D55" s="8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114"/>
      <c r="AH55" s="115">
        <v>1</v>
      </c>
      <c r="AI55" s="115"/>
      <c r="AJ55" s="116">
        <v>1</v>
      </c>
      <c r="AO55" s="435"/>
    </row>
    <row r="56" spans="2:41" s="29" customFormat="1" ht="65.25" customHeight="1" thickBot="1" x14ac:dyDescent="0.25">
      <c r="B56" s="24"/>
      <c r="C56" s="84"/>
      <c r="D56" s="8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114">
        <v>1</v>
      </c>
      <c r="AH56" s="115"/>
      <c r="AI56" s="115"/>
      <c r="AJ56" s="116">
        <v>1</v>
      </c>
      <c r="AO56" s="436"/>
    </row>
    <row r="57" spans="2:41" s="29" customFormat="1" ht="36.75" customHeight="1" x14ac:dyDescent="0.2">
      <c r="B57" s="24"/>
      <c r="C57" s="84"/>
      <c r="D57" s="8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114"/>
      <c r="AH57" s="115"/>
      <c r="AI57" s="115"/>
      <c r="AJ57" s="116"/>
    </row>
    <row r="58" spans="2:41" s="29" customFormat="1" ht="151.5" customHeight="1" x14ac:dyDescent="0.2">
      <c r="B58" s="24"/>
      <c r="C58" s="84"/>
      <c r="D58" s="84"/>
      <c r="I58" s="24"/>
      <c r="J58" s="24"/>
      <c r="K58" s="24"/>
      <c r="L58" s="24"/>
      <c r="M58" s="24"/>
      <c r="N58" s="24"/>
      <c r="O58" s="24"/>
      <c r="P58" s="24"/>
      <c r="Q58" s="24"/>
      <c r="R58" s="24"/>
      <c r="S58" s="24"/>
      <c r="T58" s="24"/>
      <c r="U58" s="24"/>
      <c r="V58" s="24"/>
      <c r="W58" s="24"/>
      <c r="X58" s="24"/>
      <c r="Y58" s="24"/>
      <c r="Z58" s="24"/>
      <c r="AA58" s="24"/>
      <c r="AB58" s="24"/>
      <c r="AC58" s="24"/>
      <c r="AD58" s="24"/>
      <c r="AE58" s="42"/>
      <c r="AG58" s="114"/>
      <c r="AH58" s="115"/>
      <c r="AI58" s="115">
        <v>1</v>
      </c>
      <c r="AJ58" s="116">
        <v>1</v>
      </c>
    </row>
    <row r="59" spans="2:41" s="29" customFormat="1" ht="100.5" customHeight="1" x14ac:dyDescent="0.2">
      <c r="B59" s="24"/>
      <c r="C59" s="84"/>
      <c r="D59" s="84"/>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42"/>
      <c r="AG59" s="114"/>
      <c r="AH59" s="115"/>
      <c r="AI59" s="115">
        <v>1</v>
      </c>
      <c r="AJ59" s="116">
        <v>1</v>
      </c>
    </row>
    <row r="60" spans="2:41" s="29" customFormat="1" ht="113.25" customHeight="1" x14ac:dyDescent="0.2">
      <c r="B60" s="24"/>
      <c r="C60" s="84"/>
      <c r="D60" s="8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42"/>
      <c r="AG60" s="114"/>
      <c r="AH60" s="115">
        <v>1</v>
      </c>
      <c r="AI60" s="115"/>
      <c r="AJ60" s="116">
        <v>1</v>
      </c>
    </row>
    <row r="61" spans="2:41" ht="54.75" customHeight="1" x14ac:dyDescent="0.2">
      <c r="C61" s="84"/>
      <c r="D61" s="84"/>
      <c r="AE61" s="42"/>
      <c r="AF61" s="29"/>
      <c r="AG61" s="34"/>
      <c r="AH61" s="30">
        <v>1</v>
      </c>
      <c r="AI61" s="30"/>
      <c r="AJ61" s="35">
        <v>1</v>
      </c>
    </row>
    <row r="62" spans="2:41" ht="45.75" customHeight="1" x14ac:dyDescent="0.2">
      <c r="C62" s="84"/>
      <c r="D62" s="84"/>
      <c r="AE62" s="42"/>
      <c r="AF62" s="29"/>
      <c r="AG62" s="34"/>
      <c r="AH62" s="30">
        <v>1</v>
      </c>
      <c r="AI62" s="30"/>
      <c r="AJ62" s="35">
        <v>1</v>
      </c>
    </row>
    <row r="63" spans="2:41" ht="54.75" customHeight="1" x14ac:dyDescent="0.2">
      <c r="C63" s="84"/>
      <c r="D63" s="84"/>
      <c r="AE63" s="42"/>
      <c r="AF63" s="29"/>
      <c r="AG63" s="34"/>
      <c r="AH63" s="30">
        <v>1</v>
      </c>
      <c r="AI63" s="30"/>
      <c r="AJ63" s="35">
        <v>1</v>
      </c>
    </row>
    <row r="64" spans="2:41" ht="201.75" customHeight="1" x14ac:dyDescent="0.2">
      <c r="C64" s="84"/>
      <c r="D64" s="84"/>
      <c r="AE64" s="42"/>
      <c r="AF64" s="29"/>
      <c r="AG64" s="34"/>
      <c r="AH64" s="30">
        <v>1</v>
      </c>
      <c r="AI64" s="30"/>
      <c r="AJ64" s="35">
        <v>1</v>
      </c>
    </row>
    <row r="65" spans="3:36" ht="125.25" customHeight="1" x14ac:dyDescent="0.2">
      <c r="C65" s="84"/>
      <c r="D65" s="84"/>
      <c r="AE65" s="42"/>
      <c r="AF65" s="29"/>
      <c r="AG65" s="34"/>
      <c r="AH65" s="30">
        <v>1</v>
      </c>
      <c r="AI65" s="30"/>
      <c r="AJ65" s="35">
        <v>1</v>
      </c>
    </row>
    <row r="66" spans="3:36" ht="112.5" customHeight="1" thickBot="1" x14ac:dyDescent="0.25">
      <c r="C66" s="84"/>
      <c r="D66" s="84"/>
      <c r="AE66" s="42"/>
      <c r="AG66" s="36">
        <f>SUM(AG9:AG61)</f>
        <v>24</v>
      </c>
      <c r="AH66" s="37">
        <f>SUM(AH9:AH65)</f>
        <v>18</v>
      </c>
      <c r="AI66" s="37">
        <f>SUM(AI9:AI65)</f>
        <v>5</v>
      </c>
      <c r="AJ66" s="38">
        <f>SUM(AJ9:AJ65)</f>
        <v>47</v>
      </c>
    </row>
    <row r="67" spans="3:36" ht="94.5" customHeight="1" x14ac:dyDescent="0.2">
      <c r="C67" s="84"/>
      <c r="D67" s="84"/>
      <c r="AE67" s="42"/>
    </row>
    <row r="68" spans="3:36" ht="100.5" customHeight="1" x14ac:dyDescent="0.2">
      <c r="C68" s="84"/>
      <c r="D68" s="84"/>
      <c r="AE68" s="42"/>
    </row>
    <row r="69" spans="3:36" ht="226.5" customHeight="1" x14ac:dyDescent="0.2">
      <c r="C69" s="84"/>
      <c r="D69" s="84"/>
      <c r="AE69" s="42"/>
    </row>
    <row r="70" spans="3:36" ht="67.5" customHeight="1" x14ac:dyDescent="0.2">
      <c r="C70" s="84"/>
      <c r="D70" s="84"/>
      <c r="AE70" s="42"/>
    </row>
    <row r="71" spans="3:36" ht="90.75" customHeight="1" x14ac:dyDescent="0.2">
      <c r="C71" s="84"/>
      <c r="D71" s="84"/>
      <c r="AE71" s="42"/>
    </row>
    <row r="72" spans="3:36" ht="75" customHeight="1" x14ac:dyDescent="0.2">
      <c r="C72" s="84"/>
      <c r="D72" s="84"/>
      <c r="AE72" s="42"/>
    </row>
    <row r="73" spans="3:36" x14ac:dyDescent="0.2">
      <c r="C73" s="84"/>
      <c r="D73" s="84"/>
      <c r="AE73" s="42"/>
    </row>
    <row r="74" spans="3:36" ht="43.5" customHeight="1" x14ac:dyDescent="0.2">
      <c r="C74" s="84"/>
      <c r="D74" s="84"/>
      <c r="AE74" s="42"/>
    </row>
    <row r="75" spans="3:36" ht="49.5" customHeight="1" x14ac:dyDescent="0.2">
      <c r="C75" s="84"/>
      <c r="D75" s="84"/>
      <c r="AE75" s="42"/>
    </row>
    <row r="76" spans="3:36" ht="232.5" customHeight="1" x14ac:dyDescent="0.2">
      <c r="C76" s="84"/>
      <c r="D76" s="84"/>
      <c r="H76" s="84"/>
      <c r="I76" s="84"/>
      <c r="AE76" s="42"/>
    </row>
    <row r="77" spans="3:36" x14ac:dyDescent="0.2">
      <c r="C77" s="84"/>
      <c r="D77" s="84"/>
      <c r="AE77" s="42"/>
    </row>
    <row r="78" spans="3:36" ht="241.5" customHeight="1" x14ac:dyDescent="0.2">
      <c r="C78" s="84"/>
      <c r="D78" s="84"/>
      <c r="AE78" s="42"/>
    </row>
    <row r="79" spans="3:36" x14ac:dyDescent="0.2">
      <c r="AE79" s="42"/>
    </row>
    <row r="80" spans="3:36" x14ac:dyDescent="0.2">
      <c r="AE80" s="42"/>
    </row>
    <row r="81" spans="31:31" x14ac:dyDescent="0.2">
      <c r="AE81" s="42"/>
    </row>
    <row r="82" spans="31:31" x14ac:dyDescent="0.2">
      <c r="AE82" s="42"/>
    </row>
  </sheetData>
  <autoFilter ref="B8:AC18"/>
  <mergeCells count="56">
    <mergeCell ref="AO49:AO52"/>
    <mergeCell ref="AO53:AO56"/>
    <mergeCell ref="H20:K20"/>
    <mergeCell ref="H21:I21"/>
    <mergeCell ref="H22:I22"/>
    <mergeCell ref="H23:I23"/>
    <mergeCell ref="H24:I24"/>
    <mergeCell ref="O22:P22"/>
    <mergeCell ref="H25:I25"/>
    <mergeCell ref="F24:G24"/>
    <mergeCell ref="AO28:AO33"/>
    <mergeCell ref="AO34:AO37"/>
    <mergeCell ref="AO38:AO39"/>
    <mergeCell ref="AO40:AO43"/>
    <mergeCell ref="AG43:AG44"/>
    <mergeCell ref="AH43:AH44"/>
    <mergeCell ref="AI43:AI44"/>
    <mergeCell ref="AJ43:AJ44"/>
    <mergeCell ref="AO44:AO48"/>
    <mergeCell ref="AO20:AO27"/>
    <mergeCell ref="F21:G21"/>
    <mergeCell ref="M21:N21"/>
    <mergeCell ref="O21:P21"/>
    <mergeCell ref="F22:G22"/>
    <mergeCell ref="M22:N22"/>
    <mergeCell ref="F23:G23"/>
    <mergeCell ref="M23:N23"/>
    <mergeCell ref="O23:P23"/>
    <mergeCell ref="Z7:AD7"/>
    <mergeCell ref="AE7:AE8"/>
    <mergeCell ref="AG7:AJ7"/>
    <mergeCell ref="B9:B18"/>
    <mergeCell ref="AE9:AE18"/>
    <mergeCell ref="M20:P20"/>
    <mergeCell ref="B6:I6"/>
    <mergeCell ref="J6:N7"/>
    <mergeCell ref="O6:P6"/>
    <mergeCell ref="Q6:U7"/>
    <mergeCell ref="V6:AE6"/>
    <mergeCell ref="B7:B8"/>
    <mergeCell ref="C7:C8"/>
    <mergeCell ref="D7:D8"/>
    <mergeCell ref="O7:P7"/>
    <mergeCell ref="V7:Y7"/>
    <mergeCell ref="B5:AE5"/>
    <mergeCell ref="B2:AE2"/>
    <mergeCell ref="B3:F3"/>
    <mergeCell ref="G3:N3"/>
    <mergeCell ref="O3:T3"/>
    <mergeCell ref="U3:AA3"/>
    <mergeCell ref="AB3:AE3"/>
    <mergeCell ref="B4:F4"/>
    <mergeCell ref="G4:N4"/>
    <mergeCell ref="O4:T4"/>
    <mergeCell ref="U4:AA4"/>
    <mergeCell ref="AB4:AE4"/>
  </mergeCells>
  <conditionalFormatting sqref="N9:P18">
    <cfRule type="cellIs" dxfId="157" priority="21" operator="equal">
      <formula>5</formula>
    </cfRule>
    <cfRule type="cellIs" priority="22" operator="equal">
      <formula>5</formula>
    </cfRule>
    <cfRule type="cellIs" dxfId="156" priority="23" operator="between">
      <formula>6</formula>
      <formula>30</formula>
    </cfRule>
    <cfRule type="cellIs" dxfId="155" priority="24" operator="between">
      <formula>31</formula>
      <formula>60</formula>
    </cfRule>
  </conditionalFormatting>
  <conditionalFormatting sqref="N9:P18">
    <cfRule type="containsErrors" dxfId="154" priority="20">
      <formula>ISERROR(N9)</formula>
    </cfRule>
  </conditionalFormatting>
  <conditionalFormatting sqref="J9:J18">
    <cfRule type="containsText" dxfId="153" priority="19" operator="containsText" text="N/A">
      <formula>NOT(ISERROR(SEARCH("N/A",J9)))</formula>
    </cfRule>
  </conditionalFormatting>
  <conditionalFormatting sqref="L9:L18">
    <cfRule type="containsText" dxfId="152" priority="5" operator="containsText" text="N/A">
      <formula>NOT(ISERROR(SEARCH("N/A",L9)))</formula>
    </cfRule>
    <cfRule type="containsText" dxfId="151" priority="18" operator="containsText" text="N/A">
      <formula>NOT(ISERROR(SEARCH("N/A",L9)))</formula>
    </cfRule>
  </conditionalFormatting>
  <conditionalFormatting sqref="V9:Y18">
    <cfRule type="containsErrors" dxfId="150" priority="17">
      <formula>ISERROR(V9)</formula>
    </cfRule>
  </conditionalFormatting>
  <conditionalFormatting sqref="Q9:Q18">
    <cfRule type="containsText" dxfId="149" priority="11" operator="containsText" text="N/A">
      <formula>NOT(ISERROR(SEARCH("N/A",Q9)))</formula>
    </cfRule>
  </conditionalFormatting>
  <conditionalFormatting sqref="S9:S18">
    <cfRule type="containsText" dxfId="148" priority="10" operator="containsText" text="N/A">
      <formula>NOT(ISERROR(SEARCH("N/A",S9)))</formula>
    </cfRule>
  </conditionalFormatting>
  <conditionalFormatting sqref="U9:U18">
    <cfRule type="containsErrors" dxfId="147" priority="1">
      <formula>ISERROR(U9)</formula>
    </cfRule>
    <cfRule type="cellIs" dxfId="146" priority="7" operator="between">
      <formula>31</formula>
      <formula>60</formula>
    </cfRule>
    <cfRule type="cellIs" dxfId="145" priority="8" operator="between">
      <formula>6</formula>
      <formula>30</formula>
    </cfRule>
    <cfRule type="cellIs" dxfId="144" priority="9" operator="equal">
      <formula>5</formula>
    </cfRule>
  </conditionalFormatting>
  <conditionalFormatting sqref="K9:K18">
    <cfRule type="containsText" dxfId="143" priority="6" operator="containsText" text="N/A">
      <formula>NOT(ISERROR(SEARCH("N/A",K9)))</formula>
    </cfRule>
  </conditionalFormatting>
  <conditionalFormatting sqref="M9:M18">
    <cfRule type="containsText" dxfId="142" priority="4" operator="containsText" text="N/A">
      <formula>NOT(ISERROR(SEARCH("N/A",M9)))</formula>
    </cfRule>
  </conditionalFormatting>
  <conditionalFormatting sqref="R9:R18">
    <cfRule type="containsText" dxfId="141" priority="3" operator="containsText" text="N/A">
      <formula>NOT(ISERROR(SEARCH("N/A",R9)))</formula>
    </cfRule>
  </conditionalFormatting>
  <conditionalFormatting sqref="T9:T18">
    <cfRule type="containsText" dxfId="140" priority="2" operator="containsText" text="N/A">
      <formula>NOT(ISERROR(SEARCH("N/A",T9)))</formula>
    </cfRule>
  </conditionalFormatting>
  <dataValidations count="4">
    <dataValidation type="list" allowBlank="1" showInputMessage="1" showErrorMessage="1" sqref="C9:C18">
      <formula1>$AM$8:$AM$9</formula1>
    </dataValidation>
    <dataValidation type="list" allowBlank="1" showInputMessage="1" showErrorMessage="1" sqref="L9:L18 S9:S18">
      <formula1>$AL$8:$AL$11</formula1>
    </dataValidation>
    <dataValidation type="list" allowBlank="1" showInputMessage="1" showErrorMessage="1" sqref="J9:J18 Q9:Q18">
      <formula1>$AK$8:$AK$11</formula1>
    </dataValidation>
    <dataValidation type="list" allowBlank="1" showInputMessage="1" showErrorMessage="1" sqref="D9:D18">
      <formula1>$AN$8:$AN$14</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B1:AO82"/>
  <sheetViews>
    <sheetView showGridLines="0" view="pageBreakPreview" topLeftCell="A8" zoomScale="50" zoomScaleNormal="25" zoomScaleSheetLayoutView="50" zoomScalePageLayoutView="75" workbookViewId="0">
      <selection activeCell="D13" sqref="D13"/>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0" width="16.28515625" style="24" customWidth="1"/>
    <col min="21" max="21" width="17.28515625" style="24" customWidth="1"/>
    <col min="22"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72" t="s">
        <v>111</v>
      </c>
      <c r="C2" s="373"/>
      <c r="D2" s="373"/>
      <c r="E2" s="373"/>
      <c r="F2" s="373"/>
      <c r="G2" s="373"/>
      <c r="H2" s="373"/>
      <c r="I2" s="373"/>
      <c r="J2" s="373"/>
      <c r="K2" s="373"/>
      <c r="L2" s="373"/>
      <c r="M2" s="373"/>
      <c r="N2" s="373"/>
      <c r="O2" s="373"/>
      <c r="P2" s="373"/>
      <c r="Q2" s="373"/>
      <c r="R2" s="373"/>
      <c r="S2" s="373"/>
      <c r="T2" s="373"/>
      <c r="U2" s="373"/>
      <c r="V2" s="373"/>
      <c r="W2" s="373"/>
      <c r="X2" s="373"/>
      <c r="Y2" s="373"/>
      <c r="Z2" s="373"/>
      <c r="AA2" s="373"/>
      <c r="AB2" s="373"/>
      <c r="AC2" s="373"/>
      <c r="AD2" s="373"/>
      <c r="AE2" s="373"/>
      <c r="AF2" s="31"/>
    </row>
    <row r="3" spans="2:41" s="29" customFormat="1" ht="66" customHeight="1" thickBot="1" x14ac:dyDescent="0.25">
      <c r="B3" s="374" t="s">
        <v>39</v>
      </c>
      <c r="C3" s="375"/>
      <c r="D3" s="375"/>
      <c r="E3" s="375"/>
      <c r="F3" s="375"/>
      <c r="G3" s="374" t="s">
        <v>110</v>
      </c>
      <c r="H3" s="375"/>
      <c r="I3" s="375"/>
      <c r="J3" s="375"/>
      <c r="K3" s="375"/>
      <c r="L3" s="375"/>
      <c r="M3" s="375"/>
      <c r="N3" s="376"/>
      <c r="O3" s="374" t="s">
        <v>109</v>
      </c>
      <c r="P3" s="375"/>
      <c r="Q3" s="375"/>
      <c r="R3" s="375"/>
      <c r="S3" s="375"/>
      <c r="T3" s="376"/>
      <c r="U3" s="374" t="s">
        <v>40</v>
      </c>
      <c r="V3" s="375"/>
      <c r="W3" s="375"/>
      <c r="X3" s="375"/>
      <c r="Y3" s="375"/>
      <c r="Z3" s="375"/>
      <c r="AA3" s="376"/>
      <c r="AB3" s="374" t="s">
        <v>37</v>
      </c>
      <c r="AC3" s="375"/>
      <c r="AD3" s="375"/>
      <c r="AE3" s="376"/>
      <c r="AF3" s="32"/>
    </row>
    <row r="4" spans="2:41" s="29" customFormat="1" ht="72" customHeight="1" thickBot="1" x14ac:dyDescent="0.25">
      <c r="B4" s="377" t="s">
        <v>38</v>
      </c>
      <c r="C4" s="378"/>
      <c r="D4" s="378"/>
      <c r="E4" s="378"/>
      <c r="F4" s="378"/>
      <c r="G4" s="379">
        <v>42874</v>
      </c>
      <c r="H4" s="380"/>
      <c r="I4" s="380"/>
      <c r="J4" s="380"/>
      <c r="K4" s="380"/>
      <c r="L4" s="380"/>
      <c r="M4" s="380"/>
      <c r="N4" s="381"/>
      <c r="O4" s="382">
        <v>43700</v>
      </c>
      <c r="P4" s="383"/>
      <c r="Q4" s="383"/>
      <c r="R4" s="383"/>
      <c r="S4" s="383"/>
      <c r="T4" s="384"/>
      <c r="U4" s="377">
        <v>4</v>
      </c>
      <c r="V4" s="378"/>
      <c r="W4" s="378"/>
      <c r="X4" s="378"/>
      <c r="Y4" s="378"/>
      <c r="Z4" s="378"/>
      <c r="AA4" s="385"/>
      <c r="AB4" s="377" t="s">
        <v>52</v>
      </c>
      <c r="AC4" s="378"/>
      <c r="AD4" s="378"/>
      <c r="AE4" s="385"/>
      <c r="AF4" s="113"/>
    </row>
    <row r="5" spans="2:41" s="29" customFormat="1" ht="32.1" customHeight="1" thickBot="1" x14ac:dyDescent="0.25">
      <c r="B5" s="370" t="s">
        <v>638</v>
      </c>
      <c r="C5" s="371"/>
      <c r="D5" s="371"/>
      <c r="E5" s="371"/>
      <c r="F5" s="371"/>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113"/>
    </row>
    <row r="6" spans="2:41" s="29" customFormat="1" ht="54.95" customHeight="1" thickBot="1" x14ac:dyDescent="0.25">
      <c r="B6" s="396" t="s">
        <v>0</v>
      </c>
      <c r="C6" s="397"/>
      <c r="D6" s="397"/>
      <c r="E6" s="397"/>
      <c r="F6" s="397"/>
      <c r="G6" s="397"/>
      <c r="H6" s="397"/>
      <c r="I6" s="398"/>
      <c r="J6" s="399" t="s">
        <v>62</v>
      </c>
      <c r="K6" s="400"/>
      <c r="L6" s="400"/>
      <c r="M6" s="400"/>
      <c r="N6" s="401"/>
      <c r="O6" s="405" t="s">
        <v>94</v>
      </c>
      <c r="P6" s="406"/>
      <c r="Q6" s="407" t="s">
        <v>63</v>
      </c>
      <c r="R6" s="408"/>
      <c r="S6" s="408"/>
      <c r="T6" s="408"/>
      <c r="U6" s="409"/>
      <c r="V6" s="413" t="s">
        <v>58</v>
      </c>
      <c r="W6" s="414"/>
      <c r="X6" s="414"/>
      <c r="Y6" s="414"/>
      <c r="Z6" s="414"/>
      <c r="AA6" s="414"/>
      <c r="AB6" s="414"/>
      <c r="AC6" s="414"/>
      <c r="AD6" s="414"/>
      <c r="AE6" s="415"/>
    </row>
    <row r="7" spans="2:41" s="29" customFormat="1" ht="90" customHeight="1" thickBot="1" x14ac:dyDescent="0.25">
      <c r="B7" s="416" t="s">
        <v>8</v>
      </c>
      <c r="C7" s="417" t="s">
        <v>60</v>
      </c>
      <c r="D7" s="417" t="s">
        <v>91</v>
      </c>
      <c r="E7" s="77" t="s">
        <v>61</v>
      </c>
      <c r="F7" s="43" t="s">
        <v>9</v>
      </c>
      <c r="G7" s="43" t="s">
        <v>104</v>
      </c>
      <c r="H7" s="43" t="s">
        <v>10</v>
      </c>
      <c r="I7" s="96" t="s">
        <v>59</v>
      </c>
      <c r="J7" s="402"/>
      <c r="K7" s="403"/>
      <c r="L7" s="403"/>
      <c r="M7" s="403"/>
      <c r="N7" s="404"/>
      <c r="O7" s="419" t="s">
        <v>103</v>
      </c>
      <c r="P7" s="420"/>
      <c r="Q7" s="410"/>
      <c r="R7" s="411"/>
      <c r="S7" s="411"/>
      <c r="T7" s="411"/>
      <c r="U7" s="412"/>
      <c r="V7" s="421" t="s">
        <v>96</v>
      </c>
      <c r="W7" s="422"/>
      <c r="X7" s="422"/>
      <c r="Y7" s="423"/>
      <c r="Z7" s="461" t="s">
        <v>53</v>
      </c>
      <c r="AA7" s="462"/>
      <c r="AB7" s="462"/>
      <c r="AC7" s="462"/>
      <c r="AD7" s="463"/>
      <c r="AE7" s="431" t="s">
        <v>25</v>
      </c>
      <c r="AG7" s="386" t="s">
        <v>45</v>
      </c>
      <c r="AH7" s="386"/>
      <c r="AI7" s="386"/>
      <c r="AJ7" s="386"/>
      <c r="AK7" s="29" t="s">
        <v>67</v>
      </c>
      <c r="AL7" s="29" t="s">
        <v>68</v>
      </c>
    </row>
    <row r="8" spans="2:41" s="29" customFormat="1" ht="202.5" customHeight="1" thickBot="1" x14ac:dyDescent="0.25">
      <c r="B8" s="460"/>
      <c r="C8" s="418"/>
      <c r="D8" s="418"/>
      <c r="E8" s="278" t="s">
        <v>7</v>
      </c>
      <c r="F8" s="279" t="s">
        <v>64</v>
      </c>
      <c r="G8" s="279" t="s">
        <v>13</v>
      </c>
      <c r="H8" s="279" t="s">
        <v>65</v>
      </c>
      <c r="I8" s="279" t="s">
        <v>66</v>
      </c>
      <c r="J8" s="97" t="s">
        <v>11</v>
      </c>
      <c r="K8" s="97" t="s">
        <v>12</v>
      </c>
      <c r="L8" s="97" t="s">
        <v>1</v>
      </c>
      <c r="M8" s="103" t="s">
        <v>2</v>
      </c>
      <c r="N8" s="280" t="s">
        <v>95</v>
      </c>
      <c r="O8" s="281" t="s">
        <v>92</v>
      </c>
      <c r="P8" s="282" t="s">
        <v>93</v>
      </c>
      <c r="Q8" s="102" t="s">
        <v>11</v>
      </c>
      <c r="R8" s="103" t="s">
        <v>12</v>
      </c>
      <c r="S8" s="103" t="s">
        <v>1</v>
      </c>
      <c r="T8" s="103" t="s">
        <v>2</v>
      </c>
      <c r="U8" s="104" t="s">
        <v>102</v>
      </c>
      <c r="V8" s="99" t="s">
        <v>97</v>
      </c>
      <c r="W8" s="100" t="s">
        <v>98</v>
      </c>
      <c r="X8" s="100" t="s">
        <v>99</v>
      </c>
      <c r="Y8" s="101" t="s">
        <v>100</v>
      </c>
      <c r="Z8" s="53" t="s">
        <v>54</v>
      </c>
      <c r="AA8" s="54" t="s">
        <v>55</v>
      </c>
      <c r="AB8" s="55" t="s">
        <v>56</v>
      </c>
      <c r="AC8" s="54" t="s">
        <v>57</v>
      </c>
      <c r="AD8" s="109" t="s">
        <v>101</v>
      </c>
      <c r="AE8" s="432"/>
      <c r="AG8" s="74" t="s">
        <v>41</v>
      </c>
      <c r="AH8" s="75" t="s">
        <v>42</v>
      </c>
      <c r="AI8" s="75" t="s">
        <v>43</v>
      </c>
      <c r="AJ8" s="76" t="s">
        <v>44</v>
      </c>
      <c r="AK8" s="87" t="s">
        <v>85</v>
      </c>
      <c r="AL8" s="87" t="s">
        <v>85</v>
      </c>
      <c r="AM8" s="29" t="s">
        <v>71</v>
      </c>
      <c r="AN8" s="29" t="s">
        <v>72</v>
      </c>
      <c r="AO8" s="92"/>
    </row>
    <row r="9" spans="2:41" s="29" customFormat="1" ht="216" customHeight="1" x14ac:dyDescent="0.2">
      <c r="B9" s="388" t="s">
        <v>153</v>
      </c>
      <c r="C9" s="79" t="s">
        <v>71</v>
      </c>
      <c r="D9" s="218" t="s">
        <v>77</v>
      </c>
      <c r="E9" s="275" t="s">
        <v>154</v>
      </c>
      <c r="F9" s="276" t="s">
        <v>155</v>
      </c>
      <c r="G9" s="276" t="s">
        <v>156</v>
      </c>
      <c r="H9" s="276" t="s">
        <v>157</v>
      </c>
      <c r="I9" s="276" t="s">
        <v>158</v>
      </c>
      <c r="J9" s="88">
        <v>3</v>
      </c>
      <c r="K9" s="350" t="str">
        <f t="shared" ref="K9:K13" si="0">IF(J9=3,"ALTO",IF(J9=2,"MEDIO",IF(J9="N/A","N/A","BAJO")))</f>
        <v>ALTO</v>
      </c>
      <c r="L9" s="88">
        <v>20</v>
      </c>
      <c r="M9" s="88" t="str">
        <f>IF(L9=20,"ALTO",IF(L9=10,"MEDIO",IF(L9="N/A","N/A","BAJO")))</f>
        <v>ALTO</v>
      </c>
      <c r="N9" s="108">
        <f>J9*L9</f>
        <v>60</v>
      </c>
      <c r="O9" s="277" t="s">
        <v>159</v>
      </c>
      <c r="P9" s="277" t="s">
        <v>175</v>
      </c>
      <c r="Q9" s="88">
        <v>3</v>
      </c>
      <c r="R9" s="88" t="str">
        <f>IF(Q9=3,"ALTO",IF(Q9=2,"MEDIO",IF(Q9="N/A","N/A","BAJO")))</f>
        <v>ALTO</v>
      </c>
      <c r="S9" s="88">
        <v>10</v>
      </c>
      <c r="T9" s="88" t="str">
        <f>IF(S9=20,"ALTO",IF(S9=10,"MEDIO",IF(S9="N/A","N/A","BAJO")))</f>
        <v>MEDIO</v>
      </c>
      <c r="U9" s="108">
        <f>Q9*S9</f>
        <v>30</v>
      </c>
      <c r="V9" s="59" t="s">
        <v>118</v>
      </c>
      <c r="W9" s="59"/>
      <c r="X9" s="59"/>
      <c r="Y9" s="59"/>
      <c r="Z9" s="351" t="s">
        <v>160</v>
      </c>
      <c r="AA9" s="122" t="s">
        <v>161</v>
      </c>
      <c r="AB9" s="122" t="s">
        <v>162</v>
      </c>
      <c r="AC9" s="352" t="s">
        <v>163</v>
      </c>
      <c r="AD9" s="276" t="s">
        <v>164</v>
      </c>
      <c r="AE9" s="391">
        <v>43819</v>
      </c>
      <c r="AG9" s="51">
        <v>1</v>
      </c>
      <c r="AH9" s="52"/>
      <c r="AI9" s="52"/>
      <c r="AJ9" s="50">
        <f>SUM(AG9:AI9)</f>
        <v>1</v>
      </c>
      <c r="AK9" s="29">
        <v>1</v>
      </c>
      <c r="AL9" s="29">
        <v>5</v>
      </c>
      <c r="AM9" s="29" t="s">
        <v>74</v>
      </c>
      <c r="AN9" s="29" t="s">
        <v>76</v>
      </c>
      <c r="AO9" s="93"/>
    </row>
    <row r="10" spans="2:41" s="29" customFormat="1" ht="165" customHeight="1" x14ac:dyDescent="0.2">
      <c r="B10" s="388"/>
      <c r="C10" s="80" t="s">
        <v>71</v>
      </c>
      <c r="D10" s="115" t="s">
        <v>77</v>
      </c>
      <c r="E10" s="45" t="s">
        <v>165</v>
      </c>
      <c r="F10" s="118" t="s">
        <v>166</v>
      </c>
      <c r="G10" s="128" t="s">
        <v>167</v>
      </c>
      <c r="H10" s="153" t="s">
        <v>168</v>
      </c>
      <c r="I10" s="154" t="s">
        <v>169</v>
      </c>
      <c r="J10" s="88">
        <v>2</v>
      </c>
      <c r="K10" s="239" t="str">
        <f t="shared" si="0"/>
        <v>MEDIO</v>
      </c>
      <c r="L10" s="57">
        <v>20</v>
      </c>
      <c r="M10" s="57" t="str">
        <f t="shared" ref="M10:M18" si="1">IF(L10=20,"ALTO",IF(L10=10,"MEDIO",IF(L10="N/A","N/A","BAJO")))</f>
        <v>ALTO</v>
      </c>
      <c r="N10" s="89">
        <f t="shared" ref="N10:N18" si="2">J10*L10</f>
        <v>40</v>
      </c>
      <c r="O10" s="128" t="s">
        <v>170</v>
      </c>
      <c r="P10" s="132" t="s">
        <v>639</v>
      </c>
      <c r="Q10" s="88">
        <v>2</v>
      </c>
      <c r="R10" s="88" t="str">
        <f t="shared" ref="R10:R18" si="3">IF(Q10=3,"ALTO",IF(Q10=2,"MEDIO",IF(Q10="N/A","N/A","BAJO")))</f>
        <v>MEDIO</v>
      </c>
      <c r="S10" s="57">
        <v>10</v>
      </c>
      <c r="T10" s="88" t="str">
        <f t="shared" ref="T10:T18" si="4">IF(S10=20,"ALTO",IF(S10=10,"MEDIO",IF(S10="N/A","N/A","BAJO")))</f>
        <v>MEDIO</v>
      </c>
      <c r="U10" s="89">
        <f t="shared" ref="U10:U18" si="5">Q10*S10</f>
        <v>20</v>
      </c>
      <c r="V10" s="59" t="s">
        <v>118</v>
      </c>
      <c r="W10" s="59"/>
      <c r="X10" s="59"/>
      <c r="Y10" s="59"/>
      <c r="Z10" s="118" t="s">
        <v>171</v>
      </c>
      <c r="AA10" s="118" t="s">
        <v>161</v>
      </c>
      <c r="AB10" s="118" t="s">
        <v>172</v>
      </c>
      <c r="AC10" s="118" t="s">
        <v>173</v>
      </c>
      <c r="AD10" s="128" t="s">
        <v>174</v>
      </c>
      <c r="AE10" s="391"/>
      <c r="AG10" s="114"/>
      <c r="AH10" s="115">
        <v>1</v>
      </c>
      <c r="AI10" s="115"/>
      <c r="AJ10" s="116">
        <f t="shared" ref="AJ10:AJ30" si="6">SUM(AG10:AI10)</f>
        <v>1</v>
      </c>
      <c r="AK10" s="29">
        <v>2</v>
      </c>
      <c r="AL10" s="29">
        <v>10</v>
      </c>
      <c r="AN10" s="29" t="s">
        <v>77</v>
      </c>
      <c r="AO10" s="93"/>
    </row>
    <row r="11" spans="2:41" s="29" customFormat="1" ht="263.25" customHeight="1" x14ac:dyDescent="0.2">
      <c r="B11" s="388"/>
      <c r="C11" s="80" t="s">
        <v>71</v>
      </c>
      <c r="D11" s="115" t="s">
        <v>77</v>
      </c>
      <c r="E11" s="45" t="s">
        <v>179</v>
      </c>
      <c r="F11" s="118" t="s">
        <v>176</v>
      </c>
      <c r="G11" s="118" t="s">
        <v>180</v>
      </c>
      <c r="H11" s="118" t="s">
        <v>177</v>
      </c>
      <c r="I11" s="118" t="s">
        <v>178</v>
      </c>
      <c r="J11" s="88">
        <v>2</v>
      </c>
      <c r="K11" s="239" t="str">
        <f t="shared" si="0"/>
        <v>MEDIO</v>
      </c>
      <c r="L11" s="57">
        <v>20</v>
      </c>
      <c r="M11" s="57" t="str">
        <f t="shared" si="1"/>
        <v>ALTO</v>
      </c>
      <c r="N11" s="89">
        <f t="shared" si="2"/>
        <v>40</v>
      </c>
      <c r="O11" s="132" t="s">
        <v>181</v>
      </c>
      <c r="P11" s="132" t="s">
        <v>640</v>
      </c>
      <c r="Q11" s="88">
        <v>2</v>
      </c>
      <c r="R11" s="88" t="str">
        <f t="shared" si="3"/>
        <v>MEDIO</v>
      </c>
      <c r="S11" s="57">
        <v>10</v>
      </c>
      <c r="T11" s="88" t="str">
        <f t="shared" si="4"/>
        <v>MEDIO</v>
      </c>
      <c r="U11" s="89">
        <f t="shared" si="5"/>
        <v>20</v>
      </c>
      <c r="V11" s="59" t="s">
        <v>118</v>
      </c>
      <c r="W11" s="59"/>
      <c r="X11" s="59"/>
      <c r="Y11" s="59"/>
      <c r="Z11" s="125" t="s">
        <v>183</v>
      </c>
      <c r="AA11" s="125" t="s">
        <v>182</v>
      </c>
      <c r="AB11" s="155" t="s">
        <v>184</v>
      </c>
      <c r="AC11" s="155" t="s">
        <v>185</v>
      </c>
      <c r="AD11" s="128" t="s">
        <v>641</v>
      </c>
      <c r="AE11" s="391"/>
      <c r="AG11" s="114">
        <v>1</v>
      </c>
      <c r="AH11" s="115"/>
      <c r="AI11" s="115"/>
      <c r="AJ11" s="116">
        <f t="shared" si="6"/>
        <v>1</v>
      </c>
      <c r="AK11" s="29">
        <v>3</v>
      </c>
      <c r="AL11" s="29">
        <v>20</v>
      </c>
      <c r="AN11" s="29" t="s">
        <v>88</v>
      </c>
      <c r="AO11" s="93"/>
    </row>
    <row r="12" spans="2:41" s="29" customFormat="1" ht="168.75" customHeight="1" x14ac:dyDescent="0.2">
      <c r="B12" s="388"/>
      <c r="C12" s="156" t="s">
        <v>71</v>
      </c>
      <c r="D12" s="157" t="s">
        <v>89</v>
      </c>
      <c r="E12" s="158" t="s">
        <v>186</v>
      </c>
      <c r="F12" s="159" t="s">
        <v>187</v>
      </c>
      <c r="G12" s="159" t="s">
        <v>188</v>
      </c>
      <c r="H12" s="159" t="s">
        <v>189</v>
      </c>
      <c r="I12" s="159" t="s">
        <v>190</v>
      </c>
      <c r="J12" s="88">
        <v>2</v>
      </c>
      <c r="K12" s="239" t="str">
        <f t="shared" si="0"/>
        <v>MEDIO</v>
      </c>
      <c r="L12" s="160">
        <v>10</v>
      </c>
      <c r="M12" s="57" t="str">
        <f t="shared" si="1"/>
        <v>MEDIO</v>
      </c>
      <c r="N12" s="89">
        <f t="shared" si="2"/>
        <v>20</v>
      </c>
      <c r="O12" s="161" t="s">
        <v>191</v>
      </c>
      <c r="P12" s="161" t="s">
        <v>192</v>
      </c>
      <c r="Q12" s="88">
        <v>1</v>
      </c>
      <c r="R12" s="88" t="str">
        <f t="shared" si="3"/>
        <v>BAJO</v>
      </c>
      <c r="S12" s="160">
        <v>5</v>
      </c>
      <c r="T12" s="88" t="str">
        <f t="shared" si="4"/>
        <v>BAJO</v>
      </c>
      <c r="U12" s="89">
        <f t="shared" si="5"/>
        <v>5</v>
      </c>
      <c r="V12" s="59"/>
      <c r="W12" s="59" t="s">
        <v>118</v>
      </c>
      <c r="X12" s="59"/>
      <c r="Y12" s="59"/>
      <c r="Z12" s="125" t="s">
        <v>193</v>
      </c>
      <c r="AA12" s="162" t="s">
        <v>194</v>
      </c>
      <c r="AB12" s="163" t="s">
        <v>195</v>
      </c>
      <c r="AC12" s="163" t="s">
        <v>79</v>
      </c>
      <c r="AD12" s="164" t="s">
        <v>642</v>
      </c>
      <c r="AE12" s="391"/>
      <c r="AG12" s="174"/>
      <c r="AH12" s="175"/>
      <c r="AI12" s="175"/>
      <c r="AJ12" s="176"/>
      <c r="AN12" s="29" t="s">
        <v>89</v>
      </c>
      <c r="AO12" s="93"/>
    </row>
    <row r="13" spans="2:41" s="29" customFormat="1" ht="191.25" customHeight="1" x14ac:dyDescent="0.2">
      <c r="B13" s="388"/>
      <c r="C13" s="156" t="s">
        <v>71</v>
      </c>
      <c r="D13" s="157" t="s">
        <v>77</v>
      </c>
      <c r="E13" s="158" t="s">
        <v>196</v>
      </c>
      <c r="F13" s="159" t="s">
        <v>197</v>
      </c>
      <c r="G13" s="159" t="s">
        <v>198</v>
      </c>
      <c r="H13" s="159" t="s">
        <v>199</v>
      </c>
      <c r="I13" s="159" t="s">
        <v>643</v>
      </c>
      <c r="J13" s="178">
        <v>2</v>
      </c>
      <c r="K13" s="239" t="str">
        <f t="shared" si="0"/>
        <v>MEDIO</v>
      </c>
      <c r="L13" s="160">
        <v>10</v>
      </c>
      <c r="M13" s="57" t="str">
        <f t="shared" si="1"/>
        <v>MEDIO</v>
      </c>
      <c r="N13" s="192">
        <f t="shared" si="2"/>
        <v>20</v>
      </c>
      <c r="O13" s="211" t="s">
        <v>200</v>
      </c>
      <c r="P13" s="211" t="s">
        <v>201</v>
      </c>
      <c r="Q13" s="178">
        <v>1</v>
      </c>
      <c r="R13" s="88" t="str">
        <f t="shared" si="3"/>
        <v>BAJO</v>
      </c>
      <c r="S13" s="160">
        <v>10</v>
      </c>
      <c r="T13" s="88" t="str">
        <f t="shared" si="4"/>
        <v>MEDIO</v>
      </c>
      <c r="U13" s="192">
        <f t="shared" si="5"/>
        <v>10</v>
      </c>
      <c r="V13" s="179"/>
      <c r="W13" s="179" t="s">
        <v>118</v>
      </c>
      <c r="X13" s="179"/>
      <c r="Y13" s="179"/>
      <c r="Z13" s="212" t="s">
        <v>202</v>
      </c>
      <c r="AA13" s="213">
        <v>43635</v>
      </c>
      <c r="AB13" s="212" t="s">
        <v>203</v>
      </c>
      <c r="AC13" s="214" t="s">
        <v>121</v>
      </c>
      <c r="AD13" s="162" t="s">
        <v>204</v>
      </c>
      <c r="AE13" s="391"/>
      <c r="AG13" s="215"/>
      <c r="AH13" s="157"/>
      <c r="AI13" s="157"/>
      <c r="AJ13" s="216"/>
      <c r="AN13" s="29" t="s">
        <v>90</v>
      </c>
      <c r="AO13" s="93"/>
    </row>
    <row r="14" spans="2:41" s="25" customFormat="1" ht="191.25" customHeight="1" x14ac:dyDescent="0.2">
      <c r="B14" s="388"/>
      <c r="C14" s="80" t="s">
        <v>74</v>
      </c>
      <c r="D14" s="175" t="s">
        <v>72</v>
      </c>
      <c r="E14" s="45" t="s">
        <v>263</v>
      </c>
      <c r="F14" s="118" t="s">
        <v>644</v>
      </c>
      <c r="G14" s="118" t="s">
        <v>645</v>
      </c>
      <c r="H14" s="118" t="s">
        <v>646</v>
      </c>
      <c r="I14" s="118" t="s">
        <v>647</v>
      </c>
      <c r="J14" s="57" t="s">
        <v>85</v>
      </c>
      <c r="K14" s="239" t="str">
        <f>IF(J14=3,"ALTO",IF(J14=2,"MEDIO",IF(J14="N/A","N/A","BAJO")))</f>
        <v>N/A</v>
      </c>
      <c r="L14" s="57" t="s">
        <v>85</v>
      </c>
      <c r="M14" s="57" t="str">
        <f t="shared" si="1"/>
        <v>N/A</v>
      </c>
      <c r="N14" s="192" t="e">
        <f t="shared" si="2"/>
        <v>#VALUE!</v>
      </c>
      <c r="O14" s="232"/>
      <c r="P14" s="232"/>
      <c r="Q14" s="57" t="s">
        <v>85</v>
      </c>
      <c r="R14" s="88" t="str">
        <f t="shared" si="3"/>
        <v>N/A</v>
      </c>
      <c r="S14" s="57" t="s">
        <v>85</v>
      </c>
      <c r="T14" s="88" t="str">
        <f t="shared" si="4"/>
        <v>N/A</v>
      </c>
      <c r="U14" s="192" t="e">
        <f t="shared" si="5"/>
        <v>#VALUE!</v>
      </c>
      <c r="V14" s="233"/>
      <c r="W14" s="233"/>
      <c r="X14" s="233"/>
      <c r="Y14" s="233"/>
      <c r="Z14" s="208" t="s">
        <v>648</v>
      </c>
      <c r="AA14" s="210" t="s">
        <v>649</v>
      </c>
      <c r="AB14" s="208" t="s">
        <v>650</v>
      </c>
      <c r="AC14" s="209" t="s">
        <v>121</v>
      </c>
      <c r="AD14" s="125"/>
      <c r="AE14" s="391"/>
      <c r="AG14" s="175"/>
      <c r="AH14" s="175"/>
      <c r="AI14" s="175"/>
      <c r="AJ14" s="175"/>
      <c r="AO14" s="219"/>
    </row>
    <row r="15" spans="2:41" s="25" customFormat="1" ht="191.25" customHeight="1" x14ac:dyDescent="0.2">
      <c r="B15" s="388"/>
      <c r="C15" s="80" t="s">
        <v>74</v>
      </c>
      <c r="D15" s="175" t="s">
        <v>72</v>
      </c>
      <c r="E15" s="45" t="s">
        <v>264</v>
      </c>
      <c r="F15" s="118" t="s">
        <v>651</v>
      </c>
      <c r="G15" s="118" t="s">
        <v>652</v>
      </c>
      <c r="H15" s="118" t="s">
        <v>653</v>
      </c>
      <c r="I15" s="118" t="s">
        <v>654</v>
      </c>
      <c r="J15" s="57" t="s">
        <v>85</v>
      </c>
      <c r="K15" s="239" t="str">
        <f t="shared" ref="K15:K18" si="7">IF(J15=3,"ALTO",IF(J15=2,"MEDIO",IF(J15="N/A","N/A","BAJO")))</f>
        <v>N/A</v>
      </c>
      <c r="L15" s="57" t="s">
        <v>85</v>
      </c>
      <c r="M15" s="57" t="str">
        <f t="shared" si="1"/>
        <v>N/A</v>
      </c>
      <c r="N15" s="89" t="e">
        <f t="shared" si="2"/>
        <v>#VALUE!</v>
      </c>
      <c r="O15" s="232"/>
      <c r="P15" s="232"/>
      <c r="Q15" s="57" t="s">
        <v>85</v>
      </c>
      <c r="R15" s="88" t="str">
        <f t="shared" si="3"/>
        <v>N/A</v>
      </c>
      <c r="S15" s="57" t="s">
        <v>85</v>
      </c>
      <c r="T15" s="88" t="str">
        <f t="shared" si="4"/>
        <v>N/A</v>
      </c>
      <c r="U15" s="89" t="e">
        <f t="shared" si="5"/>
        <v>#VALUE!</v>
      </c>
      <c r="V15" s="233"/>
      <c r="W15" s="233"/>
      <c r="X15" s="233"/>
      <c r="Y15" s="233"/>
      <c r="Z15" s="208" t="s">
        <v>655</v>
      </c>
      <c r="AA15" s="210" t="s">
        <v>656</v>
      </c>
      <c r="AB15" s="208" t="s">
        <v>619</v>
      </c>
      <c r="AC15" s="209" t="s">
        <v>657</v>
      </c>
      <c r="AD15" s="125" t="s">
        <v>972</v>
      </c>
      <c r="AE15" s="391"/>
      <c r="AG15" s="175"/>
      <c r="AH15" s="175"/>
      <c r="AI15" s="175"/>
      <c r="AJ15" s="175"/>
      <c r="AO15" s="219"/>
    </row>
    <row r="16" spans="2:41" s="29" customFormat="1" ht="152.25" customHeight="1" x14ac:dyDescent="0.2">
      <c r="B16" s="388"/>
      <c r="C16" s="217" t="s">
        <v>74</v>
      </c>
      <c r="D16" s="218" t="s">
        <v>76</v>
      </c>
      <c r="E16" s="197" t="s">
        <v>265</v>
      </c>
      <c r="F16" s="198" t="s">
        <v>658</v>
      </c>
      <c r="G16" s="198" t="s">
        <v>659</v>
      </c>
      <c r="H16" s="198" t="s">
        <v>660</v>
      </c>
      <c r="I16" s="198" t="s">
        <v>661</v>
      </c>
      <c r="J16" s="178" t="s">
        <v>85</v>
      </c>
      <c r="K16" s="239" t="str">
        <f t="shared" si="7"/>
        <v>N/A</v>
      </c>
      <c r="L16" s="178" t="s">
        <v>85</v>
      </c>
      <c r="M16" s="57" t="str">
        <f t="shared" si="1"/>
        <v>N/A</v>
      </c>
      <c r="N16" s="89" t="e">
        <f t="shared" si="2"/>
        <v>#VALUE!</v>
      </c>
      <c r="O16" s="241"/>
      <c r="P16" s="241"/>
      <c r="Q16" s="178" t="s">
        <v>85</v>
      </c>
      <c r="R16" s="88" t="str">
        <f t="shared" si="3"/>
        <v>N/A</v>
      </c>
      <c r="S16" s="178" t="s">
        <v>85</v>
      </c>
      <c r="T16" s="88" t="str">
        <f t="shared" si="4"/>
        <v>N/A</v>
      </c>
      <c r="U16" s="89" t="e">
        <f t="shared" si="5"/>
        <v>#VALUE!</v>
      </c>
      <c r="V16" s="246"/>
      <c r="W16" s="246"/>
      <c r="X16" s="246"/>
      <c r="Y16" s="246"/>
      <c r="Z16" s="202" t="s">
        <v>662</v>
      </c>
      <c r="AA16" s="353">
        <v>43586</v>
      </c>
      <c r="AB16" s="207" t="s">
        <v>663</v>
      </c>
      <c r="AC16" s="207" t="s">
        <v>664</v>
      </c>
      <c r="AD16" s="205" t="s">
        <v>973</v>
      </c>
      <c r="AE16" s="391"/>
      <c r="AG16" s="220"/>
      <c r="AH16" s="218"/>
      <c r="AI16" s="218"/>
      <c r="AJ16" s="221"/>
      <c r="AO16" s="93"/>
    </row>
    <row r="17" spans="2:41" s="25" customFormat="1" ht="150.75" customHeight="1" x14ac:dyDescent="0.2">
      <c r="B17" s="388"/>
      <c r="C17" s="80" t="s">
        <v>74</v>
      </c>
      <c r="D17" s="175" t="s">
        <v>76</v>
      </c>
      <c r="E17" s="45" t="s">
        <v>266</v>
      </c>
      <c r="F17" s="118" t="s">
        <v>665</v>
      </c>
      <c r="G17" s="118" t="s">
        <v>666</v>
      </c>
      <c r="H17" s="118" t="s">
        <v>667</v>
      </c>
      <c r="I17" s="118" t="s">
        <v>668</v>
      </c>
      <c r="J17" s="57" t="s">
        <v>85</v>
      </c>
      <c r="K17" s="239" t="str">
        <f t="shared" si="7"/>
        <v>N/A</v>
      </c>
      <c r="L17" s="57" t="s">
        <v>85</v>
      </c>
      <c r="M17" s="57" t="str">
        <f t="shared" si="1"/>
        <v>N/A</v>
      </c>
      <c r="N17" s="89" t="e">
        <f t="shared" si="2"/>
        <v>#VALUE!</v>
      </c>
      <c r="O17" s="232"/>
      <c r="P17" s="232"/>
      <c r="Q17" s="57" t="s">
        <v>85</v>
      </c>
      <c r="R17" s="88" t="str">
        <f t="shared" si="3"/>
        <v>N/A</v>
      </c>
      <c r="S17" s="57" t="s">
        <v>85</v>
      </c>
      <c r="T17" s="88" t="str">
        <f t="shared" si="4"/>
        <v>N/A</v>
      </c>
      <c r="U17" s="89" t="e">
        <f t="shared" si="5"/>
        <v>#VALUE!</v>
      </c>
      <c r="V17" s="233"/>
      <c r="W17" s="233"/>
      <c r="X17" s="233"/>
      <c r="Y17" s="233"/>
      <c r="Z17" s="125" t="s">
        <v>669</v>
      </c>
      <c r="AA17" s="125" t="s">
        <v>649</v>
      </c>
      <c r="AB17" s="125" t="s">
        <v>670</v>
      </c>
      <c r="AC17" s="125" t="s">
        <v>121</v>
      </c>
      <c r="AD17" s="128" t="s">
        <v>671</v>
      </c>
      <c r="AE17" s="391"/>
      <c r="AG17" s="175"/>
      <c r="AH17" s="175"/>
      <c r="AI17" s="175"/>
      <c r="AJ17" s="175"/>
      <c r="AO17" s="219"/>
    </row>
    <row r="18" spans="2:41" s="29" customFormat="1" ht="189" customHeight="1" thickBot="1" x14ac:dyDescent="0.25">
      <c r="B18" s="389"/>
      <c r="C18" s="222" t="s">
        <v>74</v>
      </c>
      <c r="D18" s="223" t="s">
        <v>76</v>
      </c>
      <c r="E18" s="224" t="s">
        <v>267</v>
      </c>
      <c r="F18" s="225" t="s">
        <v>672</v>
      </c>
      <c r="G18" s="225" t="s">
        <v>673</v>
      </c>
      <c r="H18" s="225" t="s">
        <v>672</v>
      </c>
      <c r="I18" s="225" t="s">
        <v>674</v>
      </c>
      <c r="J18" s="226" t="s">
        <v>85</v>
      </c>
      <c r="K18" s="240" t="str">
        <f t="shared" si="7"/>
        <v>N/A</v>
      </c>
      <c r="L18" s="226" t="s">
        <v>85</v>
      </c>
      <c r="M18" s="58" t="str">
        <f t="shared" si="1"/>
        <v>N/A</v>
      </c>
      <c r="N18" s="91" t="e">
        <f t="shared" si="2"/>
        <v>#VALUE!</v>
      </c>
      <c r="O18" s="242"/>
      <c r="P18" s="242"/>
      <c r="Q18" s="226" t="s">
        <v>85</v>
      </c>
      <c r="R18" s="58" t="str">
        <f t="shared" si="3"/>
        <v>N/A</v>
      </c>
      <c r="S18" s="226" t="s">
        <v>85</v>
      </c>
      <c r="T18" s="58" t="str">
        <f t="shared" si="4"/>
        <v>N/A</v>
      </c>
      <c r="U18" s="227" t="e">
        <f t="shared" si="5"/>
        <v>#VALUE!</v>
      </c>
      <c r="V18" s="247"/>
      <c r="W18" s="247"/>
      <c r="X18" s="247"/>
      <c r="Y18" s="247"/>
      <c r="Z18" s="228" t="s">
        <v>675</v>
      </c>
      <c r="AA18" s="229" t="s">
        <v>649</v>
      </c>
      <c r="AB18" s="228" t="s">
        <v>619</v>
      </c>
      <c r="AC18" s="230" t="s">
        <v>121</v>
      </c>
      <c r="AD18" s="231" t="s">
        <v>676</v>
      </c>
      <c r="AE18" s="392"/>
      <c r="AG18" s="51">
        <v>1</v>
      </c>
      <c r="AH18" s="52"/>
      <c r="AI18" s="52"/>
      <c r="AJ18" s="50">
        <f t="shared" si="6"/>
        <v>1</v>
      </c>
      <c r="AK18" s="29">
        <v>4</v>
      </c>
      <c r="AO18" s="93"/>
    </row>
    <row r="19" spans="2:41" s="29" customFormat="1" ht="31.5" customHeight="1" thickBot="1" x14ac:dyDescent="0.25">
      <c r="B19" s="24"/>
      <c r="C19" s="24"/>
      <c r="D19" s="24"/>
      <c r="E19" s="24"/>
      <c r="F19" s="24"/>
      <c r="G19" s="24"/>
      <c r="H19" s="24"/>
      <c r="I19" s="24"/>
      <c r="J19" s="24"/>
      <c r="K19" s="24"/>
      <c r="L19" s="24"/>
      <c r="M19" s="24"/>
      <c r="N19" s="24"/>
      <c r="O19" s="24"/>
      <c r="P19" s="24"/>
      <c r="Q19" s="24"/>
      <c r="R19" s="24"/>
      <c r="S19" s="24"/>
      <c r="T19" s="24"/>
      <c r="U19" s="24"/>
      <c r="V19" s="24"/>
      <c r="W19" s="24"/>
      <c r="X19" s="24"/>
      <c r="Y19" s="24"/>
      <c r="Z19" s="24"/>
      <c r="AA19" s="24"/>
      <c r="AB19" s="24"/>
      <c r="AC19" s="24"/>
      <c r="AD19" s="86"/>
      <c r="AE19" s="47"/>
      <c r="AG19" s="114"/>
      <c r="AH19" s="115">
        <v>1</v>
      </c>
      <c r="AI19" s="115"/>
      <c r="AJ19" s="116">
        <f t="shared" si="6"/>
        <v>1</v>
      </c>
      <c r="AO19" s="94"/>
    </row>
    <row r="20" spans="2:41" s="29" customFormat="1" ht="129" customHeight="1" thickBot="1" x14ac:dyDescent="0.25">
      <c r="B20" s="24"/>
      <c r="C20" s="24"/>
      <c r="D20" s="24"/>
      <c r="E20" s="24"/>
      <c r="F20" s="110"/>
      <c r="G20" s="110"/>
      <c r="H20" s="448" t="s">
        <v>268</v>
      </c>
      <c r="I20" s="449"/>
      <c r="J20" s="449"/>
      <c r="K20" s="450"/>
      <c r="L20" s="24"/>
      <c r="M20" s="393" t="s">
        <v>35</v>
      </c>
      <c r="N20" s="394"/>
      <c r="O20" s="394"/>
      <c r="P20" s="395"/>
      <c r="Q20" s="111"/>
      <c r="R20" s="24"/>
      <c r="S20" s="24"/>
      <c r="T20" s="24"/>
      <c r="U20" s="24"/>
      <c r="V20" s="24"/>
      <c r="W20" s="24"/>
      <c r="X20" s="24"/>
      <c r="Y20" s="24"/>
      <c r="Z20" s="24"/>
      <c r="AA20" s="24"/>
      <c r="AB20" s="24"/>
      <c r="AC20" s="24"/>
      <c r="AD20" s="24"/>
      <c r="AE20" s="42"/>
      <c r="AG20" s="114">
        <v>1</v>
      </c>
      <c r="AH20" s="115"/>
      <c r="AI20" s="115"/>
      <c r="AJ20" s="116">
        <f t="shared" si="6"/>
        <v>1</v>
      </c>
      <c r="AK20" s="29" t="s">
        <v>86</v>
      </c>
      <c r="AO20" s="434" t="s">
        <v>78</v>
      </c>
    </row>
    <row r="21" spans="2:41" s="29" customFormat="1" ht="46.5" customHeight="1" x14ac:dyDescent="0.2">
      <c r="B21" s="24"/>
      <c r="C21" s="24"/>
      <c r="D21" s="24"/>
      <c r="E21" s="24"/>
      <c r="F21" s="424"/>
      <c r="G21" s="424"/>
      <c r="H21" s="451" t="s">
        <v>149</v>
      </c>
      <c r="I21" s="452"/>
      <c r="J21" s="26">
        <f>COUNTIF(U9:U18,5)</f>
        <v>1</v>
      </c>
      <c r="K21" s="27">
        <f>J21*100%/J24</f>
        <v>0.2</v>
      </c>
      <c r="L21" s="24"/>
      <c r="M21" s="471" t="s">
        <v>106</v>
      </c>
      <c r="N21" s="472"/>
      <c r="O21" s="472" t="s">
        <v>49</v>
      </c>
      <c r="P21" s="473"/>
      <c r="Q21" s="112"/>
      <c r="R21" s="24"/>
      <c r="S21" s="24"/>
      <c r="T21" s="24"/>
      <c r="U21" s="24"/>
      <c r="V21" s="24"/>
      <c r="W21" s="24"/>
      <c r="X21" s="24"/>
      <c r="Y21" s="24"/>
      <c r="Z21" s="24"/>
      <c r="AA21" s="24"/>
      <c r="AB21" s="24"/>
      <c r="AC21" s="24"/>
      <c r="AD21" s="24"/>
      <c r="AE21" s="42"/>
      <c r="AG21" s="114">
        <v>1</v>
      </c>
      <c r="AH21" s="115"/>
      <c r="AI21" s="115"/>
      <c r="AJ21" s="116">
        <f t="shared" si="6"/>
        <v>1</v>
      </c>
      <c r="AK21" s="29" t="s">
        <v>87</v>
      </c>
      <c r="AO21" s="435"/>
    </row>
    <row r="22" spans="2:41" s="29" customFormat="1" ht="46.5" customHeight="1" x14ac:dyDescent="0.2">
      <c r="B22" s="24"/>
      <c r="C22" s="24"/>
      <c r="D22" s="24"/>
      <c r="E22" s="24"/>
      <c r="F22" s="424"/>
      <c r="G22" s="424"/>
      <c r="H22" s="451" t="s">
        <v>150</v>
      </c>
      <c r="I22" s="452"/>
      <c r="J22" s="26">
        <f>COUNTIFS(U9:U18,"&gt;=6",U9:U18,"&lt;=30")</f>
        <v>4</v>
      </c>
      <c r="K22" s="27">
        <f>J22*100%/J24</f>
        <v>0.8</v>
      </c>
      <c r="L22" s="24"/>
      <c r="M22" s="464" t="s">
        <v>107</v>
      </c>
      <c r="N22" s="465"/>
      <c r="O22" s="466" t="s">
        <v>50</v>
      </c>
      <c r="P22" s="467"/>
      <c r="Q22" s="112"/>
      <c r="R22" s="24"/>
      <c r="S22" s="24"/>
      <c r="T22" s="24"/>
      <c r="U22" s="24"/>
      <c r="V22" s="24"/>
      <c r="W22" s="24"/>
      <c r="X22" s="24"/>
      <c r="Y22" s="24"/>
      <c r="Z22" s="24"/>
      <c r="AA22" s="24"/>
      <c r="AB22" s="24"/>
      <c r="AC22" s="24"/>
      <c r="AD22" s="24"/>
      <c r="AE22" s="42"/>
      <c r="AG22" s="114">
        <v>1</v>
      </c>
      <c r="AH22" s="115"/>
      <c r="AI22" s="115"/>
      <c r="AJ22" s="116">
        <f t="shared" si="6"/>
        <v>1</v>
      </c>
      <c r="AO22" s="435"/>
    </row>
    <row r="23" spans="2:41" s="29" customFormat="1" ht="46.5" customHeight="1" thickBot="1" x14ac:dyDescent="0.25">
      <c r="B23" s="24"/>
      <c r="C23" s="24"/>
      <c r="D23" s="24"/>
      <c r="E23" s="24"/>
      <c r="F23" s="424"/>
      <c r="G23" s="424"/>
      <c r="H23" s="451" t="s">
        <v>151</v>
      </c>
      <c r="I23" s="452"/>
      <c r="J23" s="26">
        <f>COUNTIFS(U9:U18,"&gt;=40",U9:U18,"&lt;=60")</f>
        <v>0</v>
      </c>
      <c r="K23" s="27">
        <f>J23*100%/J24</f>
        <v>0</v>
      </c>
      <c r="L23" s="24"/>
      <c r="M23" s="468" t="s">
        <v>108</v>
      </c>
      <c r="N23" s="469"/>
      <c r="O23" s="469" t="s">
        <v>20</v>
      </c>
      <c r="P23" s="470"/>
      <c r="Q23" s="112"/>
      <c r="R23" s="24"/>
      <c r="S23" s="24"/>
      <c r="T23" s="24"/>
      <c r="U23" s="24"/>
      <c r="V23" s="24"/>
      <c r="W23" s="24"/>
      <c r="X23" s="24"/>
      <c r="Y23" s="24"/>
      <c r="Z23" s="24"/>
      <c r="AA23" s="24"/>
      <c r="AB23" s="24"/>
      <c r="AC23" s="24"/>
      <c r="AD23" s="24"/>
      <c r="AE23" s="42"/>
      <c r="AG23" s="114">
        <v>1</v>
      </c>
      <c r="AH23" s="115"/>
      <c r="AI23" s="115"/>
      <c r="AJ23" s="116">
        <f t="shared" si="6"/>
        <v>1</v>
      </c>
      <c r="AO23" s="435"/>
    </row>
    <row r="24" spans="2:41" s="29" customFormat="1" ht="46.5" customHeight="1" thickBot="1" x14ac:dyDescent="0.25">
      <c r="B24" s="24"/>
      <c r="C24" s="24"/>
      <c r="D24" s="24"/>
      <c r="E24" s="24"/>
      <c r="F24" s="433"/>
      <c r="G24" s="433"/>
      <c r="H24" s="458" t="s">
        <v>152</v>
      </c>
      <c r="I24" s="459"/>
      <c r="J24" s="137">
        <f>+J21+J23+J22</f>
        <v>5</v>
      </c>
      <c r="K24" s="138">
        <f>K21+K22+K23</f>
        <v>1</v>
      </c>
      <c r="L24" s="24"/>
      <c r="M24" s="24"/>
      <c r="N24" s="24"/>
      <c r="O24" s="24"/>
      <c r="P24" s="24"/>
      <c r="Q24" s="24"/>
      <c r="R24" s="24"/>
      <c r="S24" s="24"/>
      <c r="T24" s="24"/>
      <c r="U24" s="24"/>
      <c r="V24" s="24"/>
      <c r="W24" s="24"/>
      <c r="X24" s="24"/>
      <c r="Y24" s="24"/>
      <c r="Z24" s="24"/>
      <c r="AA24" s="24"/>
      <c r="AB24" s="24"/>
      <c r="AC24" s="24"/>
      <c r="AD24" s="24"/>
      <c r="AE24" s="42"/>
      <c r="AG24" s="114">
        <v>1</v>
      </c>
      <c r="AH24" s="115"/>
      <c r="AI24" s="115"/>
      <c r="AJ24" s="116">
        <f t="shared" si="6"/>
        <v>1</v>
      </c>
      <c r="AO24" s="435"/>
    </row>
    <row r="25" spans="2:41" s="29" customFormat="1" ht="75" customHeight="1" thickBot="1" x14ac:dyDescent="0.25">
      <c r="B25" s="24"/>
      <c r="C25" s="24"/>
      <c r="D25" s="24"/>
      <c r="E25" s="24"/>
      <c r="F25" s="24"/>
      <c r="G25" s="24"/>
      <c r="H25" s="456" t="s">
        <v>269</v>
      </c>
      <c r="I25" s="457"/>
      <c r="J25" s="244">
        <f>COUNTIF(Q9:Q18,"N/A")</f>
        <v>5</v>
      </c>
      <c r="K25" s="245" t="str">
        <f>IF(J25&gt;=1,"100%",0)</f>
        <v>100%</v>
      </c>
      <c r="L25" s="24"/>
      <c r="M25" s="24"/>
      <c r="N25" s="24"/>
      <c r="O25" s="24"/>
      <c r="P25" s="24"/>
      <c r="Q25" s="24"/>
      <c r="R25" s="24"/>
      <c r="S25" s="24"/>
      <c r="T25" s="24"/>
      <c r="U25" s="24"/>
      <c r="V25" s="24"/>
      <c r="W25" s="24"/>
      <c r="X25" s="24"/>
      <c r="Y25" s="24"/>
      <c r="Z25" s="24"/>
      <c r="AA25" s="24"/>
      <c r="AB25" s="24"/>
      <c r="AC25" s="24"/>
      <c r="AD25" s="24"/>
      <c r="AE25" s="42"/>
      <c r="AG25" s="114"/>
      <c r="AH25" s="115">
        <v>1</v>
      </c>
      <c r="AI25" s="115"/>
      <c r="AJ25" s="116">
        <f t="shared" si="6"/>
        <v>1</v>
      </c>
      <c r="AO25" s="435"/>
    </row>
    <row r="26" spans="2:41" s="29" customFormat="1" ht="97.5" customHeight="1" x14ac:dyDescent="0.2">
      <c r="B26" s="24"/>
      <c r="C26" s="83"/>
      <c r="D26" s="83"/>
      <c r="E26" s="83"/>
      <c r="F26" s="83"/>
      <c r="G26" s="84"/>
      <c r="H26" s="84"/>
      <c r="I26" s="83"/>
      <c r="J26" s="24"/>
      <c r="K26" s="24"/>
      <c r="L26" s="24"/>
      <c r="M26" s="24"/>
      <c r="N26" s="24"/>
      <c r="O26" s="24"/>
      <c r="P26" s="24"/>
      <c r="Q26" s="24"/>
      <c r="R26" s="24"/>
      <c r="S26" s="24"/>
      <c r="T26" s="24"/>
      <c r="U26" s="24"/>
      <c r="V26" s="24"/>
      <c r="W26" s="24"/>
      <c r="X26" s="24"/>
      <c r="Y26" s="24"/>
      <c r="Z26" s="24"/>
      <c r="AA26" s="24"/>
      <c r="AB26" s="24"/>
      <c r="AC26" s="24"/>
      <c r="AD26" s="24"/>
      <c r="AE26" s="42"/>
      <c r="AG26" s="114"/>
      <c r="AH26" s="115">
        <v>1</v>
      </c>
      <c r="AI26" s="115"/>
      <c r="AJ26" s="116">
        <f t="shared" si="6"/>
        <v>1</v>
      </c>
      <c r="AO26" s="435"/>
    </row>
    <row r="27" spans="2:41" s="29" customFormat="1" ht="107.25" customHeight="1" thickBot="1" x14ac:dyDescent="0.25">
      <c r="B27" s="24"/>
      <c r="C27" s="83"/>
      <c r="D27" s="83"/>
      <c r="E27" s="83"/>
      <c r="F27" s="84"/>
      <c r="G27" s="84"/>
      <c r="H27" s="84"/>
      <c r="I27" s="84"/>
      <c r="J27" s="24"/>
      <c r="K27" s="24"/>
      <c r="L27" s="24"/>
      <c r="M27" s="24"/>
      <c r="N27" s="24"/>
      <c r="O27" s="24"/>
      <c r="P27" s="24"/>
      <c r="Q27" s="24"/>
      <c r="R27" s="24"/>
      <c r="S27" s="24"/>
      <c r="T27" s="24"/>
      <c r="U27" s="24"/>
      <c r="V27" s="24"/>
      <c r="W27" s="24"/>
      <c r="X27" s="24"/>
      <c r="Y27" s="24"/>
      <c r="Z27" s="24"/>
      <c r="AA27" s="24"/>
      <c r="AB27" s="24"/>
      <c r="AC27" s="24"/>
      <c r="AD27" s="24"/>
      <c r="AE27" s="42"/>
      <c r="AG27" s="114">
        <v>1</v>
      </c>
      <c r="AH27" s="115"/>
      <c r="AI27" s="115"/>
      <c r="AJ27" s="116">
        <f t="shared" si="6"/>
        <v>1</v>
      </c>
      <c r="AO27" s="436"/>
    </row>
    <row r="28" spans="2:41" s="28" customFormat="1" ht="80.25" customHeight="1" x14ac:dyDescent="0.2">
      <c r="B28" s="24"/>
      <c r="C28" s="83"/>
      <c r="D28" s="83"/>
      <c r="E28" s="85"/>
      <c r="F28" s="85"/>
      <c r="G28" s="85"/>
      <c r="H28" s="85"/>
      <c r="I28" s="85"/>
      <c r="J28" s="24"/>
      <c r="K28" s="24"/>
      <c r="L28" s="24"/>
      <c r="M28" s="24"/>
      <c r="N28" s="24"/>
      <c r="O28" s="24"/>
      <c r="P28" s="24"/>
      <c r="Q28" s="24"/>
      <c r="R28" s="24"/>
      <c r="S28" s="24"/>
      <c r="T28" s="24"/>
      <c r="U28" s="24"/>
      <c r="V28" s="24"/>
      <c r="W28" s="24"/>
      <c r="X28" s="24"/>
      <c r="Y28" s="24"/>
      <c r="Z28" s="24"/>
      <c r="AA28" s="24"/>
      <c r="AB28" s="24"/>
      <c r="AC28" s="24"/>
      <c r="AD28" s="24"/>
      <c r="AE28" s="42"/>
      <c r="AG28" s="39"/>
      <c r="AH28" s="49"/>
      <c r="AI28" s="49"/>
      <c r="AJ28" s="40"/>
      <c r="AO28" s="434" t="s">
        <v>79</v>
      </c>
    </row>
    <row r="29" spans="2:41" s="29" customFormat="1" ht="101.25" customHeight="1" x14ac:dyDescent="0.2">
      <c r="B29" s="24"/>
      <c r="C29" s="84"/>
      <c r="D29" s="84"/>
      <c r="E29" s="48"/>
      <c r="F29" s="48"/>
      <c r="G29" s="48"/>
      <c r="H29" s="48"/>
      <c r="I29" s="48"/>
      <c r="J29" s="24"/>
      <c r="K29" s="24"/>
      <c r="L29" s="24"/>
      <c r="M29" s="24"/>
      <c r="N29" s="24"/>
      <c r="O29" s="24"/>
      <c r="P29" s="24"/>
      <c r="Q29" s="24"/>
      <c r="R29" s="24"/>
      <c r="S29" s="24"/>
      <c r="T29" s="24"/>
      <c r="U29" s="24"/>
      <c r="V29" s="24"/>
      <c r="W29" s="24"/>
      <c r="X29" s="24"/>
      <c r="Y29" s="24"/>
      <c r="Z29" s="24"/>
      <c r="AA29" s="24"/>
      <c r="AB29" s="24"/>
      <c r="AC29" s="24"/>
      <c r="AD29" s="24"/>
      <c r="AE29" s="42"/>
      <c r="AG29" s="114">
        <v>1</v>
      </c>
      <c r="AH29" s="115"/>
      <c r="AI29" s="115"/>
      <c r="AJ29" s="116">
        <f t="shared" si="6"/>
        <v>1</v>
      </c>
      <c r="AO29" s="435"/>
    </row>
    <row r="30" spans="2:41" s="29" customFormat="1" ht="109.5" customHeight="1" x14ac:dyDescent="0.2">
      <c r="B30" s="24"/>
      <c r="C30" s="84"/>
      <c r="D30" s="84"/>
      <c r="I30" s="24"/>
      <c r="J30" s="24"/>
      <c r="K30" s="24"/>
      <c r="L30" s="24"/>
      <c r="M30" s="24"/>
      <c r="N30" s="24"/>
      <c r="O30" s="24"/>
      <c r="P30" s="24"/>
      <c r="Q30" s="24"/>
      <c r="R30" s="24"/>
      <c r="S30" s="24"/>
      <c r="T30" s="24"/>
      <c r="U30" s="24"/>
      <c r="V30" s="24"/>
      <c r="W30" s="24"/>
      <c r="X30" s="24"/>
      <c r="Y30" s="24"/>
      <c r="Z30" s="24"/>
      <c r="AA30" s="24"/>
      <c r="AB30" s="24"/>
      <c r="AC30" s="24"/>
      <c r="AD30" s="24"/>
      <c r="AE30" s="42"/>
      <c r="AG30" s="114"/>
      <c r="AH30" s="115">
        <v>1</v>
      </c>
      <c r="AI30" s="115"/>
      <c r="AJ30" s="116">
        <f t="shared" si="6"/>
        <v>1</v>
      </c>
      <c r="AO30" s="435"/>
    </row>
    <row r="31" spans="2:41" s="29" customFormat="1" ht="67.5" customHeight="1" x14ac:dyDescent="0.2">
      <c r="B31" s="24"/>
      <c r="C31" s="84"/>
      <c r="D31" s="84"/>
      <c r="H31" s="24"/>
      <c r="I31" s="24"/>
      <c r="J31" s="24"/>
      <c r="K31" s="24"/>
      <c r="L31" s="24"/>
      <c r="M31" s="24"/>
      <c r="N31" s="24"/>
      <c r="O31" s="24"/>
      <c r="P31" s="24"/>
      <c r="Q31" s="24"/>
      <c r="R31" s="24"/>
      <c r="S31" s="24"/>
      <c r="T31" s="24"/>
      <c r="U31" s="24"/>
      <c r="V31" s="24"/>
      <c r="W31" s="24"/>
      <c r="X31" s="24"/>
      <c r="Y31" s="24"/>
      <c r="Z31" s="24"/>
      <c r="AA31" s="24"/>
      <c r="AB31" s="24"/>
      <c r="AC31" s="24"/>
      <c r="AD31" s="24"/>
      <c r="AE31" s="42"/>
      <c r="AG31" s="114"/>
      <c r="AH31" s="115">
        <v>1</v>
      </c>
      <c r="AI31" s="115"/>
      <c r="AJ31" s="116">
        <v>1</v>
      </c>
      <c r="AO31" s="435"/>
    </row>
    <row r="32" spans="2:41" s="29" customFormat="1" ht="83.25" customHeight="1" x14ac:dyDescent="0.2">
      <c r="B32" s="24"/>
      <c r="C32" s="83"/>
      <c r="D32" s="83"/>
      <c r="G32" s="24"/>
      <c r="H32" s="24"/>
      <c r="I32" s="24"/>
      <c r="J32" s="24"/>
      <c r="K32" s="24"/>
      <c r="L32" s="24"/>
      <c r="M32" s="24"/>
      <c r="N32" s="24"/>
      <c r="O32" s="24"/>
      <c r="P32" s="24"/>
      <c r="Q32" s="24"/>
      <c r="R32" s="24"/>
      <c r="S32" s="24"/>
      <c r="T32" s="24"/>
      <c r="U32" s="24"/>
      <c r="V32" s="24"/>
      <c r="W32" s="24"/>
      <c r="X32" s="24"/>
      <c r="Y32" s="24"/>
      <c r="Z32" s="24"/>
      <c r="AA32" s="24"/>
      <c r="AB32" s="24"/>
      <c r="AC32" s="24"/>
      <c r="AD32" s="24"/>
      <c r="AE32" s="42"/>
      <c r="AG32" s="114"/>
      <c r="AH32" s="115">
        <v>1</v>
      </c>
      <c r="AI32" s="115"/>
      <c r="AJ32" s="116">
        <v>1</v>
      </c>
      <c r="AO32" s="435"/>
    </row>
    <row r="33" spans="2:41" s="29" customFormat="1" ht="75.75" customHeight="1" thickBot="1" x14ac:dyDescent="0.25">
      <c r="B33" s="24"/>
      <c r="C33" s="83"/>
      <c r="D33" s="83"/>
      <c r="G33" s="24"/>
      <c r="H33" s="24"/>
      <c r="I33" s="24"/>
      <c r="J33" s="24"/>
      <c r="K33" s="24"/>
      <c r="L33" s="24"/>
      <c r="M33" s="24"/>
      <c r="N33" s="24"/>
      <c r="O33" s="24"/>
      <c r="P33" s="24"/>
      <c r="Q33" s="24"/>
      <c r="R33" s="24"/>
      <c r="S33" s="24"/>
      <c r="T33" s="24"/>
      <c r="U33" s="24"/>
      <c r="V33" s="24"/>
      <c r="W33" s="24"/>
      <c r="X33" s="24"/>
      <c r="Y33" s="24"/>
      <c r="Z33" s="24"/>
      <c r="AA33" s="24"/>
      <c r="AB33" s="24"/>
      <c r="AC33" s="24"/>
      <c r="AD33" s="24"/>
      <c r="AE33" s="42"/>
      <c r="AG33" s="114"/>
      <c r="AH33" s="115"/>
      <c r="AI33" s="115"/>
      <c r="AJ33" s="116"/>
      <c r="AO33" s="436"/>
    </row>
    <row r="34" spans="2:41" s="29" customFormat="1" ht="73.5" customHeight="1" x14ac:dyDescent="0.2">
      <c r="B34" s="24"/>
      <c r="C34" s="83"/>
      <c r="D34" s="83"/>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114"/>
      <c r="AH34" s="115">
        <v>1</v>
      </c>
      <c r="AI34" s="115"/>
      <c r="AJ34" s="116">
        <v>1</v>
      </c>
      <c r="AO34" s="434" t="s">
        <v>80</v>
      </c>
    </row>
    <row r="35" spans="2:41" s="29" customFormat="1" ht="58.5" customHeight="1" x14ac:dyDescent="0.2">
      <c r="B35" s="24"/>
      <c r="C35" s="84"/>
      <c r="D35" s="84"/>
      <c r="J35" s="24"/>
      <c r="K35" s="24"/>
      <c r="L35" s="24"/>
      <c r="M35" s="24"/>
      <c r="N35" s="24"/>
      <c r="O35" s="24"/>
      <c r="P35" s="24"/>
      <c r="Q35" s="24"/>
      <c r="R35" s="24"/>
      <c r="S35" s="24"/>
      <c r="T35" s="24"/>
      <c r="U35" s="24"/>
      <c r="V35" s="24"/>
      <c r="W35" s="24"/>
      <c r="X35" s="24"/>
      <c r="Y35" s="24"/>
      <c r="Z35" s="24"/>
      <c r="AA35" s="24"/>
      <c r="AB35" s="24"/>
      <c r="AC35" s="24"/>
      <c r="AD35" s="24"/>
      <c r="AE35" s="42"/>
      <c r="AG35" s="114">
        <v>1</v>
      </c>
      <c r="AH35" s="115"/>
      <c r="AI35" s="115"/>
      <c r="AJ35" s="116">
        <v>1</v>
      </c>
      <c r="AO35" s="435"/>
    </row>
    <row r="36" spans="2:41" s="29" customFormat="1" ht="73.5" customHeight="1" x14ac:dyDescent="0.2">
      <c r="B36" s="24"/>
      <c r="C36" s="84"/>
      <c r="D36" s="8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14"/>
      <c r="AH36" s="115">
        <v>1</v>
      </c>
      <c r="AI36" s="115"/>
      <c r="AJ36" s="116">
        <v>1</v>
      </c>
      <c r="AO36" s="435"/>
    </row>
    <row r="37" spans="2:41" s="29" customFormat="1" ht="102" customHeight="1" thickBot="1" x14ac:dyDescent="0.25">
      <c r="B37" s="24"/>
      <c r="C37" s="84"/>
      <c r="D37" s="8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14">
        <v>1</v>
      </c>
      <c r="AH37" s="115"/>
      <c r="AI37" s="115"/>
      <c r="AJ37" s="116">
        <v>1</v>
      </c>
      <c r="AO37" s="435"/>
    </row>
    <row r="38" spans="2:41" s="29" customFormat="1" ht="86.25" customHeight="1" x14ac:dyDescent="0.2">
      <c r="B38" s="24"/>
      <c r="C38" s="84"/>
      <c r="D38" s="8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114"/>
      <c r="AH38" s="115">
        <v>1</v>
      </c>
      <c r="AI38" s="115"/>
      <c r="AJ38" s="116">
        <v>1</v>
      </c>
      <c r="AO38" s="437" t="s">
        <v>81</v>
      </c>
    </row>
    <row r="39" spans="2:41" s="29" customFormat="1" ht="70.5" customHeight="1" thickBot="1" x14ac:dyDescent="0.25">
      <c r="B39" s="24"/>
      <c r="C39" s="84"/>
      <c r="D39" s="8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114">
        <v>1</v>
      </c>
      <c r="AH39" s="115"/>
      <c r="AI39" s="115"/>
      <c r="AJ39" s="116">
        <v>1</v>
      </c>
      <c r="AO39" s="438"/>
    </row>
    <row r="40" spans="2:41" s="29" customFormat="1" ht="62.25" customHeight="1" x14ac:dyDescent="0.2">
      <c r="B40" s="24"/>
      <c r="C40" s="84"/>
      <c r="D40" s="8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114">
        <v>1</v>
      </c>
      <c r="AH40" s="115"/>
      <c r="AI40" s="115"/>
      <c r="AJ40" s="116">
        <v>1</v>
      </c>
      <c r="AO40" s="437" t="s">
        <v>82</v>
      </c>
    </row>
    <row r="41" spans="2:41" s="29" customFormat="1" ht="45.75" customHeight="1" x14ac:dyDescent="0.2">
      <c r="B41" s="24"/>
      <c r="C41" s="84"/>
      <c r="D41" s="8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114"/>
      <c r="AH41" s="115"/>
      <c r="AI41" s="115">
        <v>1</v>
      </c>
      <c r="AJ41" s="116">
        <v>1</v>
      </c>
      <c r="AO41" s="439"/>
    </row>
    <row r="42" spans="2:41" s="29" customFormat="1" ht="43.5" customHeight="1" x14ac:dyDescent="0.2">
      <c r="B42" s="24"/>
      <c r="C42" s="84"/>
      <c r="D42" s="8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114">
        <v>1</v>
      </c>
      <c r="AH42" s="115"/>
      <c r="AI42" s="115"/>
      <c r="AJ42" s="116">
        <v>1</v>
      </c>
      <c r="AO42" s="439"/>
    </row>
    <row r="43" spans="2:41" s="29" customFormat="1" ht="61.5" customHeight="1" thickBot="1" x14ac:dyDescent="0.25">
      <c r="B43" s="24"/>
      <c r="C43" s="84"/>
      <c r="D43" s="84"/>
      <c r="J43" s="24"/>
      <c r="K43" s="24"/>
      <c r="L43" s="24"/>
      <c r="M43" s="24"/>
      <c r="N43" s="24"/>
      <c r="O43" s="24"/>
      <c r="P43" s="24"/>
      <c r="Q43" s="24"/>
      <c r="R43" s="24"/>
      <c r="S43" s="24"/>
      <c r="T43" s="24"/>
      <c r="U43" s="24"/>
      <c r="V43" s="24"/>
      <c r="W43" s="24"/>
      <c r="X43" s="24"/>
      <c r="Y43" s="24"/>
      <c r="Z43" s="24"/>
      <c r="AA43" s="24"/>
      <c r="AB43" s="24"/>
      <c r="AC43" s="24"/>
      <c r="AD43" s="24"/>
      <c r="AE43" s="42"/>
      <c r="AG43" s="440"/>
      <c r="AH43" s="441"/>
      <c r="AI43" s="441">
        <v>1</v>
      </c>
      <c r="AJ43" s="442">
        <v>1</v>
      </c>
      <c r="AO43" s="438"/>
    </row>
    <row r="44" spans="2:41" s="29" customFormat="1" ht="70.5" customHeight="1" x14ac:dyDescent="0.2">
      <c r="B44" s="24"/>
      <c r="C44" s="84"/>
      <c r="D44" s="8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440"/>
      <c r="AH44" s="441"/>
      <c r="AI44" s="441"/>
      <c r="AJ44" s="442"/>
      <c r="AO44" s="434" t="s">
        <v>83</v>
      </c>
    </row>
    <row r="45" spans="2:41" s="29" customFormat="1" ht="59.25" customHeight="1" x14ac:dyDescent="0.2">
      <c r="B45" s="24"/>
      <c r="C45" s="84"/>
      <c r="D45" s="8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14">
        <v>1</v>
      </c>
      <c r="AH45" s="115"/>
      <c r="AI45" s="115"/>
      <c r="AJ45" s="116">
        <v>1</v>
      </c>
      <c r="AO45" s="435"/>
    </row>
    <row r="46" spans="2:41" s="29" customFormat="1" ht="122.25" customHeight="1" x14ac:dyDescent="0.2">
      <c r="B46" s="24"/>
      <c r="C46" s="84"/>
      <c r="D46" s="8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114">
        <v>1</v>
      </c>
      <c r="AH46" s="115"/>
      <c r="AI46" s="115"/>
      <c r="AJ46" s="116">
        <v>1</v>
      </c>
      <c r="AO46" s="435"/>
    </row>
    <row r="47" spans="2:41" s="29" customFormat="1" ht="97.5" customHeight="1" x14ac:dyDescent="0.2">
      <c r="B47" s="24"/>
      <c r="C47" s="84"/>
      <c r="D47" s="8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114">
        <v>1</v>
      </c>
      <c r="AH47" s="115"/>
      <c r="AI47" s="115"/>
      <c r="AJ47" s="116">
        <v>1</v>
      </c>
      <c r="AO47" s="435"/>
    </row>
    <row r="48" spans="2:41" s="29" customFormat="1" ht="49.5" customHeight="1" thickBot="1" x14ac:dyDescent="0.25">
      <c r="B48" s="24"/>
      <c r="C48" s="84"/>
      <c r="D48" s="8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114">
        <v>1</v>
      </c>
      <c r="AH48" s="115"/>
      <c r="AI48" s="115"/>
      <c r="AJ48" s="116">
        <v>1</v>
      </c>
      <c r="AO48" s="436"/>
    </row>
    <row r="49" spans="2:41" s="29" customFormat="1" ht="61.5" customHeight="1" x14ac:dyDescent="0.2">
      <c r="B49" s="24"/>
      <c r="C49" s="84"/>
      <c r="D49" s="8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114"/>
      <c r="AH49" s="115">
        <v>1</v>
      </c>
      <c r="AI49" s="115"/>
      <c r="AJ49" s="116">
        <v>1</v>
      </c>
      <c r="AO49" s="434" t="s">
        <v>84</v>
      </c>
    </row>
    <row r="50" spans="2:41" s="29" customFormat="1" ht="44.25" customHeight="1" x14ac:dyDescent="0.2">
      <c r="B50" s="24"/>
      <c r="C50" s="84"/>
      <c r="D50" s="8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114">
        <v>1</v>
      </c>
      <c r="AH50" s="115"/>
      <c r="AI50" s="115"/>
      <c r="AJ50" s="116">
        <v>1</v>
      </c>
      <c r="AO50" s="435"/>
    </row>
    <row r="51" spans="2:41" s="29" customFormat="1" ht="97.5" customHeight="1" x14ac:dyDescent="0.2">
      <c r="B51" s="24"/>
      <c r="C51" s="84"/>
      <c r="D51" s="84"/>
      <c r="J51" s="24"/>
      <c r="K51" s="24"/>
      <c r="L51" s="24"/>
      <c r="M51" s="24"/>
      <c r="N51" s="24"/>
      <c r="O51" s="24"/>
      <c r="P51" s="24"/>
      <c r="Q51" s="24"/>
      <c r="R51" s="24"/>
      <c r="S51" s="24"/>
      <c r="T51" s="24"/>
      <c r="U51" s="24"/>
      <c r="V51" s="24"/>
      <c r="W51" s="24"/>
      <c r="X51" s="24"/>
      <c r="Y51" s="24"/>
      <c r="Z51" s="24"/>
      <c r="AA51" s="24"/>
      <c r="AB51" s="24"/>
      <c r="AC51" s="24"/>
      <c r="AD51" s="24"/>
      <c r="AE51" s="42"/>
      <c r="AG51" s="114">
        <v>1</v>
      </c>
      <c r="AH51" s="115"/>
      <c r="AI51" s="115"/>
      <c r="AJ51" s="116">
        <v>1</v>
      </c>
      <c r="AO51" s="435"/>
    </row>
    <row r="52" spans="2:41" s="29" customFormat="1" ht="54.75" customHeight="1" thickBot="1" x14ac:dyDescent="0.25">
      <c r="B52" s="24"/>
      <c r="C52" s="84"/>
      <c r="D52" s="8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14">
        <v>1</v>
      </c>
      <c r="AH52" s="115"/>
      <c r="AI52" s="115"/>
      <c r="AJ52" s="116">
        <v>1</v>
      </c>
      <c r="AO52" s="436"/>
    </row>
    <row r="53" spans="2:41" s="29" customFormat="1" ht="83.25" customHeight="1" x14ac:dyDescent="0.2">
      <c r="B53" s="24"/>
      <c r="C53" s="84"/>
      <c r="D53" s="8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14">
        <v>1</v>
      </c>
      <c r="AH53" s="115"/>
      <c r="AI53" s="115"/>
      <c r="AJ53" s="116">
        <v>1</v>
      </c>
      <c r="AO53" s="434" t="s">
        <v>75</v>
      </c>
    </row>
    <row r="54" spans="2:41" s="29" customFormat="1" ht="82.5" customHeight="1" x14ac:dyDescent="0.2">
      <c r="B54" s="24"/>
      <c r="C54" s="84"/>
      <c r="D54" s="8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114"/>
      <c r="AH54" s="115"/>
      <c r="AI54" s="115">
        <v>1</v>
      </c>
      <c r="AJ54" s="116">
        <v>1</v>
      </c>
      <c r="AO54" s="435"/>
    </row>
    <row r="55" spans="2:41" s="29" customFormat="1" ht="67.5" customHeight="1" x14ac:dyDescent="0.2">
      <c r="B55" s="24"/>
      <c r="C55" s="84"/>
      <c r="D55" s="8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114"/>
      <c r="AH55" s="115">
        <v>1</v>
      </c>
      <c r="AI55" s="115"/>
      <c r="AJ55" s="116">
        <v>1</v>
      </c>
      <c r="AO55" s="435"/>
    </row>
    <row r="56" spans="2:41" s="29" customFormat="1" ht="65.25" customHeight="1" thickBot="1" x14ac:dyDescent="0.25">
      <c r="B56" s="24"/>
      <c r="C56" s="84"/>
      <c r="D56" s="8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114">
        <v>1</v>
      </c>
      <c r="AH56" s="115"/>
      <c r="AI56" s="115"/>
      <c r="AJ56" s="116">
        <v>1</v>
      </c>
      <c r="AO56" s="436"/>
    </row>
    <row r="57" spans="2:41" s="29" customFormat="1" ht="36.75" customHeight="1" x14ac:dyDescent="0.2">
      <c r="B57" s="24"/>
      <c r="C57" s="84"/>
      <c r="D57" s="8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114"/>
      <c r="AH57" s="115"/>
      <c r="AI57" s="115"/>
      <c r="AJ57" s="116"/>
    </row>
    <row r="58" spans="2:41" s="29" customFormat="1" ht="151.5" customHeight="1" x14ac:dyDescent="0.2">
      <c r="B58" s="24"/>
      <c r="C58" s="84"/>
      <c r="D58" s="84"/>
      <c r="I58" s="24"/>
      <c r="J58" s="24"/>
      <c r="K58" s="24"/>
      <c r="L58" s="24"/>
      <c r="M58" s="24"/>
      <c r="N58" s="24"/>
      <c r="O58" s="24"/>
      <c r="P58" s="24"/>
      <c r="Q58" s="24"/>
      <c r="R58" s="24"/>
      <c r="S58" s="24"/>
      <c r="T58" s="24"/>
      <c r="U58" s="24"/>
      <c r="V58" s="24"/>
      <c r="W58" s="24"/>
      <c r="X58" s="24"/>
      <c r="Y58" s="24"/>
      <c r="Z58" s="24"/>
      <c r="AA58" s="24"/>
      <c r="AB58" s="24"/>
      <c r="AC58" s="24"/>
      <c r="AD58" s="24"/>
      <c r="AE58" s="42"/>
      <c r="AG58" s="114"/>
      <c r="AH58" s="115"/>
      <c r="AI58" s="115">
        <v>1</v>
      </c>
      <c r="AJ58" s="116">
        <v>1</v>
      </c>
    </row>
    <row r="59" spans="2:41" s="29" customFormat="1" ht="100.5" customHeight="1" x14ac:dyDescent="0.2">
      <c r="B59" s="24"/>
      <c r="C59" s="84"/>
      <c r="D59" s="84"/>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42"/>
      <c r="AG59" s="114"/>
      <c r="AH59" s="115"/>
      <c r="AI59" s="115">
        <v>1</v>
      </c>
      <c r="AJ59" s="116">
        <v>1</v>
      </c>
    </row>
    <row r="60" spans="2:41" s="29" customFormat="1" ht="113.25" customHeight="1" x14ac:dyDescent="0.2">
      <c r="B60" s="24"/>
      <c r="C60" s="84"/>
      <c r="D60" s="8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42"/>
      <c r="AG60" s="114"/>
      <c r="AH60" s="115">
        <v>1</v>
      </c>
      <c r="AI60" s="115"/>
      <c r="AJ60" s="116">
        <v>1</v>
      </c>
    </row>
    <row r="61" spans="2:41" ht="54.75" customHeight="1" x14ac:dyDescent="0.2">
      <c r="C61" s="84"/>
      <c r="D61" s="84"/>
      <c r="AE61" s="42"/>
      <c r="AF61" s="29"/>
      <c r="AG61" s="34"/>
      <c r="AH61" s="30">
        <v>1</v>
      </c>
      <c r="AI61" s="30"/>
      <c r="AJ61" s="35">
        <v>1</v>
      </c>
    </row>
    <row r="62" spans="2:41" ht="45.75" customHeight="1" x14ac:dyDescent="0.2">
      <c r="C62" s="84"/>
      <c r="D62" s="84"/>
      <c r="AE62" s="42"/>
      <c r="AF62" s="29"/>
      <c r="AG62" s="34"/>
      <c r="AH62" s="30">
        <v>1</v>
      </c>
      <c r="AI62" s="30"/>
      <c r="AJ62" s="35">
        <v>1</v>
      </c>
    </row>
    <row r="63" spans="2:41" ht="54.75" customHeight="1" x14ac:dyDescent="0.2">
      <c r="C63" s="84"/>
      <c r="D63" s="84"/>
      <c r="AE63" s="42"/>
      <c r="AF63" s="29"/>
      <c r="AG63" s="34"/>
      <c r="AH63" s="30">
        <v>1</v>
      </c>
      <c r="AI63" s="30"/>
      <c r="AJ63" s="35">
        <v>1</v>
      </c>
    </row>
    <row r="64" spans="2:41" ht="201.75" customHeight="1" x14ac:dyDescent="0.2">
      <c r="C64" s="84"/>
      <c r="D64" s="84"/>
      <c r="AE64" s="42"/>
      <c r="AF64" s="29"/>
      <c r="AG64" s="34"/>
      <c r="AH64" s="30">
        <v>1</v>
      </c>
      <c r="AI64" s="30"/>
      <c r="AJ64" s="35">
        <v>1</v>
      </c>
    </row>
    <row r="65" spans="3:36" ht="125.25" customHeight="1" x14ac:dyDescent="0.2">
      <c r="C65" s="84"/>
      <c r="D65" s="84"/>
      <c r="AE65" s="42"/>
      <c r="AF65" s="29"/>
      <c r="AG65" s="34"/>
      <c r="AH65" s="30">
        <v>1</v>
      </c>
      <c r="AI65" s="30"/>
      <c r="AJ65" s="35">
        <v>1</v>
      </c>
    </row>
    <row r="66" spans="3:36" ht="112.5" customHeight="1" thickBot="1" x14ac:dyDescent="0.25">
      <c r="C66" s="84"/>
      <c r="D66" s="84"/>
      <c r="AE66" s="42"/>
      <c r="AG66" s="36">
        <f>SUM(AG9:AG61)</f>
        <v>24</v>
      </c>
      <c r="AH66" s="37">
        <f>SUM(AH9:AH65)</f>
        <v>18</v>
      </c>
      <c r="AI66" s="37">
        <f>SUM(AI9:AI65)</f>
        <v>5</v>
      </c>
      <c r="AJ66" s="38">
        <f>SUM(AJ9:AJ65)</f>
        <v>47</v>
      </c>
    </row>
    <row r="67" spans="3:36" ht="94.5" customHeight="1" x14ac:dyDescent="0.2">
      <c r="C67" s="84"/>
      <c r="D67" s="84"/>
      <c r="AE67" s="42"/>
    </row>
    <row r="68" spans="3:36" ht="100.5" customHeight="1" x14ac:dyDescent="0.2">
      <c r="C68" s="84"/>
      <c r="D68" s="84"/>
      <c r="AE68" s="42"/>
    </row>
    <row r="69" spans="3:36" ht="226.5" customHeight="1" x14ac:dyDescent="0.2">
      <c r="C69" s="84"/>
      <c r="D69" s="84"/>
      <c r="AE69" s="42"/>
    </row>
    <row r="70" spans="3:36" ht="67.5" customHeight="1" x14ac:dyDescent="0.2">
      <c r="C70" s="84"/>
      <c r="D70" s="84"/>
      <c r="AE70" s="42"/>
    </row>
    <row r="71" spans="3:36" ht="90.75" customHeight="1" x14ac:dyDescent="0.2">
      <c r="C71" s="84"/>
      <c r="D71" s="84"/>
      <c r="AE71" s="42"/>
    </row>
    <row r="72" spans="3:36" ht="75" customHeight="1" x14ac:dyDescent="0.2">
      <c r="C72" s="84"/>
      <c r="D72" s="84"/>
      <c r="AE72" s="42"/>
    </row>
    <row r="73" spans="3:36" x14ac:dyDescent="0.2">
      <c r="C73" s="84"/>
      <c r="D73" s="84"/>
      <c r="AE73" s="42"/>
    </row>
    <row r="74" spans="3:36" ht="43.5" customHeight="1" x14ac:dyDescent="0.2">
      <c r="C74" s="84"/>
      <c r="D74" s="84"/>
      <c r="AE74" s="42"/>
    </row>
    <row r="75" spans="3:36" ht="49.5" customHeight="1" x14ac:dyDescent="0.2">
      <c r="C75" s="84"/>
      <c r="D75" s="84"/>
      <c r="AE75" s="42"/>
    </row>
    <row r="76" spans="3:36" ht="232.5" customHeight="1" x14ac:dyDescent="0.2">
      <c r="C76" s="84"/>
      <c r="D76" s="84"/>
      <c r="H76" s="84"/>
      <c r="I76" s="84"/>
      <c r="AE76" s="42"/>
    </row>
    <row r="77" spans="3:36" x14ac:dyDescent="0.2">
      <c r="C77" s="84"/>
      <c r="D77" s="84"/>
      <c r="AE77" s="42"/>
    </row>
    <row r="78" spans="3:36" ht="241.5" customHeight="1" x14ac:dyDescent="0.2">
      <c r="C78" s="84"/>
      <c r="D78" s="84"/>
      <c r="AE78" s="42"/>
    </row>
    <row r="79" spans="3:36" x14ac:dyDescent="0.2">
      <c r="AE79" s="42"/>
    </row>
    <row r="80" spans="3:36" x14ac:dyDescent="0.2">
      <c r="AE80" s="42"/>
    </row>
    <row r="81" spans="31:31" x14ac:dyDescent="0.2">
      <c r="AE81" s="42"/>
    </row>
    <row r="82" spans="31:31" x14ac:dyDescent="0.2">
      <c r="AE82" s="42"/>
    </row>
  </sheetData>
  <autoFilter ref="B8:AC18"/>
  <mergeCells count="56">
    <mergeCell ref="AO49:AO52"/>
    <mergeCell ref="AO53:AO56"/>
    <mergeCell ref="F24:G24"/>
    <mergeCell ref="AO28:AO33"/>
    <mergeCell ref="AO34:AO37"/>
    <mergeCell ref="AO38:AO39"/>
    <mergeCell ref="AO40:AO43"/>
    <mergeCell ref="AG43:AG44"/>
    <mergeCell ref="AH43:AH44"/>
    <mergeCell ref="AI43:AI44"/>
    <mergeCell ref="AJ43:AJ44"/>
    <mergeCell ref="AO44:AO48"/>
    <mergeCell ref="AO20:AO27"/>
    <mergeCell ref="F21:G21"/>
    <mergeCell ref="M21:N21"/>
    <mergeCell ref="O21:P21"/>
    <mergeCell ref="F22:G22"/>
    <mergeCell ref="M22:N22"/>
    <mergeCell ref="O22:P22"/>
    <mergeCell ref="F23:G23"/>
    <mergeCell ref="M23:N23"/>
    <mergeCell ref="O23:P23"/>
    <mergeCell ref="AG7:AJ7"/>
    <mergeCell ref="B9:B18"/>
    <mergeCell ref="AE9:AE18"/>
    <mergeCell ref="Q6:U7"/>
    <mergeCell ref="V6:AE6"/>
    <mergeCell ref="V7:Y7"/>
    <mergeCell ref="B4:F4"/>
    <mergeCell ref="G4:N4"/>
    <mergeCell ref="O4:T4"/>
    <mergeCell ref="U4:AA4"/>
    <mergeCell ref="AB4:AE4"/>
    <mergeCell ref="B2:AE2"/>
    <mergeCell ref="B3:F3"/>
    <mergeCell ref="G3:N3"/>
    <mergeCell ref="O3:T3"/>
    <mergeCell ref="U3:AA3"/>
    <mergeCell ref="AB3:AE3"/>
    <mergeCell ref="B5:AE5"/>
    <mergeCell ref="M20:P20"/>
    <mergeCell ref="B6:I6"/>
    <mergeCell ref="J6:N7"/>
    <mergeCell ref="O6:P6"/>
    <mergeCell ref="B7:B8"/>
    <mergeCell ref="C7:C8"/>
    <mergeCell ref="D7:D8"/>
    <mergeCell ref="O7:P7"/>
    <mergeCell ref="H20:K20"/>
    <mergeCell ref="Z7:AD7"/>
    <mergeCell ref="AE7:AE8"/>
    <mergeCell ref="H25:I25"/>
    <mergeCell ref="H21:I21"/>
    <mergeCell ref="H22:I22"/>
    <mergeCell ref="H23:I23"/>
    <mergeCell ref="H24:I24"/>
  </mergeCells>
  <conditionalFormatting sqref="N9:P9 N10 P10 N11:P18 U9:U18">
    <cfRule type="cellIs" dxfId="139" priority="21" operator="equal">
      <formula>5</formula>
    </cfRule>
    <cfRule type="cellIs" priority="22" operator="equal">
      <formula>5</formula>
    </cfRule>
    <cfRule type="cellIs" dxfId="138" priority="23" operator="between">
      <formula>6</formula>
      <formula>30</formula>
    </cfRule>
    <cfRule type="cellIs" dxfId="137" priority="24" operator="between">
      <formula>31</formula>
      <formula>60</formula>
    </cfRule>
  </conditionalFormatting>
  <conditionalFormatting sqref="N9:P9 N10 P10 N11:P18 U9:Y18">
    <cfRule type="containsErrors" dxfId="136" priority="20">
      <formula>ISERROR(N9)</formula>
    </cfRule>
  </conditionalFormatting>
  <conditionalFormatting sqref="J9:J18 L9:L18 Q9:Q18 S9:S18">
    <cfRule type="containsText" dxfId="135" priority="19" operator="containsText" text="N/A">
      <formula>NOT(ISERROR(SEARCH("N/A",J9)))</formula>
    </cfRule>
  </conditionalFormatting>
  <conditionalFormatting sqref="M22 O22">
    <cfRule type="cellIs" dxfId="134" priority="6" operator="equal">
      <formula>5</formula>
    </cfRule>
    <cfRule type="cellIs" priority="7" operator="equal">
      <formula>5</formula>
    </cfRule>
    <cfRule type="cellIs" dxfId="133" priority="8" operator="between">
      <formula>6</formula>
      <formula>30</formula>
    </cfRule>
    <cfRule type="cellIs" dxfId="132" priority="9" operator="between">
      <formula>31</formula>
      <formula>60</formula>
    </cfRule>
  </conditionalFormatting>
  <conditionalFormatting sqref="M22 O22">
    <cfRule type="containsErrors" dxfId="131" priority="5">
      <formula>ISERROR(M22)</formula>
    </cfRule>
  </conditionalFormatting>
  <conditionalFormatting sqref="K9:K18">
    <cfRule type="containsText" dxfId="130" priority="4" operator="containsText" text="N/A">
      <formula>NOT(ISERROR(SEARCH("N/A",K9)))</formula>
    </cfRule>
  </conditionalFormatting>
  <conditionalFormatting sqref="M9:M18">
    <cfRule type="containsText" dxfId="129" priority="3" operator="containsText" text="N/A">
      <formula>NOT(ISERROR(SEARCH("N/A",M9)))</formula>
    </cfRule>
  </conditionalFormatting>
  <conditionalFormatting sqref="R9:R18">
    <cfRule type="containsText" dxfId="128" priority="2" operator="containsText" text="N/A">
      <formula>NOT(ISERROR(SEARCH("N/A",R9)))</formula>
    </cfRule>
  </conditionalFormatting>
  <conditionalFormatting sqref="T9:T18">
    <cfRule type="containsText" dxfId="127" priority="1" operator="containsText" text="N/A">
      <formula>NOT(ISERROR(SEARCH("N/A",T9)))</formula>
    </cfRule>
  </conditionalFormatting>
  <dataValidations count="4">
    <dataValidation type="list" allowBlank="1" showInputMessage="1" showErrorMessage="1" sqref="Q9:Q18 J9:J18">
      <formula1>$AK$8:$AK$11</formula1>
    </dataValidation>
    <dataValidation type="list" allowBlank="1" showInputMessage="1" showErrorMessage="1" sqref="S9:S18 L9:L18">
      <formula1>$AL$8:$AL$11</formula1>
    </dataValidation>
    <dataValidation type="list" allowBlank="1" showInputMessage="1" showErrorMessage="1" sqref="C9:C18">
      <formula1>$AM$8:$AM$9</formula1>
    </dataValidation>
    <dataValidation type="list" allowBlank="1" showInputMessage="1" showErrorMessage="1" sqref="D9:D18">
      <formula1>$AN$8:$AN$13</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B1:AO81"/>
  <sheetViews>
    <sheetView showGridLines="0" view="pageBreakPreview" topLeftCell="A8" zoomScale="60" zoomScaleNormal="25" zoomScalePageLayoutView="75" workbookViewId="0">
      <selection activeCell="AD17" sqref="AD17"/>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0" width="16.28515625" style="24" customWidth="1"/>
    <col min="21" max="21" width="18.140625" style="24" customWidth="1"/>
    <col min="22"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72" t="s">
        <v>111</v>
      </c>
      <c r="C2" s="373"/>
      <c r="D2" s="373"/>
      <c r="E2" s="373"/>
      <c r="F2" s="373"/>
      <c r="G2" s="373"/>
      <c r="H2" s="373"/>
      <c r="I2" s="373"/>
      <c r="J2" s="373"/>
      <c r="K2" s="373"/>
      <c r="L2" s="373"/>
      <c r="M2" s="373"/>
      <c r="N2" s="373"/>
      <c r="O2" s="373"/>
      <c r="P2" s="373"/>
      <c r="Q2" s="373"/>
      <c r="R2" s="373"/>
      <c r="S2" s="373"/>
      <c r="T2" s="373"/>
      <c r="U2" s="373"/>
      <c r="V2" s="373"/>
      <c r="W2" s="373"/>
      <c r="X2" s="373"/>
      <c r="Y2" s="373"/>
      <c r="Z2" s="373"/>
      <c r="AA2" s="373"/>
      <c r="AB2" s="373"/>
      <c r="AC2" s="373"/>
      <c r="AD2" s="373"/>
      <c r="AE2" s="373"/>
      <c r="AF2" s="31"/>
    </row>
    <row r="3" spans="2:41" s="29" customFormat="1" ht="66" customHeight="1" thickBot="1" x14ac:dyDescent="0.25">
      <c r="B3" s="374" t="s">
        <v>39</v>
      </c>
      <c r="C3" s="375"/>
      <c r="D3" s="375"/>
      <c r="E3" s="375"/>
      <c r="F3" s="375"/>
      <c r="G3" s="374" t="s">
        <v>110</v>
      </c>
      <c r="H3" s="375"/>
      <c r="I3" s="375"/>
      <c r="J3" s="375"/>
      <c r="K3" s="375"/>
      <c r="L3" s="375"/>
      <c r="M3" s="375"/>
      <c r="N3" s="376"/>
      <c r="O3" s="374" t="s">
        <v>109</v>
      </c>
      <c r="P3" s="375"/>
      <c r="Q3" s="375"/>
      <c r="R3" s="375"/>
      <c r="S3" s="375"/>
      <c r="T3" s="376"/>
      <c r="U3" s="374" t="s">
        <v>40</v>
      </c>
      <c r="V3" s="375"/>
      <c r="W3" s="375"/>
      <c r="X3" s="375"/>
      <c r="Y3" s="375"/>
      <c r="Z3" s="375"/>
      <c r="AA3" s="376"/>
      <c r="AB3" s="374" t="s">
        <v>37</v>
      </c>
      <c r="AC3" s="375"/>
      <c r="AD3" s="375"/>
      <c r="AE3" s="376"/>
      <c r="AF3" s="32"/>
    </row>
    <row r="4" spans="2:41" s="29" customFormat="1" ht="72" customHeight="1" thickBot="1" x14ac:dyDescent="0.25">
      <c r="B4" s="377" t="s">
        <v>38</v>
      </c>
      <c r="C4" s="378"/>
      <c r="D4" s="378"/>
      <c r="E4" s="378"/>
      <c r="F4" s="378"/>
      <c r="G4" s="379">
        <v>42874</v>
      </c>
      <c r="H4" s="380"/>
      <c r="I4" s="380"/>
      <c r="J4" s="380"/>
      <c r="K4" s="380"/>
      <c r="L4" s="380"/>
      <c r="M4" s="380"/>
      <c r="N4" s="381"/>
      <c r="O4" s="382">
        <v>43700</v>
      </c>
      <c r="P4" s="383"/>
      <c r="Q4" s="383"/>
      <c r="R4" s="383"/>
      <c r="S4" s="383"/>
      <c r="T4" s="384"/>
      <c r="U4" s="377">
        <v>4</v>
      </c>
      <c r="V4" s="378"/>
      <c r="W4" s="378"/>
      <c r="X4" s="378"/>
      <c r="Y4" s="378"/>
      <c r="Z4" s="378"/>
      <c r="AA4" s="385"/>
      <c r="AB4" s="377" t="s">
        <v>52</v>
      </c>
      <c r="AC4" s="378"/>
      <c r="AD4" s="378"/>
      <c r="AE4" s="385"/>
      <c r="AF4" s="143"/>
    </row>
    <row r="5" spans="2:41" s="29" customFormat="1" ht="32.1" customHeight="1" thickBot="1" x14ac:dyDescent="0.25">
      <c r="B5" s="370" t="s">
        <v>964</v>
      </c>
      <c r="C5" s="371"/>
      <c r="D5" s="371"/>
      <c r="E5" s="371"/>
      <c r="F5" s="371"/>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143"/>
    </row>
    <row r="6" spans="2:41" s="29" customFormat="1" ht="54.95" customHeight="1" thickBot="1" x14ac:dyDescent="0.25">
      <c r="B6" s="396" t="s">
        <v>0</v>
      </c>
      <c r="C6" s="397"/>
      <c r="D6" s="397"/>
      <c r="E6" s="397"/>
      <c r="F6" s="397"/>
      <c r="G6" s="397"/>
      <c r="H6" s="397"/>
      <c r="I6" s="398"/>
      <c r="J6" s="399" t="s">
        <v>62</v>
      </c>
      <c r="K6" s="400"/>
      <c r="L6" s="400"/>
      <c r="M6" s="400"/>
      <c r="N6" s="401"/>
      <c r="O6" s="405" t="s">
        <v>94</v>
      </c>
      <c r="P6" s="406"/>
      <c r="Q6" s="407" t="s">
        <v>63</v>
      </c>
      <c r="R6" s="408"/>
      <c r="S6" s="408"/>
      <c r="T6" s="408"/>
      <c r="U6" s="409"/>
      <c r="V6" s="413" t="s">
        <v>58</v>
      </c>
      <c r="W6" s="414"/>
      <c r="X6" s="414"/>
      <c r="Y6" s="414"/>
      <c r="Z6" s="414"/>
      <c r="AA6" s="414"/>
      <c r="AB6" s="414"/>
      <c r="AC6" s="414"/>
      <c r="AD6" s="414"/>
      <c r="AE6" s="415"/>
    </row>
    <row r="7" spans="2:41" s="29" customFormat="1" ht="90" customHeight="1" thickBot="1" x14ac:dyDescent="0.25">
      <c r="B7" s="416" t="s">
        <v>8</v>
      </c>
      <c r="C7" s="417" t="s">
        <v>60</v>
      </c>
      <c r="D7" s="417" t="s">
        <v>91</v>
      </c>
      <c r="E7" s="77" t="s">
        <v>61</v>
      </c>
      <c r="F7" s="43" t="s">
        <v>9</v>
      </c>
      <c r="G7" s="43" t="s">
        <v>104</v>
      </c>
      <c r="H7" s="43" t="s">
        <v>10</v>
      </c>
      <c r="I7" s="96" t="s">
        <v>59</v>
      </c>
      <c r="J7" s="402"/>
      <c r="K7" s="403"/>
      <c r="L7" s="403"/>
      <c r="M7" s="403"/>
      <c r="N7" s="404"/>
      <c r="O7" s="419" t="s">
        <v>103</v>
      </c>
      <c r="P7" s="420"/>
      <c r="Q7" s="410"/>
      <c r="R7" s="411"/>
      <c r="S7" s="411"/>
      <c r="T7" s="411"/>
      <c r="U7" s="412"/>
      <c r="V7" s="421" t="s">
        <v>96</v>
      </c>
      <c r="W7" s="422"/>
      <c r="X7" s="422"/>
      <c r="Y7" s="423"/>
      <c r="Z7" s="461" t="s">
        <v>53</v>
      </c>
      <c r="AA7" s="462"/>
      <c r="AB7" s="462"/>
      <c r="AC7" s="462"/>
      <c r="AD7" s="463"/>
      <c r="AE7" s="431" t="s">
        <v>25</v>
      </c>
      <c r="AG7" s="386" t="s">
        <v>45</v>
      </c>
      <c r="AH7" s="386"/>
      <c r="AI7" s="386"/>
      <c r="AJ7" s="386"/>
      <c r="AK7" s="29" t="s">
        <v>67</v>
      </c>
      <c r="AL7" s="29" t="s">
        <v>68</v>
      </c>
    </row>
    <row r="8" spans="2:41" s="29" customFormat="1" ht="202.5" customHeight="1" thickBot="1" x14ac:dyDescent="0.25">
      <c r="B8" s="416"/>
      <c r="C8" s="418"/>
      <c r="D8" s="418"/>
      <c r="E8" s="78" t="s">
        <v>7</v>
      </c>
      <c r="F8" s="23" t="s">
        <v>64</v>
      </c>
      <c r="G8" s="23" t="s">
        <v>13</v>
      </c>
      <c r="H8" s="23" t="s">
        <v>65</v>
      </c>
      <c r="I8" s="23" t="s">
        <v>66</v>
      </c>
      <c r="J8" s="97" t="s">
        <v>11</v>
      </c>
      <c r="K8" s="103" t="s">
        <v>12</v>
      </c>
      <c r="L8" s="98" t="s">
        <v>1</v>
      </c>
      <c r="M8" s="103" t="s">
        <v>2</v>
      </c>
      <c r="N8" s="107" t="s">
        <v>95</v>
      </c>
      <c r="O8" s="105" t="s">
        <v>92</v>
      </c>
      <c r="P8" s="106" t="s">
        <v>93</v>
      </c>
      <c r="Q8" s="102" t="s">
        <v>11</v>
      </c>
      <c r="R8" s="103" t="s">
        <v>12</v>
      </c>
      <c r="S8" s="103" t="s">
        <v>1</v>
      </c>
      <c r="T8" s="103" t="s">
        <v>2</v>
      </c>
      <c r="U8" s="104" t="s">
        <v>102</v>
      </c>
      <c r="V8" s="99" t="s">
        <v>97</v>
      </c>
      <c r="W8" s="100" t="s">
        <v>98</v>
      </c>
      <c r="X8" s="100" t="s">
        <v>99</v>
      </c>
      <c r="Y8" s="101" t="s">
        <v>100</v>
      </c>
      <c r="Z8" s="53" t="s">
        <v>54</v>
      </c>
      <c r="AA8" s="54" t="s">
        <v>55</v>
      </c>
      <c r="AB8" s="55" t="s">
        <v>56</v>
      </c>
      <c r="AC8" s="54" t="s">
        <v>57</v>
      </c>
      <c r="AD8" s="109" t="s">
        <v>101</v>
      </c>
      <c r="AE8" s="432"/>
      <c r="AG8" s="74" t="s">
        <v>41</v>
      </c>
      <c r="AH8" s="75" t="s">
        <v>42</v>
      </c>
      <c r="AI8" s="75" t="s">
        <v>43</v>
      </c>
      <c r="AJ8" s="76" t="s">
        <v>44</v>
      </c>
      <c r="AK8" s="87" t="s">
        <v>85</v>
      </c>
      <c r="AL8" s="87" t="s">
        <v>85</v>
      </c>
      <c r="AM8" s="29" t="s">
        <v>71</v>
      </c>
      <c r="AN8" s="29" t="s">
        <v>72</v>
      </c>
      <c r="AO8" s="92"/>
    </row>
    <row r="9" spans="2:41" s="29" customFormat="1" ht="186.75" customHeight="1" x14ac:dyDescent="0.2">
      <c r="B9" s="387" t="s">
        <v>205</v>
      </c>
      <c r="C9" s="79" t="s">
        <v>71</v>
      </c>
      <c r="D9" s="95" t="s">
        <v>88</v>
      </c>
      <c r="E9" s="46" t="s">
        <v>219</v>
      </c>
      <c r="F9" s="117" t="s">
        <v>206</v>
      </c>
      <c r="G9" s="169" t="s">
        <v>207</v>
      </c>
      <c r="H9" s="117" t="s">
        <v>209</v>
      </c>
      <c r="I9" s="117" t="s">
        <v>208</v>
      </c>
      <c r="J9" s="88">
        <v>3</v>
      </c>
      <c r="K9" s="88" t="str">
        <f>IF(J9=3,"ALTO",IF(J9=2,"MEDIO",IF(J9="N/A","N/A","BAJO")))</f>
        <v>ALTO</v>
      </c>
      <c r="L9" s="44">
        <v>20</v>
      </c>
      <c r="M9" s="88" t="str">
        <f>IF(L9=20,"ALTO",IF(L9=10,"MEDIO",IF(L9="N/A","N/A","BAJO")))</f>
        <v>ALTO</v>
      </c>
      <c r="N9" s="90">
        <f>J9*L9</f>
        <v>60</v>
      </c>
      <c r="O9" s="121" t="s">
        <v>210</v>
      </c>
      <c r="P9" s="121" t="s">
        <v>922</v>
      </c>
      <c r="Q9" s="88">
        <v>2</v>
      </c>
      <c r="R9" s="88" t="str">
        <f>IF(Q9=3,"ALTO",IF(Q9=2,"MEDIO",IF(Q9="N/A","N/A","BAJO")))</f>
        <v>MEDIO</v>
      </c>
      <c r="S9" s="88">
        <v>20</v>
      </c>
      <c r="T9" s="88" t="str">
        <f>IF(S9=20,"ALTO",IF(S9=10,"MEDIO",IF(S9="N/A","N/A","BAJO")))</f>
        <v>ALTO</v>
      </c>
      <c r="U9" s="108">
        <f>Q9*S9</f>
        <v>40</v>
      </c>
      <c r="V9" s="59"/>
      <c r="W9" s="59" t="s">
        <v>118</v>
      </c>
      <c r="X9" s="59"/>
      <c r="Y9" s="59"/>
      <c r="Z9" s="170" t="s">
        <v>211</v>
      </c>
      <c r="AA9" s="171" t="s">
        <v>212</v>
      </c>
      <c r="AB9" s="171" t="s">
        <v>213</v>
      </c>
      <c r="AC9" s="172" t="s">
        <v>214</v>
      </c>
      <c r="AD9" s="117" t="s">
        <v>923</v>
      </c>
      <c r="AE9" s="390">
        <v>43819</v>
      </c>
      <c r="AG9" s="51">
        <v>1</v>
      </c>
      <c r="AH9" s="52"/>
      <c r="AI9" s="52"/>
      <c r="AJ9" s="50">
        <f>SUM(AG9:AI9)</f>
        <v>1</v>
      </c>
      <c r="AK9" s="29">
        <v>1</v>
      </c>
      <c r="AL9" s="29">
        <v>5</v>
      </c>
      <c r="AM9" s="29" t="s">
        <v>74</v>
      </c>
      <c r="AN9" s="29" t="s">
        <v>76</v>
      </c>
      <c r="AO9" s="93"/>
    </row>
    <row r="10" spans="2:41" s="29" customFormat="1" ht="199.5" customHeight="1" x14ac:dyDescent="0.2">
      <c r="B10" s="388"/>
      <c r="C10" s="80" t="s">
        <v>71</v>
      </c>
      <c r="D10" s="141" t="s">
        <v>90</v>
      </c>
      <c r="E10" s="45" t="s">
        <v>220</v>
      </c>
      <c r="F10" s="118" t="s">
        <v>215</v>
      </c>
      <c r="G10" s="118" t="s">
        <v>216</v>
      </c>
      <c r="H10" s="128" t="s">
        <v>217</v>
      </c>
      <c r="I10" s="118" t="s">
        <v>218</v>
      </c>
      <c r="J10" s="88">
        <v>2</v>
      </c>
      <c r="K10" s="57" t="str">
        <f t="shared" ref="K10:K17" si="0">IF(J10=3,"ALTO",IF(J10=2,"MEDIO",IF(J10="N/A","N/A","BAJO")))</f>
        <v>MEDIO</v>
      </c>
      <c r="L10" s="57">
        <v>20</v>
      </c>
      <c r="M10" s="57" t="str">
        <f t="shared" ref="M10:M17" si="1">IF(L10=20,"ALTO",IF(L10=10,"MEDIO",IF(L10="N/A","N/A","BAJO")))</f>
        <v>ALTO</v>
      </c>
      <c r="N10" s="89">
        <f t="shared" ref="N10:N17" si="2">J10*L10</f>
        <v>40</v>
      </c>
      <c r="O10" s="132" t="s">
        <v>221</v>
      </c>
      <c r="P10" s="132" t="s">
        <v>924</v>
      </c>
      <c r="Q10" s="88">
        <v>1</v>
      </c>
      <c r="R10" s="88" t="str">
        <f t="shared" ref="R10:R17" si="3">IF(Q10=3,"ALTO",IF(Q10=2,"MEDIO",IF(Q10="N/A","N/A","BAJO")))</f>
        <v>BAJO</v>
      </c>
      <c r="S10" s="88">
        <v>20</v>
      </c>
      <c r="T10" s="88" t="str">
        <f t="shared" ref="T10:T17" si="4">IF(S10=20,"ALTO",IF(S10=10,"MEDIO",IF(S10="N/A","N/A","BAJO")))</f>
        <v>ALTO</v>
      </c>
      <c r="U10" s="89">
        <f t="shared" ref="U10:U17" si="5">Q10*S10</f>
        <v>20</v>
      </c>
      <c r="V10" s="59"/>
      <c r="W10" s="59" t="s">
        <v>118</v>
      </c>
      <c r="X10" s="59"/>
      <c r="Y10" s="59"/>
      <c r="Z10" s="125" t="s">
        <v>222</v>
      </c>
      <c r="AA10" s="128" t="s">
        <v>223</v>
      </c>
      <c r="AB10" s="128" t="s">
        <v>224</v>
      </c>
      <c r="AC10" s="181" t="s">
        <v>214</v>
      </c>
      <c r="AD10" s="128" t="s">
        <v>974</v>
      </c>
      <c r="AE10" s="391"/>
      <c r="AG10" s="140"/>
      <c r="AH10" s="141">
        <v>1</v>
      </c>
      <c r="AI10" s="141"/>
      <c r="AJ10" s="142">
        <f t="shared" ref="AJ10:AJ29" si="6">SUM(AG10:AI10)</f>
        <v>1</v>
      </c>
      <c r="AK10" s="29">
        <v>2</v>
      </c>
      <c r="AL10" s="29">
        <v>10</v>
      </c>
      <c r="AN10" s="29" t="s">
        <v>77</v>
      </c>
      <c r="AO10" s="93"/>
    </row>
    <row r="11" spans="2:41" s="29" customFormat="1" ht="201.75" customHeight="1" x14ac:dyDescent="0.2">
      <c r="B11" s="388"/>
      <c r="C11" s="80" t="s">
        <v>71</v>
      </c>
      <c r="D11" s="141" t="s">
        <v>77</v>
      </c>
      <c r="E11" s="45" t="s">
        <v>225</v>
      </c>
      <c r="F11" s="118" t="s">
        <v>226</v>
      </c>
      <c r="G11" s="118" t="s">
        <v>227</v>
      </c>
      <c r="H11" s="118" t="s">
        <v>228</v>
      </c>
      <c r="I11" s="118" t="s">
        <v>229</v>
      </c>
      <c r="J11" s="88">
        <v>3</v>
      </c>
      <c r="K11" s="57" t="str">
        <f t="shared" si="0"/>
        <v>ALTO</v>
      </c>
      <c r="L11" s="57">
        <v>20</v>
      </c>
      <c r="M11" s="57" t="str">
        <f t="shared" si="1"/>
        <v>ALTO</v>
      </c>
      <c r="N11" s="89">
        <f t="shared" si="2"/>
        <v>60</v>
      </c>
      <c r="O11" s="132" t="s">
        <v>925</v>
      </c>
      <c r="P11" s="132" t="s">
        <v>926</v>
      </c>
      <c r="Q11" s="88">
        <v>3</v>
      </c>
      <c r="R11" s="88" t="str">
        <f t="shared" si="3"/>
        <v>ALTO</v>
      </c>
      <c r="S11" s="88">
        <v>10</v>
      </c>
      <c r="T11" s="88" t="str">
        <f t="shared" si="4"/>
        <v>MEDIO</v>
      </c>
      <c r="U11" s="89">
        <f t="shared" si="5"/>
        <v>30</v>
      </c>
      <c r="V11" s="59"/>
      <c r="W11" s="59" t="s">
        <v>118</v>
      </c>
      <c r="X11" s="59"/>
      <c r="Y11" s="59"/>
      <c r="Z11" s="125" t="s">
        <v>230</v>
      </c>
      <c r="AA11" s="125" t="s">
        <v>231</v>
      </c>
      <c r="AB11" s="155" t="s">
        <v>232</v>
      </c>
      <c r="AC11" s="180" t="s">
        <v>233</v>
      </c>
      <c r="AD11" s="128" t="s">
        <v>975</v>
      </c>
      <c r="AE11" s="391"/>
      <c r="AG11" s="140">
        <v>1</v>
      </c>
      <c r="AH11" s="141"/>
      <c r="AI11" s="141"/>
      <c r="AJ11" s="142">
        <f t="shared" si="6"/>
        <v>1</v>
      </c>
      <c r="AK11" s="29">
        <v>3</v>
      </c>
      <c r="AL11" s="29">
        <v>20</v>
      </c>
      <c r="AN11" s="29" t="s">
        <v>88</v>
      </c>
      <c r="AO11" s="93"/>
    </row>
    <row r="12" spans="2:41" s="29" customFormat="1" ht="116.25" customHeight="1" x14ac:dyDescent="0.2">
      <c r="B12" s="388"/>
      <c r="C12" s="156" t="s">
        <v>71</v>
      </c>
      <c r="D12" s="157" t="s">
        <v>89</v>
      </c>
      <c r="E12" s="45" t="s">
        <v>234</v>
      </c>
      <c r="F12" s="182" t="s">
        <v>235</v>
      </c>
      <c r="G12" s="183" t="s">
        <v>236</v>
      </c>
      <c r="H12" s="182" t="s">
        <v>237</v>
      </c>
      <c r="I12" s="182" t="s">
        <v>238</v>
      </c>
      <c r="J12" s="88">
        <v>3</v>
      </c>
      <c r="K12" s="57" t="str">
        <f t="shared" si="0"/>
        <v>ALTO</v>
      </c>
      <c r="L12" s="160">
        <v>10</v>
      </c>
      <c r="M12" s="57" t="str">
        <f t="shared" si="1"/>
        <v>MEDIO</v>
      </c>
      <c r="N12" s="89">
        <f t="shared" si="2"/>
        <v>30</v>
      </c>
      <c r="O12" s="161" t="s">
        <v>239</v>
      </c>
      <c r="P12" s="161" t="s">
        <v>243</v>
      </c>
      <c r="Q12" s="57">
        <v>2</v>
      </c>
      <c r="R12" s="88" t="str">
        <f t="shared" si="3"/>
        <v>MEDIO</v>
      </c>
      <c r="S12" s="88">
        <v>10</v>
      </c>
      <c r="T12" s="88" t="str">
        <f t="shared" si="4"/>
        <v>MEDIO</v>
      </c>
      <c r="U12" s="89">
        <f t="shared" si="5"/>
        <v>20</v>
      </c>
      <c r="V12" s="165" t="s">
        <v>118</v>
      </c>
      <c r="W12" s="165"/>
      <c r="X12" s="165"/>
      <c r="Y12" s="165"/>
      <c r="Z12" s="184" t="s">
        <v>240</v>
      </c>
      <c r="AA12" s="185" t="s">
        <v>241</v>
      </c>
      <c r="AB12" s="185" t="s">
        <v>242</v>
      </c>
      <c r="AC12" s="186" t="s">
        <v>121</v>
      </c>
      <c r="AD12" s="164" t="s">
        <v>244</v>
      </c>
      <c r="AE12" s="391"/>
      <c r="AG12" s="166"/>
      <c r="AH12" s="167"/>
      <c r="AI12" s="167"/>
      <c r="AJ12" s="168"/>
      <c r="AN12" s="29" t="s">
        <v>89</v>
      </c>
      <c r="AO12" s="93"/>
    </row>
    <row r="13" spans="2:41" s="29" customFormat="1" ht="143.25" customHeight="1" x14ac:dyDescent="0.2">
      <c r="B13" s="388"/>
      <c r="C13" s="156" t="s">
        <v>71</v>
      </c>
      <c r="D13" s="157" t="s">
        <v>89</v>
      </c>
      <c r="E13" s="158" t="s">
        <v>245</v>
      </c>
      <c r="F13" s="159" t="s">
        <v>246</v>
      </c>
      <c r="G13" s="159" t="s">
        <v>247</v>
      </c>
      <c r="H13" s="159" t="s">
        <v>248</v>
      </c>
      <c r="I13" s="159" t="s">
        <v>249</v>
      </c>
      <c r="J13" s="88">
        <v>2</v>
      </c>
      <c r="K13" s="57" t="str">
        <f t="shared" si="0"/>
        <v>MEDIO</v>
      </c>
      <c r="L13" s="160">
        <v>20</v>
      </c>
      <c r="M13" s="57" t="str">
        <f t="shared" si="1"/>
        <v>ALTO</v>
      </c>
      <c r="N13" s="89">
        <f t="shared" si="2"/>
        <v>40</v>
      </c>
      <c r="O13" s="161" t="s">
        <v>250</v>
      </c>
      <c r="P13" s="161" t="s">
        <v>927</v>
      </c>
      <c r="Q13" s="57">
        <v>1</v>
      </c>
      <c r="R13" s="88" t="str">
        <f t="shared" si="3"/>
        <v>BAJO</v>
      </c>
      <c r="S13" s="88">
        <v>10</v>
      </c>
      <c r="T13" s="88" t="str">
        <f t="shared" si="4"/>
        <v>MEDIO</v>
      </c>
      <c r="U13" s="89">
        <f t="shared" si="5"/>
        <v>10</v>
      </c>
      <c r="V13" s="165"/>
      <c r="W13" s="165" t="s">
        <v>118</v>
      </c>
      <c r="X13" s="165"/>
      <c r="Y13" s="165"/>
      <c r="Z13" s="162" t="s">
        <v>251</v>
      </c>
      <c r="AA13" s="162" t="s">
        <v>253</v>
      </c>
      <c r="AB13" s="163" t="s">
        <v>252</v>
      </c>
      <c r="AC13" s="163" t="s">
        <v>214</v>
      </c>
      <c r="AD13" s="164" t="s">
        <v>928</v>
      </c>
      <c r="AE13" s="391"/>
      <c r="AG13" s="166"/>
      <c r="AH13" s="167"/>
      <c r="AI13" s="167"/>
      <c r="AJ13" s="168"/>
      <c r="AN13" s="29" t="s">
        <v>90</v>
      </c>
      <c r="AO13" s="93"/>
    </row>
    <row r="14" spans="2:41" s="29" customFormat="1" ht="119.25" customHeight="1" x14ac:dyDescent="0.2">
      <c r="B14" s="388"/>
      <c r="C14" s="156" t="s">
        <v>71</v>
      </c>
      <c r="D14" s="157" t="s">
        <v>72</v>
      </c>
      <c r="E14" s="158" t="s">
        <v>254</v>
      </c>
      <c r="F14" s="159" t="s">
        <v>929</v>
      </c>
      <c r="G14" s="159" t="s">
        <v>930</v>
      </c>
      <c r="H14" s="159" t="s">
        <v>931</v>
      </c>
      <c r="I14" s="159" t="s">
        <v>932</v>
      </c>
      <c r="J14" s="88">
        <v>2</v>
      </c>
      <c r="K14" s="57" t="str">
        <f t="shared" si="0"/>
        <v>MEDIO</v>
      </c>
      <c r="L14" s="160">
        <v>20</v>
      </c>
      <c r="M14" s="57" t="str">
        <f t="shared" si="1"/>
        <v>ALTO</v>
      </c>
      <c r="N14" s="89">
        <f t="shared" si="2"/>
        <v>40</v>
      </c>
      <c r="O14" s="161" t="s">
        <v>933</v>
      </c>
      <c r="P14" s="161" t="s">
        <v>934</v>
      </c>
      <c r="Q14" s="57">
        <v>1</v>
      </c>
      <c r="R14" s="88" t="str">
        <f t="shared" si="3"/>
        <v>BAJO</v>
      </c>
      <c r="S14" s="88">
        <v>20</v>
      </c>
      <c r="T14" s="88" t="str">
        <f t="shared" si="4"/>
        <v>ALTO</v>
      </c>
      <c r="U14" s="89">
        <f t="shared" si="5"/>
        <v>20</v>
      </c>
      <c r="V14" s="165" t="s">
        <v>118</v>
      </c>
      <c r="W14" s="165"/>
      <c r="X14" s="165"/>
      <c r="Y14" s="165"/>
      <c r="Z14" s="162" t="s">
        <v>935</v>
      </c>
      <c r="AA14" s="162" t="s">
        <v>936</v>
      </c>
      <c r="AB14" s="163" t="s">
        <v>937</v>
      </c>
      <c r="AC14" s="163" t="s">
        <v>214</v>
      </c>
      <c r="AD14" s="164" t="s">
        <v>938</v>
      </c>
      <c r="AE14" s="391"/>
      <c r="AG14" s="166"/>
      <c r="AH14" s="167"/>
      <c r="AI14" s="167"/>
      <c r="AJ14" s="168"/>
      <c r="AO14" s="93"/>
    </row>
    <row r="15" spans="2:41" s="29" customFormat="1" ht="111.75" customHeight="1" x14ac:dyDescent="0.2">
      <c r="B15" s="388"/>
      <c r="C15" s="156" t="s">
        <v>71</v>
      </c>
      <c r="D15" s="157" t="s">
        <v>72</v>
      </c>
      <c r="E15" s="158" t="s">
        <v>256</v>
      </c>
      <c r="F15" s="159" t="s">
        <v>939</v>
      </c>
      <c r="G15" s="159" t="s">
        <v>940</v>
      </c>
      <c r="H15" s="159" t="s">
        <v>941</v>
      </c>
      <c r="I15" s="159" t="s">
        <v>942</v>
      </c>
      <c r="J15" s="88">
        <v>2</v>
      </c>
      <c r="K15" s="57" t="str">
        <f t="shared" si="0"/>
        <v>MEDIO</v>
      </c>
      <c r="L15" s="160">
        <v>10</v>
      </c>
      <c r="M15" s="57" t="str">
        <f t="shared" si="1"/>
        <v>MEDIO</v>
      </c>
      <c r="N15" s="89">
        <f t="shared" si="2"/>
        <v>20</v>
      </c>
      <c r="O15" s="161" t="s">
        <v>943</v>
      </c>
      <c r="P15" s="161" t="s">
        <v>944</v>
      </c>
      <c r="Q15" s="57">
        <v>1</v>
      </c>
      <c r="R15" s="88" t="str">
        <f t="shared" si="3"/>
        <v>BAJO</v>
      </c>
      <c r="S15" s="88">
        <v>10</v>
      </c>
      <c r="T15" s="88" t="str">
        <f t="shared" si="4"/>
        <v>MEDIO</v>
      </c>
      <c r="U15" s="89">
        <f t="shared" si="5"/>
        <v>10</v>
      </c>
      <c r="V15" s="165"/>
      <c r="W15" s="165" t="s">
        <v>118</v>
      </c>
      <c r="X15" s="165"/>
      <c r="Y15" s="165"/>
      <c r="Z15" s="162" t="s">
        <v>945</v>
      </c>
      <c r="AA15" s="368">
        <v>2020</v>
      </c>
      <c r="AB15" s="163" t="s">
        <v>946</v>
      </c>
      <c r="AC15" s="163" t="s">
        <v>214</v>
      </c>
      <c r="AD15" s="164" t="s">
        <v>976</v>
      </c>
      <c r="AE15" s="391"/>
      <c r="AG15" s="174"/>
      <c r="AH15" s="175"/>
      <c r="AI15" s="175"/>
      <c r="AJ15" s="176"/>
      <c r="AO15" s="93"/>
    </row>
    <row r="16" spans="2:41" s="29" customFormat="1" ht="201.75" customHeight="1" x14ac:dyDescent="0.2">
      <c r="B16" s="388"/>
      <c r="C16" s="156" t="s">
        <v>71</v>
      </c>
      <c r="D16" s="157" t="s">
        <v>76</v>
      </c>
      <c r="E16" s="158" t="s">
        <v>255</v>
      </c>
      <c r="F16" s="159" t="s">
        <v>947</v>
      </c>
      <c r="G16" s="159" t="s">
        <v>948</v>
      </c>
      <c r="H16" s="159" t="s">
        <v>947</v>
      </c>
      <c r="I16" s="159" t="s">
        <v>949</v>
      </c>
      <c r="J16" s="88">
        <v>2</v>
      </c>
      <c r="K16" s="57" t="str">
        <f t="shared" si="0"/>
        <v>MEDIO</v>
      </c>
      <c r="L16" s="160">
        <v>20</v>
      </c>
      <c r="M16" s="57" t="str">
        <f t="shared" si="1"/>
        <v>ALTO</v>
      </c>
      <c r="N16" s="89">
        <f t="shared" si="2"/>
        <v>40</v>
      </c>
      <c r="O16" s="161" t="s">
        <v>950</v>
      </c>
      <c r="P16" s="161" t="s">
        <v>951</v>
      </c>
      <c r="Q16" s="178">
        <v>1</v>
      </c>
      <c r="R16" s="88" t="str">
        <f t="shared" si="3"/>
        <v>BAJO</v>
      </c>
      <c r="S16" s="88">
        <v>20</v>
      </c>
      <c r="T16" s="88" t="str">
        <f t="shared" si="4"/>
        <v>ALTO</v>
      </c>
      <c r="U16" s="89">
        <f t="shared" si="5"/>
        <v>20</v>
      </c>
      <c r="V16" s="165" t="s">
        <v>118</v>
      </c>
      <c r="W16" s="165"/>
      <c r="X16" s="165"/>
      <c r="Y16" s="165"/>
      <c r="Z16" s="162" t="s">
        <v>952</v>
      </c>
      <c r="AA16" s="368">
        <v>2020</v>
      </c>
      <c r="AB16" s="163" t="s">
        <v>946</v>
      </c>
      <c r="AC16" s="163" t="s">
        <v>214</v>
      </c>
      <c r="AD16" s="159" t="s">
        <v>953</v>
      </c>
      <c r="AE16" s="391"/>
      <c r="AG16" s="174"/>
      <c r="AH16" s="175"/>
      <c r="AI16" s="175"/>
      <c r="AJ16" s="176"/>
      <c r="AO16" s="93"/>
    </row>
    <row r="17" spans="2:41" s="29" customFormat="1" ht="176.25" customHeight="1" thickBot="1" x14ac:dyDescent="0.25">
      <c r="B17" s="389"/>
      <c r="C17" s="81" t="s">
        <v>74</v>
      </c>
      <c r="D17" s="82" t="s">
        <v>76</v>
      </c>
      <c r="E17" s="33" t="s">
        <v>257</v>
      </c>
      <c r="F17" s="119" t="s">
        <v>954</v>
      </c>
      <c r="G17" s="119" t="s">
        <v>955</v>
      </c>
      <c r="H17" s="119" t="s">
        <v>956</v>
      </c>
      <c r="I17" s="119" t="s">
        <v>957</v>
      </c>
      <c r="J17" s="58" t="s">
        <v>85</v>
      </c>
      <c r="K17" s="58" t="str">
        <f t="shared" si="0"/>
        <v>N/A</v>
      </c>
      <c r="L17" s="58" t="s">
        <v>85</v>
      </c>
      <c r="M17" s="58" t="str">
        <f t="shared" si="1"/>
        <v>N/A</v>
      </c>
      <c r="N17" s="91" t="e">
        <f t="shared" si="2"/>
        <v>#VALUE!</v>
      </c>
      <c r="O17" s="193"/>
      <c r="P17" s="193"/>
      <c r="Q17" s="58" t="s">
        <v>85</v>
      </c>
      <c r="R17" s="58" t="str">
        <f t="shared" si="3"/>
        <v>N/A</v>
      </c>
      <c r="S17" s="58" t="s">
        <v>85</v>
      </c>
      <c r="T17" s="58" t="str">
        <f t="shared" si="4"/>
        <v>N/A</v>
      </c>
      <c r="U17" s="91" t="e">
        <f t="shared" si="5"/>
        <v>#VALUE!</v>
      </c>
      <c r="V17" s="194"/>
      <c r="W17" s="194"/>
      <c r="X17" s="194"/>
      <c r="Y17" s="194"/>
      <c r="Z17" s="129" t="s">
        <v>977</v>
      </c>
      <c r="AA17" s="129" t="s">
        <v>958</v>
      </c>
      <c r="AB17" s="369" t="s">
        <v>959</v>
      </c>
      <c r="AC17" s="129" t="s">
        <v>214</v>
      </c>
      <c r="AD17" s="129" t="s">
        <v>960</v>
      </c>
      <c r="AE17" s="392"/>
      <c r="AG17" s="140">
        <v>1</v>
      </c>
      <c r="AH17" s="141"/>
      <c r="AI17" s="141"/>
      <c r="AJ17" s="142">
        <f t="shared" si="6"/>
        <v>1</v>
      </c>
      <c r="AK17" s="29">
        <v>4</v>
      </c>
      <c r="AO17" s="93"/>
    </row>
    <row r="18" spans="2:41" s="29" customFormat="1" ht="31.5" customHeight="1" thickBot="1" x14ac:dyDescent="0.25">
      <c r="B18" s="24"/>
      <c r="C18" s="24"/>
      <c r="D18" s="24"/>
      <c r="E18" s="24"/>
      <c r="F18" s="24"/>
      <c r="G18" s="24"/>
      <c r="H18" s="24"/>
      <c r="I18" s="24"/>
      <c r="J18" s="24"/>
      <c r="K18" s="24"/>
      <c r="L18" s="24"/>
      <c r="M18" s="24"/>
      <c r="N18" s="24"/>
      <c r="O18" s="24"/>
      <c r="P18" s="24"/>
      <c r="Q18" s="24"/>
      <c r="R18" s="24"/>
      <c r="S18" s="24"/>
      <c r="T18" s="24"/>
      <c r="U18" s="24"/>
      <c r="V18" s="24"/>
      <c r="W18" s="24"/>
      <c r="X18" s="24"/>
      <c r="Y18" s="24"/>
      <c r="Z18" s="24"/>
      <c r="AA18" s="24"/>
      <c r="AB18" s="24"/>
      <c r="AC18" s="24"/>
      <c r="AD18" s="86"/>
      <c r="AE18" s="47"/>
      <c r="AG18" s="140"/>
      <c r="AH18" s="141">
        <v>1</v>
      </c>
      <c r="AI18" s="141"/>
      <c r="AJ18" s="142">
        <f t="shared" si="6"/>
        <v>1</v>
      </c>
      <c r="AO18" s="94"/>
    </row>
    <row r="19" spans="2:41" s="29" customFormat="1" ht="129" customHeight="1" thickBot="1" x14ac:dyDescent="0.25">
      <c r="B19" s="24"/>
      <c r="C19" s="24"/>
      <c r="D19" s="24"/>
      <c r="E19" s="24"/>
      <c r="F19" s="110"/>
      <c r="G19" s="110"/>
      <c r="H19" s="448" t="s">
        <v>270</v>
      </c>
      <c r="I19" s="449"/>
      <c r="J19" s="449"/>
      <c r="K19" s="450"/>
      <c r="L19" s="24"/>
      <c r="M19" s="393" t="s">
        <v>35</v>
      </c>
      <c r="N19" s="394"/>
      <c r="O19" s="394"/>
      <c r="P19" s="395"/>
      <c r="Q19" s="111"/>
      <c r="R19" s="24"/>
      <c r="S19" s="24"/>
      <c r="T19" s="24"/>
      <c r="U19" s="24"/>
      <c r="V19" s="24"/>
      <c r="W19" s="24"/>
      <c r="X19" s="24"/>
      <c r="Y19" s="24"/>
      <c r="Z19" s="24"/>
      <c r="AA19" s="24"/>
      <c r="AB19" s="24"/>
      <c r="AC19" s="24"/>
      <c r="AD19" s="24"/>
      <c r="AE19" s="42"/>
      <c r="AG19" s="140">
        <v>1</v>
      </c>
      <c r="AH19" s="141"/>
      <c r="AI19" s="141"/>
      <c r="AJ19" s="142">
        <f t="shared" si="6"/>
        <v>1</v>
      </c>
      <c r="AK19" s="29" t="s">
        <v>86</v>
      </c>
      <c r="AO19" s="434" t="s">
        <v>78</v>
      </c>
    </row>
    <row r="20" spans="2:41" s="29" customFormat="1" ht="46.5" customHeight="1" x14ac:dyDescent="0.2">
      <c r="B20" s="24"/>
      <c r="C20" s="24"/>
      <c r="D20" s="24"/>
      <c r="E20" s="24"/>
      <c r="F20" s="424"/>
      <c r="G20" s="424"/>
      <c r="H20" s="451" t="s">
        <v>149</v>
      </c>
      <c r="I20" s="452"/>
      <c r="J20" s="26">
        <f>COUNTIF(U9:U17,"=5")</f>
        <v>0</v>
      </c>
      <c r="K20" s="27">
        <f>J20*100%/J23</f>
        <v>0</v>
      </c>
      <c r="L20" s="24"/>
      <c r="M20" s="471" t="s">
        <v>106</v>
      </c>
      <c r="N20" s="472"/>
      <c r="O20" s="472" t="s">
        <v>49</v>
      </c>
      <c r="P20" s="473"/>
      <c r="Q20" s="112"/>
      <c r="R20" s="24"/>
      <c r="S20" s="24"/>
      <c r="T20" s="24"/>
      <c r="U20" s="24"/>
      <c r="V20" s="24"/>
      <c r="W20" s="24"/>
      <c r="X20" s="24"/>
      <c r="Y20" s="24"/>
      <c r="Z20" s="24"/>
      <c r="AA20" s="24"/>
      <c r="AB20" s="24"/>
      <c r="AC20" s="24"/>
      <c r="AD20" s="24"/>
      <c r="AE20" s="42"/>
      <c r="AG20" s="140">
        <v>1</v>
      </c>
      <c r="AH20" s="141"/>
      <c r="AI20" s="141"/>
      <c r="AJ20" s="142">
        <f t="shared" si="6"/>
        <v>1</v>
      </c>
      <c r="AK20" s="29" t="s">
        <v>87</v>
      </c>
      <c r="AO20" s="435"/>
    </row>
    <row r="21" spans="2:41" s="29" customFormat="1" ht="46.5" customHeight="1" x14ac:dyDescent="0.2">
      <c r="B21" s="24"/>
      <c r="C21" s="24"/>
      <c r="D21" s="24"/>
      <c r="E21" s="24"/>
      <c r="F21" s="424"/>
      <c r="G21" s="424"/>
      <c r="H21" s="451" t="s">
        <v>150</v>
      </c>
      <c r="I21" s="452"/>
      <c r="J21" s="26">
        <f>COUNTIFS(U9:U17,"&gt;=6",U9:U17,"&lt;=30")</f>
        <v>7</v>
      </c>
      <c r="K21" s="27">
        <f>J21*100%/J23</f>
        <v>0.875</v>
      </c>
      <c r="L21" s="24"/>
      <c r="M21" s="474" t="s">
        <v>107</v>
      </c>
      <c r="N21" s="475"/>
      <c r="O21" s="476" t="s">
        <v>50</v>
      </c>
      <c r="P21" s="477"/>
      <c r="Q21" s="112"/>
      <c r="R21" s="24"/>
      <c r="S21" s="24"/>
      <c r="T21" s="24"/>
      <c r="U21" s="24"/>
      <c r="V21" s="24"/>
      <c r="W21" s="24"/>
      <c r="X21" s="24"/>
      <c r="Y21" s="24"/>
      <c r="Z21" s="24"/>
      <c r="AA21" s="24"/>
      <c r="AB21" s="24"/>
      <c r="AC21" s="24"/>
      <c r="AD21" s="24"/>
      <c r="AE21" s="42"/>
      <c r="AG21" s="140">
        <v>1</v>
      </c>
      <c r="AH21" s="141"/>
      <c r="AI21" s="141"/>
      <c r="AJ21" s="142">
        <f t="shared" si="6"/>
        <v>1</v>
      </c>
      <c r="AO21" s="435"/>
    </row>
    <row r="22" spans="2:41" s="29" customFormat="1" ht="46.5" customHeight="1" thickBot="1" x14ac:dyDescent="0.25">
      <c r="B22" s="24"/>
      <c r="C22" s="24"/>
      <c r="D22" s="24"/>
      <c r="E22" s="24"/>
      <c r="F22" s="424"/>
      <c r="G22" s="424"/>
      <c r="H22" s="451" t="s">
        <v>151</v>
      </c>
      <c r="I22" s="452"/>
      <c r="J22" s="26">
        <f>COUNTIFS(U9:U17,"&gt;=40",U9:U17,"&lt;=60")</f>
        <v>1</v>
      </c>
      <c r="K22" s="27">
        <f>J22*100%/J23</f>
        <v>0.125</v>
      </c>
      <c r="L22" s="24"/>
      <c r="M22" s="468" t="s">
        <v>108</v>
      </c>
      <c r="N22" s="469"/>
      <c r="O22" s="469" t="s">
        <v>20</v>
      </c>
      <c r="P22" s="470"/>
      <c r="Q22" s="112"/>
      <c r="R22" s="24"/>
      <c r="S22" s="24"/>
      <c r="T22" s="24"/>
      <c r="U22" s="24"/>
      <c r="V22" s="24"/>
      <c r="W22" s="24"/>
      <c r="X22" s="24"/>
      <c r="Y22" s="24"/>
      <c r="Z22" s="24"/>
      <c r="AA22" s="24"/>
      <c r="AB22" s="24"/>
      <c r="AC22" s="24"/>
      <c r="AD22" s="24"/>
      <c r="AE22" s="42"/>
      <c r="AG22" s="140">
        <v>1</v>
      </c>
      <c r="AH22" s="141"/>
      <c r="AI22" s="141"/>
      <c r="AJ22" s="142">
        <f t="shared" si="6"/>
        <v>1</v>
      </c>
      <c r="AO22" s="435"/>
    </row>
    <row r="23" spans="2:41" s="29" customFormat="1" ht="46.5" customHeight="1" thickBot="1" x14ac:dyDescent="0.25">
      <c r="B23" s="24"/>
      <c r="C23" s="24"/>
      <c r="D23" s="24"/>
      <c r="E23" s="24"/>
      <c r="F23" s="433"/>
      <c r="G23" s="433"/>
      <c r="H23" s="458" t="s">
        <v>152</v>
      </c>
      <c r="I23" s="459"/>
      <c r="J23" s="139">
        <f>+J20+J22+J21</f>
        <v>8</v>
      </c>
      <c r="K23" s="138">
        <f>K20+K21+K22</f>
        <v>1</v>
      </c>
      <c r="L23" s="24"/>
      <c r="M23" s="24"/>
      <c r="N23" s="24"/>
      <c r="O23" s="24"/>
      <c r="P23" s="24"/>
      <c r="Q23" s="24"/>
      <c r="R23" s="24"/>
      <c r="S23" s="24"/>
      <c r="T23" s="24"/>
      <c r="U23" s="24"/>
      <c r="V23" s="24"/>
      <c r="W23" s="24"/>
      <c r="X23" s="24"/>
      <c r="Y23" s="24"/>
      <c r="Z23" s="24"/>
      <c r="AA23" s="24"/>
      <c r="AB23" s="24"/>
      <c r="AC23" s="24"/>
      <c r="AD23" s="24"/>
      <c r="AE23" s="42"/>
      <c r="AG23" s="140">
        <v>1</v>
      </c>
      <c r="AH23" s="141"/>
      <c r="AI23" s="141"/>
      <c r="AJ23" s="142">
        <f t="shared" si="6"/>
        <v>1</v>
      </c>
      <c r="AO23" s="435"/>
    </row>
    <row r="24" spans="2:41" s="29" customFormat="1" ht="75" customHeight="1" thickBot="1" x14ac:dyDescent="0.25">
      <c r="B24" s="24"/>
      <c r="C24" s="24"/>
      <c r="D24" s="24"/>
      <c r="E24" s="24"/>
      <c r="F24" s="24"/>
      <c r="G24" s="24"/>
      <c r="H24" s="456" t="s">
        <v>269</v>
      </c>
      <c r="I24" s="457"/>
      <c r="J24" s="244">
        <f>COUNTIF(Q9:Q17,"N/A")</f>
        <v>1</v>
      </c>
      <c r="K24" s="245" t="str">
        <f>IF(J24&gt;=1,"100%",0)</f>
        <v>100%</v>
      </c>
      <c r="L24" s="24"/>
      <c r="M24" s="24"/>
      <c r="N24" s="24"/>
      <c r="O24" s="24"/>
      <c r="P24" s="24"/>
      <c r="Q24" s="24"/>
      <c r="R24" s="24"/>
      <c r="S24" s="24"/>
      <c r="T24" s="24"/>
      <c r="U24" s="24"/>
      <c r="V24" s="24"/>
      <c r="W24" s="24"/>
      <c r="X24" s="24"/>
      <c r="Y24" s="24"/>
      <c r="Z24" s="24"/>
      <c r="AA24" s="24"/>
      <c r="AB24" s="24"/>
      <c r="AC24" s="24"/>
      <c r="AD24" s="24"/>
      <c r="AE24" s="42"/>
      <c r="AG24" s="140"/>
      <c r="AH24" s="141">
        <v>1</v>
      </c>
      <c r="AI24" s="141"/>
      <c r="AJ24" s="142">
        <f t="shared" si="6"/>
        <v>1</v>
      </c>
      <c r="AO24" s="435"/>
    </row>
    <row r="25" spans="2:41" s="29" customFormat="1" ht="97.5" customHeight="1" x14ac:dyDescent="0.2">
      <c r="B25" s="24"/>
      <c r="C25" s="83"/>
      <c r="D25" s="83"/>
      <c r="E25" s="83"/>
      <c r="F25" s="83"/>
      <c r="G25" s="84"/>
      <c r="H25" s="84"/>
      <c r="I25" s="83"/>
      <c r="J25" s="24"/>
      <c r="K25" s="24"/>
      <c r="L25" s="24"/>
      <c r="M25" s="24"/>
      <c r="N25" s="24"/>
      <c r="O25" s="24"/>
      <c r="P25" s="24"/>
      <c r="Q25" s="24"/>
      <c r="R25" s="24"/>
      <c r="S25" s="24"/>
      <c r="T25" s="24"/>
      <c r="U25" s="24"/>
      <c r="V25" s="24"/>
      <c r="W25" s="24"/>
      <c r="X25" s="24"/>
      <c r="Y25" s="24"/>
      <c r="Z25" s="24"/>
      <c r="AA25" s="24"/>
      <c r="AB25" s="24"/>
      <c r="AC25" s="24"/>
      <c r="AD25" s="24"/>
      <c r="AE25" s="42"/>
      <c r="AG25" s="140"/>
      <c r="AH25" s="141">
        <v>1</v>
      </c>
      <c r="AI25" s="141"/>
      <c r="AJ25" s="142">
        <f t="shared" si="6"/>
        <v>1</v>
      </c>
      <c r="AO25" s="435"/>
    </row>
    <row r="26" spans="2:41" s="29" customFormat="1" ht="107.25" customHeight="1" thickBot="1" x14ac:dyDescent="0.25">
      <c r="B26" s="24"/>
      <c r="C26" s="83"/>
      <c r="D26" s="83"/>
      <c r="E26" s="83"/>
      <c r="F26" s="84"/>
      <c r="G26" s="84"/>
      <c r="H26" s="84"/>
      <c r="I26" s="84"/>
      <c r="J26" s="24"/>
      <c r="K26" s="24"/>
      <c r="L26" s="24"/>
      <c r="M26" s="24"/>
      <c r="N26" s="24"/>
      <c r="O26" s="24"/>
      <c r="P26" s="24"/>
      <c r="Q26" s="24"/>
      <c r="R26" s="24"/>
      <c r="S26" s="24"/>
      <c r="T26" s="24"/>
      <c r="U26" s="24"/>
      <c r="V26" s="24"/>
      <c r="W26" s="24"/>
      <c r="X26" s="24"/>
      <c r="Y26" s="24"/>
      <c r="Z26" s="24"/>
      <c r="AA26" s="24"/>
      <c r="AB26" s="24"/>
      <c r="AC26" s="24"/>
      <c r="AD26" s="24"/>
      <c r="AE26" s="42"/>
      <c r="AG26" s="140">
        <v>1</v>
      </c>
      <c r="AH26" s="141"/>
      <c r="AI26" s="141"/>
      <c r="AJ26" s="142">
        <f t="shared" si="6"/>
        <v>1</v>
      </c>
      <c r="AO26" s="436"/>
    </row>
    <row r="27" spans="2:41" s="28" customFormat="1" ht="80.25" customHeight="1" x14ac:dyDescent="0.2">
      <c r="B27" s="24"/>
      <c r="C27" s="83"/>
      <c r="D27" s="83"/>
      <c r="E27" s="85"/>
      <c r="F27" s="85"/>
      <c r="G27" s="85"/>
      <c r="H27" s="85"/>
      <c r="I27" s="85"/>
      <c r="J27" s="24"/>
      <c r="K27" s="24"/>
      <c r="L27" s="24"/>
      <c r="M27" s="24"/>
      <c r="N27" s="24"/>
      <c r="O27" s="24"/>
      <c r="P27" s="24"/>
      <c r="Q27" s="24"/>
      <c r="R27" s="24"/>
      <c r="S27" s="24"/>
      <c r="T27" s="24"/>
      <c r="U27" s="24"/>
      <c r="V27" s="24"/>
      <c r="W27" s="24"/>
      <c r="X27" s="24"/>
      <c r="Y27" s="24"/>
      <c r="Z27" s="24"/>
      <c r="AA27" s="24"/>
      <c r="AB27" s="24"/>
      <c r="AC27" s="24"/>
      <c r="AD27" s="24"/>
      <c r="AE27" s="42"/>
      <c r="AG27" s="39"/>
      <c r="AH27" s="49"/>
      <c r="AI27" s="49"/>
      <c r="AJ27" s="40"/>
      <c r="AO27" s="434" t="s">
        <v>79</v>
      </c>
    </row>
    <row r="28" spans="2:41" s="29" customFormat="1" ht="101.25" customHeight="1" x14ac:dyDescent="0.2">
      <c r="B28" s="24"/>
      <c r="C28" s="84"/>
      <c r="D28" s="84"/>
      <c r="E28" s="48"/>
      <c r="F28" s="48"/>
      <c r="G28" s="48"/>
      <c r="H28" s="48"/>
      <c r="I28" s="48"/>
      <c r="J28" s="24"/>
      <c r="K28" s="24"/>
      <c r="L28" s="24"/>
      <c r="M28" s="24"/>
      <c r="N28" s="24"/>
      <c r="O28" s="24"/>
      <c r="P28" s="24"/>
      <c r="Q28" s="24"/>
      <c r="R28" s="24"/>
      <c r="S28" s="24"/>
      <c r="T28" s="24"/>
      <c r="U28" s="24"/>
      <c r="V28" s="24"/>
      <c r="W28" s="24"/>
      <c r="X28" s="24"/>
      <c r="Y28" s="24"/>
      <c r="Z28" s="24"/>
      <c r="AA28" s="24"/>
      <c r="AB28" s="24"/>
      <c r="AC28" s="24"/>
      <c r="AD28" s="24"/>
      <c r="AE28" s="42"/>
      <c r="AG28" s="140">
        <v>1</v>
      </c>
      <c r="AH28" s="141"/>
      <c r="AI28" s="141"/>
      <c r="AJ28" s="142">
        <f t="shared" si="6"/>
        <v>1</v>
      </c>
      <c r="AO28" s="435"/>
    </row>
    <row r="29" spans="2:41" s="29" customFormat="1" ht="109.5" customHeight="1" x14ac:dyDescent="0.2">
      <c r="B29" s="24"/>
      <c r="C29" s="84"/>
      <c r="D29" s="84"/>
      <c r="I29" s="24"/>
      <c r="J29" s="24"/>
      <c r="K29" s="24"/>
      <c r="L29" s="24"/>
      <c r="M29" s="24"/>
      <c r="N29" s="24"/>
      <c r="O29" s="24"/>
      <c r="P29" s="24"/>
      <c r="Q29" s="24"/>
      <c r="R29" s="24"/>
      <c r="S29" s="24"/>
      <c r="T29" s="24"/>
      <c r="U29" s="24"/>
      <c r="V29" s="24"/>
      <c r="W29" s="24"/>
      <c r="X29" s="24"/>
      <c r="Y29" s="24"/>
      <c r="Z29" s="24"/>
      <c r="AA29" s="24"/>
      <c r="AB29" s="24"/>
      <c r="AC29" s="24"/>
      <c r="AD29" s="24"/>
      <c r="AE29" s="42"/>
      <c r="AG29" s="140"/>
      <c r="AH29" s="141">
        <v>1</v>
      </c>
      <c r="AI29" s="141"/>
      <c r="AJ29" s="142">
        <f t="shared" si="6"/>
        <v>1</v>
      </c>
      <c r="AO29" s="435"/>
    </row>
    <row r="30" spans="2:41" s="29" customFormat="1" ht="67.5" customHeight="1" x14ac:dyDescent="0.2">
      <c r="B30" s="24"/>
      <c r="C30" s="84"/>
      <c r="D30" s="84"/>
      <c r="H30" s="24"/>
      <c r="I30" s="24"/>
      <c r="J30" s="24"/>
      <c r="K30" s="24"/>
      <c r="L30" s="24"/>
      <c r="M30" s="24"/>
      <c r="N30" s="24"/>
      <c r="O30" s="24"/>
      <c r="P30" s="24"/>
      <c r="Q30" s="24"/>
      <c r="R30" s="24"/>
      <c r="S30" s="24"/>
      <c r="T30" s="24"/>
      <c r="U30" s="24"/>
      <c r="V30" s="24"/>
      <c r="W30" s="24"/>
      <c r="X30" s="24"/>
      <c r="Y30" s="24"/>
      <c r="Z30" s="24"/>
      <c r="AA30" s="24"/>
      <c r="AB30" s="24"/>
      <c r="AC30" s="24"/>
      <c r="AD30" s="24"/>
      <c r="AE30" s="42"/>
      <c r="AG30" s="140"/>
      <c r="AH30" s="141">
        <v>1</v>
      </c>
      <c r="AI30" s="141"/>
      <c r="AJ30" s="142">
        <v>1</v>
      </c>
      <c r="AO30" s="435"/>
    </row>
    <row r="31" spans="2:41" s="29" customFormat="1" ht="83.25" customHeight="1" x14ac:dyDescent="0.2">
      <c r="B31" s="24"/>
      <c r="C31" s="83"/>
      <c r="D31" s="83"/>
      <c r="G31" s="24"/>
      <c r="H31" s="24"/>
      <c r="I31" s="24"/>
      <c r="J31" s="24"/>
      <c r="K31" s="24"/>
      <c r="L31" s="24"/>
      <c r="M31" s="24"/>
      <c r="N31" s="24"/>
      <c r="O31" s="24"/>
      <c r="P31" s="24"/>
      <c r="Q31" s="24"/>
      <c r="R31" s="24"/>
      <c r="S31" s="24"/>
      <c r="T31" s="24"/>
      <c r="U31" s="24"/>
      <c r="V31" s="24"/>
      <c r="W31" s="24"/>
      <c r="X31" s="24"/>
      <c r="Y31" s="24"/>
      <c r="Z31" s="24"/>
      <c r="AA31" s="24"/>
      <c r="AB31" s="24"/>
      <c r="AC31" s="24"/>
      <c r="AD31" s="24"/>
      <c r="AE31" s="42"/>
      <c r="AG31" s="140"/>
      <c r="AH31" s="141">
        <v>1</v>
      </c>
      <c r="AI31" s="141"/>
      <c r="AJ31" s="142">
        <v>1</v>
      </c>
      <c r="AO31" s="435"/>
    </row>
    <row r="32" spans="2:41" s="29" customFormat="1" ht="75.75" customHeight="1" thickBot="1" x14ac:dyDescent="0.25">
      <c r="B32" s="24"/>
      <c r="C32" s="83"/>
      <c r="D32" s="83"/>
      <c r="G32" s="24"/>
      <c r="H32" s="24"/>
      <c r="I32" s="24"/>
      <c r="J32" s="24"/>
      <c r="K32" s="24"/>
      <c r="L32" s="24"/>
      <c r="M32" s="24"/>
      <c r="N32" s="24"/>
      <c r="O32" s="24"/>
      <c r="P32" s="24"/>
      <c r="Q32" s="24"/>
      <c r="R32" s="24"/>
      <c r="S32" s="24"/>
      <c r="T32" s="24"/>
      <c r="U32" s="24"/>
      <c r="V32" s="24"/>
      <c r="W32" s="24"/>
      <c r="X32" s="24"/>
      <c r="Y32" s="24"/>
      <c r="Z32" s="24"/>
      <c r="AA32" s="24"/>
      <c r="AB32" s="24"/>
      <c r="AC32" s="24"/>
      <c r="AD32" s="24"/>
      <c r="AE32" s="42"/>
      <c r="AG32" s="140"/>
      <c r="AH32" s="141"/>
      <c r="AI32" s="141"/>
      <c r="AJ32" s="142"/>
      <c r="AO32" s="436"/>
    </row>
    <row r="33" spans="2:41" s="29" customFormat="1" ht="73.5" customHeight="1" x14ac:dyDescent="0.2">
      <c r="B33" s="24"/>
      <c r="C33" s="83"/>
      <c r="D33" s="83"/>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42"/>
      <c r="AG33" s="140"/>
      <c r="AH33" s="141">
        <v>1</v>
      </c>
      <c r="AI33" s="141"/>
      <c r="AJ33" s="142">
        <v>1</v>
      </c>
      <c r="AO33" s="434" t="s">
        <v>80</v>
      </c>
    </row>
    <row r="34" spans="2:41" s="29" customFormat="1" ht="58.5" customHeight="1" x14ac:dyDescent="0.2">
      <c r="B34" s="24"/>
      <c r="C34" s="84"/>
      <c r="D34" s="84"/>
      <c r="J34" s="24"/>
      <c r="K34" s="24"/>
      <c r="L34" s="24"/>
      <c r="M34" s="24"/>
      <c r="N34" s="24"/>
      <c r="O34" s="24"/>
      <c r="P34" s="24"/>
      <c r="Q34" s="24"/>
      <c r="R34" s="24"/>
      <c r="S34" s="24"/>
      <c r="T34" s="24"/>
      <c r="U34" s="24"/>
      <c r="V34" s="24"/>
      <c r="W34" s="24"/>
      <c r="X34" s="24"/>
      <c r="Y34" s="24"/>
      <c r="Z34" s="24"/>
      <c r="AA34" s="24"/>
      <c r="AB34" s="24"/>
      <c r="AC34" s="24"/>
      <c r="AD34" s="24"/>
      <c r="AE34" s="42"/>
      <c r="AG34" s="140">
        <v>1</v>
      </c>
      <c r="AH34" s="141"/>
      <c r="AI34" s="141"/>
      <c r="AJ34" s="142">
        <v>1</v>
      </c>
      <c r="AO34" s="435"/>
    </row>
    <row r="35" spans="2:41" s="29" customFormat="1" ht="73.5" customHeight="1" x14ac:dyDescent="0.2">
      <c r="B35" s="24"/>
      <c r="C35" s="84"/>
      <c r="D35" s="8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140"/>
      <c r="AH35" s="141">
        <v>1</v>
      </c>
      <c r="AI35" s="141"/>
      <c r="AJ35" s="142">
        <v>1</v>
      </c>
      <c r="AO35" s="435"/>
    </row>
    <row r="36" spans="2:41" s="29" customFormat="1" ht="102" customHeight="1" thickBot="1" x14ac:dyDescent="0.25">
      <c r="B36" s="24"/>
      <c r="C36" s="84"/>
      <c r="D36" s="8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40">
        <v>1</v>
      </c>
      <c r="AH36" s="141"/>
      <c r="AI36" s="141"/>
      <c r="AJ36" s="142">
        <v>1</v>
      </c>
      <c r="AO36" s="435"/>
    </row>
    <row r="37" spans="2:41" s="29" customFormat="1" ht="86.25" customHeight="1" x14ac:dyDescent="0.2">
      <c r="B37" s="24"/>
      <c r="C37" s="84"/>
      <c r="D37" s="8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40"/>
      <c r="AH37" s="141">
        <v>1</v>
      </c>
      <c r="AI37" s="141"/>
      <c r="AJ37" s="142">
        <v>1</v>
      </c>
      <c r="AO37" s="437" t="s">
        <v>81</v>
      </c>
    </row>
    <row r="38" spans="2:41" s="29" customFormat="1" ht="70.5" customHeight="1" thickBot="1" x14ac:dyDescent="0.25">
      <c r="B38" s="24"/>
      <c r="C38" s="84"/>
      <c r="D38" s="8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140">
        <v>1</v>
      </c>
      <c r="AH38" s="141"/>
      <c r="AI38" s="141"/>
      <c r="AJ38" s="142">
        <v>1</v>
      </c>
      <c r="AO38" s="438"/>
    </row>
    <row r="39" spans="2:41" s="29" customFormat="1" ht="62.25" customHeight="1" x14ac:dyDescent="0.2">
      <c r="B39" s="24"/>
      <c r="C39" s="84"/>
      <c r="D39" s="8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140">
        <v>1</v>
      </c>
      <c r="AH39" s="141"/>
      <c r="AI39" s="141"/>
      <c r="AJ39" s="142">
        <v>1</v>
      </c>
      <c r="AO39" s="437" t="s">
        <v>82</v>
      </c>
    </row>
    <row r="40" spans="2:41" s="29" customFormat="1" ht="45.75" customHeight="1" x14ac:dyDescent="0.2">
      <c r="B40" s="24"/>
      <c r="C40" s="84"/>
      <c r="D40" s="8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140"/>
      <c r="AH40" s="141"/>
      <c r="AI40" s="141">
        <v>1</v>
      </c>
      <c r="AJ40" s="142">
        <v>1</v>
      </c>
      <c r="AO40" s="439"/>
    </row>
    <row r="41" spans="2:41" s="29" customFormat="1" ht="43.5" customHeight="1" x14ac:dyDescent="0.2">
      <c r="B41" s="24"/>
      <c r="C41" s="84"/>
      <c r="D41" s="8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140">
        <v>1</v>
      </c>
      <c r="AH41" s="141"/>
      <c r="AI41" s="141"/>
      <c r="AJ41" s="142">
        <v>1</v>
      </c>
      <c r="AO41" s="439"/>
    </row>
    <row r="42" spans="2:41" s="29" customFormat="1" ht="61.5" customHeight="1" thickBot="1" x14ac:dyDescent="0.25">
      <c r="B42" s="24"/>
      <c r="C42" s="84"/>
      <c r="D42" s="84"/>
      <c r="J42" s="24"/>
      <c r="K42" s="24"/>
      <c r="L42" s="24"/>
      <c r="M42" s="24"/>
      <c r="N42" s="24"/>
      <c r="O42" s="24"/>
      <c r="P42" s="24"/>
      <c r="Q42" s="24"/>
      <c r="R42" s="24"/>
      <c r="S42" s="24"/>
      <c r="T42" s="24"/>
      <c r="U42" s="24"/>
      <c r="V42" s="24"/>
      <c r="W42" s="24"/>
      <c r="X42" s="24"/>
      <c r="Y42" s="24"/>
      <c r="Z42" s="24"/>
      <c r="AA42" s="24"/>
      <c r="AB42" s="24"/>
      <c r="AC42" s="24"/>
      <c r="AD42" s="24"/>
      <c r="AE42" s="42"/>
      <c r="AG42" s="440"/>
      <c r="AH42" s="441"/>
      <c r="AI42" s="441">
        <v>1</v>
      </c>
      <c r="AJ42" s="442">
        <v>1</v>
      </c>
      <c r="AO42" s="438"/>
    </row>
    <row r="43" spans="2:41" s="29" customFormat="1" ht="70.5" customHeight="1" x14ac:dyDescent="0.2">
      <c r="B43" s="24"/>
      <c r="C43" s="84"/>
      <c r="D43" s="8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440"/>
      <c r="AH43" s="441"/>
      <c r="AI43" s="441"/>
      <c r="AJ43" s="442"/>
      <c r="AO43" s="434" t="s">
        <v>83</v>
      </c>
    </row>
    <row r="44" spans="2:41" s="29" customFormat="1" ht="59.25" customHeight="1" x14ac:dyDescent="0.2">
      <c r="B44" s="24"/>
      <c r="C44" s="84"/>
      <c r="D44" s="8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140">
        <v>1</v>
      </c>
      <c r="AH44" s="141"/>
      <c r="AI44" s="141"/>
      <c r="AJ44" s="142">
        <v>1</v>
      </c>
      <c r="AO44" s="435"/>
    </row>
    <row r="45" spans="2:41" s="29" customFormat="1" ht="122.25" customHeight="1" x14ac:dyDescent="0.2">
      <c r="B45" s="24"/>
      <c r="C45" s="84"/>
      <c r="D45" s="8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40">
        <v>1</v>
      </c>
      <c r="AH45" s="141"/>
      <c r="AI45" s="141"/>
      <c r="AJ45" s="142">
        <v>1</v>
      </c>
      <c r="AO45" s="435"/>
    </row>
    <row r="46" spans="2:41" s="29" customFormat="1" ht="97.5" customHeight="1" x14ac:dyDescent="0.2">
      <c r="B46" s="24"/>
      <c r="C46" s="84"/>
      <c r="D46" s="8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140">
        <v>1</v>
      </c>
      <c r="AH46" s="141"/>
      <c r="AI46" s="141"/>
      <c r="AJ46" s="142">
        <v>1</v>
      </c>
      <c r="AO46" s="435"/>
    </row>
    <row r="47" spans="2:41" s="29" customFormat="1" ht="49.5" customHeight="1" thickBot="1" x14ac:dyDescent="0.25">
      <c r="B47" s="24"/>
      <c r="C47" s="84"/>
      <c r="D47" s="8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140">
        <v>1</v>
      </c>
      <c r="AH47" s="141"/>
      <c r="AI47" s="141"/>
      <c r="AJ47" s="142">
        <v>1</v>
      </c>
      <c r="AO47" s="436"/>
    </row>
    <row r="48" spans="2:41" s="29" customFormat="1" ht="61.5" customHeight="1" x14ac:dyDescent="0.2">
      <c r="B48" s="24"/>
      <c r="C48" s="84"/>
      <c r="D48" s="8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140"/>
      <c r="AH48" s="141">
        <v>1</v>
      </c>
      <c r="AI48" s="141"/>
      <c r="AJ48" s="142">
        <v>1</v>
      </c>
      <c r="AO48" s="434" t="s">
        <v>84</v>
      </c>
    </row>
    <row r="49" spans="2:41" s="29" customFormat="1" ht="44.25" customHeight="1" x14ac:dyDescent="0.2">
      <c r="B49" s="24"/>
      <c r="C49" s="84"/>
      <c r="D49" s="8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140">
        <v>1</v>
      </c>
      <c r="AH49" s="141"/>
      <c r="AI49" s="141"/>
      <c r="AJ49" s="142">
        <v>1</v>
      </c>
      <c r="AO49" s="435"/>
    </row>
    <row r="50" spans="2:41" s="29" customFormat="1" ht="97.5" customHeight="1" x14ac:dyDescent="0.2">
      <c r="B50" s="24"/>
      <c r="C50" s="84"/>
      <c r="D50" s="84"/>
      <c r="J50" s="24"/>
      <c r="K50" s="24"/>
      <c r="L50" s="24"/>
      <c r="M50" s="24"/>
      <c r="N50" s="24"/>
      <c r="O50" s="24"/>
      <c r="P50" s="24"/>
      <c r="Q50" s="24"/>
      <c r="R50" s="24"/>
      <c r="S50" s="24"/>
      <c r="T50" s="24"/>
      <c r="U50" s="24"/>
      <c r="V50" s="24"/>
      <c r="W50" s="24"/>
      <c r="X50" s="24"/>
      <c r="Y50" s="24"/>
      <c r="Z50" s="24"/>
      <c r="AA50" s="24"/>
      <c r="AB50" s="24"/>
      <c r="AC50" s="24"/>
      <c r="AD50" s="24"/>
      <c r="AE50" s="42"/>
      <c r="AG50" s="140">
        <v>1</v>
      </c>
      <c r="AH50" s="141"/>
      <c r="AI50" s="141"/>
      <c r="AJ50" s="142">
        <v>1</v>
      </c>
      <c r="AO50" s="435"/>
    </row>
    <row r="51" spans="2:41" s="29" customFormat="1" ht="54.75" customHeight="1" thickBot="1" x14ac:dyDescent="0.25">
      <c r="B51" s="24"/>
      <c r="C51" s="84"/>
      <c r="D51" s="8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140">
        <v>1</v>
      </c>
      <c r="AH51" s="141"/>
      <c r="AI51" s="141"/>
      <c r="AJ51" s="142">
        <v>1</v>
      </c>
      <c r="AO51" s="436"/>
    </row>
    <row r="52" spans="2:41" s="29" customFormat="1" ht="83.25" customHeight="1" x14ac:dyDescent="0.2">
      <c r="B52" s="24"/>
      <c r="C52" s="84"/>
      <c r="D52" s="8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40">
        <v>1</v>
      </c>
      <c r="AH52" s="141"/>
      <c r="AI52" s="141"/>
      <c r="AJ52" s="142">
        <v>1</v>
      </c>
      <c r="AO52" s="434" t="s">
        <v>75</v>
      </c>
    </row>
    <row r="53" spans="2:41" s="29" customFormat="1" ht="82.5" customHeight="1" x14ac:dyDescent="0.2">
      <c r="B53" s="24"/>
      <c r="C53" s="84"/>
      <c r="D53" s="8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40"/>
      <c r="AH53" s="141"/>
      <c r="AI53" s="141">
        <v>1</v>
      </c>
      <c r="AJ53" s="142">
        <v>1</v>
      </c>
      <c r="AO53" s="435"/>
    </row>
    <row r="54" spans="2:41" s="29" customFormat="1" ht="67.5" customHeight="1" x14ac:dyDescent="0.2">
      <c r="B54" s="24"/>
      <c r="C54" s="84"/>
      <c r="D54" s="8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140"/>
      <c r="AH54" s="141">
        <v>1</v>
      </c>
      <c r="AI54" s="141"/>
      <c r="AJ54" s="142">
        <v>1</v>
      </c>
      <c r="AO54" s="435"/>
    </row>
    <row r="55" spans="2:41" s="29" customFormat="1" ht="65.25" customHeight="1" thickBot="1" x14ac:dyDescent="0.25">
      <c r="B55" s="24"/>
      <c r="C55" s="84"/>
      <c r="D55" s="8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140">
        <v>1</v>
      </c>
      <c r="AH55" s="141"/>
      <c r="AI55" s="141"/>
      <c r="AJ55" s="142">
        <v>1</v>
      </c>
      <c r="AO55" s="436"/>
    </row>
    <row r="56" spans="2:41" s="29" customFormat="1" ht="36.75" customHeight="1" x14ac:dyDescent="0.2">
      <c r="B56" s="24"/>
      <c r="C56" s="84"/>
      <c r="D56" s="8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140"/>
      <c r="AH56" s="141"/>
      <c r="AI56" s="141"/>
      <c r="AJ56" s="142"/>
    </row>
    <row r="57" spans="2:41" s="29" customFormat="1" ht="151.5" customHeight="1" x14ac:dyDescent="0.2">
      <c r="B57" s="24"/>
      <c r="C57" s="84"/>
      <c r="D57" s="84"/>
      <c r="I57" s="24"/>
      <c r="J57" s="24"/>
      <c r="K57" s="24"/>
      <c r="L57" s="24"/>
      <c r="M57" s="24"/>
      <c r="N57" s="24"/>
      <c r="O57" s="24"/>
      <c r="P57" s="24"/>
      <c r="Q57" s="24"/>
      <c r="R57" s="24"/>
      <c r="S57" s="24"/>
      <c r="T57" s="24"/>
      <c r="U57" s="24"/>
      <c r="V57" s="24"/>
      <c r="W57" s="24"/>
      <c r="X57" s="24"/>
      <c r="Y57" s="24"/>
      <c r="Z57" s="24"/>
      <c r="AA57" s="24"/>
      <c r="AB57" s="24"/>
      <c r="AC57" s="24"/>
      <c r="AD57" s="24"/>
      <c r="AE57" s="42"/>
      <c r="AG57" s="140"/>
      <c r="AH57" s="141"/>
      <c r="AI57" s="141">
        <v>1</v>
      </c>
      <c r="AJ57" s="142">
        <v>1</v>
      </c>
    </row>
    <row r="58" spans="2:41" s="29" customFormat="1" ht="100.5" customHeight="1" x14ac:dyDescent="0.2">
      <c r="B58" s="24"/>
      <c r="C58" s="84"/>
      <c r="D58" s="84"/>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42"/>
      <c r="AG58" s="140"/>
      <c r="AH58" s="141"/>
      <c r="AI58" s="141">
        <v>1</v>
      </c>
      <c r="AJ58" s="142">
        <v>1</v>
      </c>
    </row>
    <row r="59" spans="2:41" s="29" customFormat="1" ht="113.25" customHeight="1" x14ac:dyDescent="0.2">
      <c r="B59" s="24"/>
      <c r="C59" s="84"/>
      <c r="D59" s="84"/>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42"/>
      <c r="AG59" s="140"/>
      <c r="AH59" s="141">
        <v>1</v>
      </c>
      <c r="AI59" s="141"/>
      <c r="AJ59" s="142">
        <v>1</v>
      </c>
    </row>
    <row r="60" spans="2:41" ht="54.75" customHeight="1" x14ac:dyDescent="0.2">
      <c r="C60" s="84"/>
      <c r="D60" s="84"/>
      <c r="AE60" s="42"/>
      <c r="AF60" s="29"/>
      <c r="AG60" s="34"/>
      <c r="AH60" s="30">
        <v>1</v>
      </c>
      <c r="AI60" s="30"/>
      <c r="AJ60" s="35">
        <v>1</v>
      </c>
    </row>
    <row r="61" spans="2:41" ht="45.75" customHeight="1" x14ac:dyDescent="0.2">
      <c r="C61" s="84"/>
      <c r="D61" s="84"/>
      <c r="AE61" s="42"/>
      <c r="AF61" s="29"/>
      <c r="AG61" s="34"/>
      <c r="AH61" s="30">
        <v>1</v>
      </c>
      <c r="AI61" s="30"/>
      <c r="AJ61" s="35">
        <v>1</v>
      </c>
    </row>
    <row r="62" spans="2:41" ht="54.75" customHeight="1" x14ac:dyDescent="0.2">
      <c r="C62" s="84"/>
      <c r="D62" s="84"/>
      <c r="AE62" s="42"/>
      <c r="AF62" s="29"/>
      <c r="AG62" s="34"/>
      <c r="AH62" s="30">
        <v>1</v>
      </c>
      <c r="AI62" s="30"/>
      <c r="AJ62" s="35">
        <v>1</v>
      </c>
    </row>
    <row r="63" spans="2:41" ht="201.75" customHeight="1" x14ac:dyDescent="0.2">
      <c r="C63" s="84"/>
      <c r="D63" s="84"/>
      <c r="AE63" s="42"/>
      <c r="AF63" s="29"/>
      <c r="AG63" s="34"/>
      <c r="AH63" s="30">
        <v>1</v>
      </c>
      <c r="AI63" s="30"/>
      <c r="AJ63" s="35">
        <v>1</v>
      </c>
    </row>
    <row r="64" spans="2:41" ht="125.25" customHeight="1" x14ac:dyDescent="0.2">
      <c r="C64" s="84"/>
      <c r="D64" s="84"/>
      <c r="AE64" s="42"/>
      <c r="AF64" s="29"/>
      <c r="AG64" s="34"/>
      <c r="AH64" s="30">
        <v>1</v>
      </c>
      <c r="AI64" s="30"/>
      <c r="AJ64" s="35">
        <v>1</v>
      </c>
    </row>
    <row r="65" spans="3:36" ht="112.5" customHeight="1" thickBot="1" x14ac:dyDescent="0.25">
      <c r="C65" s="84"/>
      <c r="D65" s="84"/>
      <c r="AE65" s="42"/>
      <c r="AG65" s="36">
        <f>SUM(AG9:AG60)</f>
        <v>24</v>
      </c>
      <c r="AH65" s="37">
        <f>SUM(AH9:AH64)</f>
        <v>18</v>
      </c>
      <c r="AI65" s="37">
        <f>SUM(AI9:AI64)</f>
        <v>5</v>
      </c>
      <c r="AJ65" s="38">
        <f>SUM(AJ9:AJ64)</f>
        <v>47</v>
      </c>
    </row>
    <row r="66" spans="3:36" ht="94.5" customHeight="1" x14ac:dyDescent="0.2">
      <c r="C66" s="84"/>
      <c r="D66" s="84"/>
      <c r="AE66" s="42"/>
    </row>
    <row r="67" spans="3:36" ht="100.5" customHeight="1" x14ac:dyDescent="0.2">
      <c r="C67" s="84"/>
      <c r="D67" s="84"/>
      <c r="AE67" s="42"/>
    </row>
    <row r="68" spans="3:36" ht="226.5" customHeight="1" x14ac:dyDescent="0.2">
      <c r="C68" s="84"/>
      <c r="D68" s="84"/>
      <c r="AE68" s="42"/>
    </row>
    <row r="69" spans="3:36" ht="67.5" customHeight="1" x14ac:dyDescent="0.2">
      <c r="C69" s="84"/>
      <c r="D69" s="84"/>
      <c r="AE69" s="42"/>
    </row>
    <row r="70" spans="3:36" ht="90.75" customHeight="1" x14ac:dyDescent="0.2">
      <c r="C70" s="84"/>
      <c r="D70" s="84"/>
      <c r="AE70" s="42"/>
    </row>
    <row r="71" spans="3:36" ht="75" customHeight="1" x14ac:dyDescent="0.2">
      <c r="C71" s="84"/>
      <c r="D71" s="84"/>
      <c r="AE71" s="42"/>
    </row>
    <row r="72" spans="3:36" x14ac:dyDescent="0.2">
      <c r="C72" s="84"/>
      <c r="D72" s="84"/>
      <c r="AE72" s="42"/>
    </row>
    <row r="73" spans="3:36" ht="43.5" customHeight="1" x14ac:dyDescent="0.2">
      <c r="C73" s="84"/>
      <c r="D73" s="84"/>
      <c r="AE73" s="42"/>
    </row>
    <row r="74" spans="3:36" ht="49.5" customHeight="1" x14ac:dyDescent="0.2">
      <c r="C74" s="84"/>
      <c r="D74" s="84"/>
      <c r="AE74" s="42"/>
    </row>
    <row r="75" spans="3:36" ht="232.5" customHeight="1" x14ac:dyDescent="0.2">
      <c r="C75" s="84"/>
      <c r="D75" s="84"/>
      <c r="H75" s="84"/>
      <c r="I75" s="84"/>
      <c r="AE75" s="42"/>
    </row>
    <row r="76" spans="3:36" x14ac:dyDescent="0.2">
      <c r="C76" s="84"/>
      <c r="D76" s="84"/>
      <c r="AE76" s="42"/>
    </row>
    <row r="77" spans="3:36" ht="241.5" customHeight="1" x14ac:dyDescent="0.2">
      <c r="C77" s="84"/>
      <c r="D77" s="84"/>
      <c r="AE77" s="42"/>
    </row>
    <row r="78" spans="3:36" x14ac:dyDescent="0.2">
      <c r="AE78" s="42"/>
    </row>
    <row r="79" spans="3:36" x14ac:dyDescent="0.2">
      <c r="AE79" s="42"/>
    </row>
    <row r="80" spans="3:36" x14ac:dyDescent="0.2">
      <c r="AE80" s="42"/>
    </row>
    <row r="81" spans="31:31" x14ac:dyDescent="0.2">
      <c r="AE81" s="42"/>
    </row>
  </sheetData>
  <autoFilter ref="B8:AC17"/>
  <mergeCells count="56">
    <mergeCell ref="AO48:AO51"/>
    <mergeCell ref="AO52:AO55"/>
    <mergeCell ref="AO33:AO36"/>
    <mergeCell ref="AO37:AO38"/>
    <mergeCell ref="AO39:AO42"/>
    <mergeCell ref="AG42:AG43"/>
    <mergeCell ref="AH42:AH43"/>
    <mergeCell ref="AI42:AI43"/>
    <mergeCell ref="AJ42:AJ43"/>
    <mergeCell ref="AO43:AO47"/>
    <mergeCell ref="H22:I22"/>
    <mergeCell ref="M22:N22"/>
    <mergeCell ref="O22:P22"/>
    <mergeCell ref="F23:G23"/>
    <mergeCell ref="H23:I23"/>
    <mergeCell ref="AG7:AJ7"/>
    <mergeCell ref="B9:B17"/>
    <mergeCell ref="AE9:AE17"/>
    <mergeCell ref="AO27:AO32"/>
    <mergeCell ref="AO19:AO26"/>
    <mergeCell ref="F20:G20"/>
    <mergeCell ref="H20:I20"/>
    <mergeCell ref="M20:N20"/>
    <mergeCell ref="O20:P20"/>
    <mergeCell ref="F21:G21"/>
    <mergeCell ref="H21:I21"/>
    <mergeCell ref="M21:N21"/>
    <mergeCell ref="O21:P21"/>
    <mergeCell ref="F22:G22"/>
    <mergeCell ref="H19:K19"/>
    <mergeCell ref="M19:P19"/>
    <mergeCell ref="Q6:U7"/>
    <mergeCell ref="V6:AE6"/>
    <mergeCell ref="B7:B8"/>
    <mergeCell ref="C7:C8"/>
    <mergeCell ref="D7:D8"/>
    <mergeCell ref="O7:P7"/>
    <mergeCell ref="V7:Y7"/>
    <mergeCell ref="Z7:AD7"/>
    <mergeCell ref="AE7:AE8"/>
    <mergeCell ref="H24:I24"/>
    <mergeCell ref="B5:AE5"/>
    <mergeCell ref="B2:AE2"/>
    <mergeCell ref="B3:F3"/>
    <mergeCell ref="G3:N3"/>
    <mergeCell ref="O3:T3"/>
    <mergeCell ref="U3:AA3"/>
    <mergeCell ref="AB3:AE3"/>
    <mergeCell ref="B4:F4"/>
    <mergeCell ref="G4:N4"/>
    <mergeCell ref="O4:T4"/>
    <mergeCell ref="U4:AA4"/>
    <mergeCell ref="AB4:AE4"/>
    <mergeCell ref="B6:I6"/>
    <mergeCell ref="J6:N7"/>
    <mergeCell ref="O6:P6"/>
  </mergeCells>
  <conditionalFormatting sqref="N9:P17 U9:U17">
    <cfRule type="cellIs" dxfId="126" priority="21" operator="equal">
      <formula>5</formula>
    </cfRule>
    <cfRule type="cellIs" priority="22" operator="equal">
      <formula>5</formula>
    </cfRule>
    <cfRule type="cellIs" dxfId="125" priority="23" operator="between">
      <formula>6</formula>
      <formula>30</formula>
    </cfRule>
    <cfRule type="cellIs" dxfId="124" priority="24" operator="between">
      <formula>31</formula>
      <formula>60</formula>
    </cfRule>
  </conditionalFormatting>
  <conditionalFormatting sqref="N9:P17 U9:Y17">
    <cfRule type="containsErrors" dxfId="123" priority="20">
      <formula>ISERROR(N9)</formula>
    </cfRule>
  </conditionalFormatting>
  <conditionalFormatting sqref="J9:J17 L9:L17 Q9:Q17 S9:S17">
    <cfRule type="containsText" dxfId="122" priority="19" operator="containsText" text="N/A">
      <formula>NOT(ISERROR(SEARCH("N/A",J9)))</formula>
    </cfRule>
  </conditionalFormatting>
  <conditionalFormatting sqref="M21 O21">
    <cfRule type="cellIs" dxfId="121" priority="6" operator="equal">
      <formula>5</formula>
    </cfRule>
    <cfRule type="cellIs" priority="7" operator="equal">
      <formula>5</formula>
    </cfRule>
    <cfRule type="cellIs" dxfId="120" priority="8" operator="between">
      <formula>6</formula>
      <formula>30</formula>
    </cfRule>
    <cfRule type="cellIs" dxfId="119" priority="9" operator="between">
      <formula>31</formula>
      <formula>60</formula>
    </cfRule>
  </conditionalFormatting>
  <conditionalFormatting sqref="M21 O21">
    <cfRule type="containsErrors" dxfId="118" priority="5">
      <formula>ISERROR(M21)</formula>
    </cfRule>
  </conditionalFormatting>
  <conditionalFormatting sqref="K9:K17">
    <cfRule type="containsText" dxfId="117" priority="4" operator="containsText" text="N/A">
      <formula>NOT(ISERROR(SEARCH("N/A",K9)))</formula>
    </cfRule>
  </conditionalFormatting>
  <conditionalFormatting sqref="M9:M17">
    <cfRule type="containsText" dxfId="116" priority="3" operator="containsText" text="N/A">
      <formula>NOT(ISERROR(SEARCH("N/A",M9)))</formula>
    </cfRule>
  </conditionalFormatting>
  <conditionalFormatting sqref="R9:R17">
    <cfRule type="containsText" dxfId="115" priority="2" operator="containsText" text="N/A">
      <formula>NOT(ISERROR(SEARCH("N/A",R9)))</formula>
    </cfRule>
  </conditionalFormatting>
  <conditionalFormatting sqref="T9:T17">
    <cfRule type="containsText" dxfId="114" priority="1" operator="containsText" text="N/A">
      <formula>NOT(ISERROR(SEARCH("N/A",T9)))</formula>
    </cfRule>
  </conditionalFormatting>
  <dataValidations count="4">
    <dataValidation type="list" allowBlank="1" showInputMessage="1" showErrorMessage="1" sqref="C9:C17">
      <formula1>$AM$8:$AM$9</formula1>
    </dataValidation>
    <dataValidation type="list" allowBlank="1" showInputMessage="1" showErrorMessage="1" sqref="L9:L17 S9:S17">
      <formula1>$AL$8:$AL$11</formula1>
    </dataValidation>
    <dataValidation type="list" allowBlank="1" showInputMessage="1" showErrorMessage="1" sqref="Q9:Q17 J9:J17">
      <formula1>$AK$8:$AK$11</formula1>
    </dataValidation>
    <dataValidation type="list" allowBlank="1" showInputMessage="1" showErrorMessage="1" sqref="D9:D17">
      <formula1>$AN$8:$AN$13</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pageSetUpPr fitToPage="1"/>
  </sheetPr>
  <dimension ref="B1:AO81"/>
  <sheetViews>
    <sheetView showGridLines="0" view="pageBreakPreview" topLeftCell="A16" zoomScale="60" zoomScaleNormal="25" zoomScalePageLayoutView="75" workbookViewId="0">
      <selection activeCell="AB17" sqref="AB17"/>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0" width="16.28515625" style="24" customWidth="1"/>
    <col min="21" max="21" width="18.7109375" style="24" customWidth="1"/>
    <col min="22"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72" t="s">
        <v>111</v>
      </c>
      <c r="C2" s="373"/>
      <c r="D2" s="373"/>
      <c r="E2" s="373"/>
      <c r="F2" s="373"/>
      <c r="G2" s="373"/>
      <c r="H2" s="373"/>
      <c r="I2" s="373"/>
      <c r="J2" s="373"/>
      <c r="K2" s="373"/>
      <c r="L2" s="373"/>
      <c r="M2" s="373"/>
      <c r="N2" s="373"/>
      <c r="O2" s="373"/>
      <c r="P2" s="373"/>
      <c r="Q2" s="373"/>
      <c r="R2" s="373"/>
      <c r="S2" s="373"/>
      <c r="T2" s="373"/>
      <c r="U2" s="373"/>
      <c r="V2" s="373"/>
      <c r="W2" s="373"/>
      <c r="X2" s="373"/>
      <c r="Y2" s="373"/>
      <c r="Z2" s="373"/>
      <c r="AA2" s="373"/>
      <c r="AB2" s="373"/>
      <c r="AC2" s="373"/>
      <c r="AD2" s="373"/>
      <c r="AE2" s="373"/>
      <c r="AF2" s="31"/>
    </row>
    <row r="3" spans="2:41" s="29" customFormat="1" ht="66" customHeight="1" thickBot="1" x14ac:dyDescent="0.25">
      <c r="B3" s="374" t="s">
        <v>39</v>
      </c>
      <c r="C3" s="375"/>
      <c r="D3" s="375"/>
      <c r="E3" s="375"/>
      <c r="F3" s="375"/>
      <c r="G3" s="374" t="s">
        <v>110</v>
      </c>
      <c r="H3" s="375"/>
      <c r="I3" s="375"/>
      <c r="J3" s="375"/>
      <c r="K3" s="375"/>
      <c r="L3" s="375"/>
      <c r="M3" s="375"/>
      <c r="N3" s="376"/>
      <c r="O3" s="374" t="s">
        <v>109</v>
      </c>
      <c r="P3" s="375"/>
      <c r="Q3" s="375"/>
      <c r="R3" s="375"/>
      <c r="S3" s="375"/>
      <c r="T3" s="376"/>
      <c r="U3" s="374" t="s">
        <v>40</v>
      </c>
      <c r="V3" s="375"/>
      <c r="W3" s="375"/>
      <c r="X3" s="375"/>
      <c r="Y3" s="375"/>
      <c r="Z3" s="375"/>
      <c r="AA3" s="376"/>
      <c r="AB3" s="374" t="s">
        <v>37</v>
      </c>
      <c r="AC3" s="375"/>
      <c r="AD3" s="375"/>
      <c r="AE3" s="376"/>
      <c r="AF3" s="32"/>
    </row>
    <row r="4" spans="2:41" s="29" customFormat="1" ht="72" customHeight="1" thickBot="1" x14ac:dyDescent="0.25">
      <c r="B4" s="377" t="s">
        <v>38</v>
      </c>
      <c r="C4" s="378"/>
      <c r="D4" s="378"/>
      <c r="E4" s="378"/>
      <c r="F4" s="378"/>
      <c r="G4" s="379">
        <v>42874</v>
      </c>
      <c r="H4" s="380"/>
      <c r="I4" s="380"/>
      <c r="J4" s="380"/>
      <c r="K4" s="380"/>
      <c r="L4" s="380"/>
      <c r="M4" s="380"/>
      <c r="N4" s="381"/>
      <c r="O4" s="382">
        <v>43700</v>
      </c>
      <c r="P4" s="383"/>
      <c r="Q4" s="383"/>
      <c r="R4" s="383"/>
      <c r="S4" s="383"/>
      <c r="T4" s="384"/>
      <c r="U4" s="377">
        <v>4</v>
      </c>
      <c r="V4" s="378"/>
      <c r="W4" s="378"/>
      <c r="X4" s="378"/>
      <c r="Y4" s="378"/>
      <c r="Z4" s="378"/>
      <c r="AA4" s="385"/>
      <c r="AB4" s="377" t="s">
        <v>52</v>
      </c>
      <c r="AC4" s="378"/>
      <c r="AD4" s="378"/>
      <c r="AE4" s="385"/>
      <c r="AF4" s="173"/>
    </row>
    <row r="5" spans="2:41" s="29" customFormat="1" ht="32.1" customHeight="1" thickBot="1" x14ac:dyDescent="0.25">
      <c r="B5" s="370" t="s">
        <v>757</v>
      </c>
      <c r="C5" s="371"/>
      <c r="D5" s="371"/>
      <c r="E5" s="371"/>
      <c r="F5" s="371"/>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173"/>
    </row>
    <row r="6" spans="2:41" s="29" customFormat="1" ht="54.95" customHeight="1" thickBot="1" x14ac:dyDescent="0.25">
      <c r="B6" s="396" t="s">
        <v>0</v>
      </c>
      <c r="C6" s="397"/>
      <c r="D6" s="397"/>
      <c r="E6" s="397"/>
      <c r="F6" s="397"/>
      <c r="G6" s="397"/>
      <c r="H6" s="397"/>
      <c r="I6" s="398"/>
      <c r="J6" s="399" t="s">
        <v>62</v>
      </c>
      <c r="K6" s="400"/>
      <c r="L6" s="400"/>
      <c r="M6" s="400"/>
      <c r="N6" s="401"/>
      <c r="O6" s="405" t="s">
        <v>94</v>
      </c>
      <c r="P6" s="406"/>
      <c r="Q6" s="407" t="s">
        <v>63</v>
      </c>
      <c r="R6" s="408"/>
      <c r="S6" s="408"/>
      <c r="T6" s="408"/>
      <c r="U6" s="409"/>
      <c r="V6" s="413" t="s">
        <v>58</v>
      </c>
      <c r="W6" s="414"/>
      <c r="X6" s="414"/>
      <c r="Y6" s="414"/>
      <c r="Z6" s="414"/>
      <c r="AA6" s="414"/>
      <c r="AB6" s="414"/>
      <c r="AC6" s="414"/>
      <c r="AD6" s="414"/>
      <c r="AE6" s="415"/>
    </row>
    <row r="7" spans="2:41" s="29" customFormat="1" ht="90" customHeight="1" thickBot="1" x14ac:dyDescent="0.25">
      <c r="B7" s="416" t="s">
        <v>8</v>
      </c>
      <c r="C7" s="417" t="s">
        <v>60</v>
      </c>
      <c r="D7" s="417" t="s">
        <v>91</v>
      </c>
      <c r="E7" s="77" t="s">
        <v>61</v>
      </c>
      <c r="F7" s="43" t="s">
        <v>9</v>
      </c>
      <c r="G7" s="43" t="s">
        <v>104</v>
      </c>
      <c r="H7" s="43" t="s">
        <v>10</v>
      </c>
      <c r="I7" s="96" t="s">
        <v>59</v>
      </c>
      <c r="J7" s="402"/>
      <c r="K7" s="403"/>
      <c r="L7" s="403"/>
      <c r="M7" s="403"/>
      <c r="N7" s="404"/>
      <c r="O7" s="419" t="s">
        <v>103</v>
      </c>
      <c r="P7" s="420"/>
      <c r="Q7" s="410"/>
      <c r="R7" s="411"/>
      <c r="S7" s="411"/>
      <c r="T7" s="411"/>
      <c r="U7" s="412"/>
      <c r="V7" s="421" t="s">
        <v>96</v>
      </c>
      <c r="W7" s="422"/>
      <c r="X7" s="422"/>
      <c r="Y7" s="423"/>
      <c r="Z7" s="461" t="s">
        <v>53</v>
      </c>
      <c r="AA7" s="462"/>
      <c r="AB7" s="462"/>
      <c r="AC7" s="462"/>
      <c r="AD7" s="463"/>
      <c r="AE7" s="431" t="s">
        <v>25</v>
      </c>
      <c r="AG7" s="386" t="s">
        <v>45</v>
      </c>
      <c r="AH7" s="386"/>
      <c r="AI7" s="386"/>
      <c r="AJ7" s="386"/>
      <c r="AK7" s="29" t="s">
        <v>67</v>
      </c>
      <c r="AL7" s="29" t="s">
        <v>68</v>
      </c>
    </row>
    <row r="8" spans="2:41" s="29" customFormat="1" ht="202.5" customHeight="1" thickBot="1" x14ac:dyDescent="0.25">
      <c r="B8" s="416"/>
      <c r="C8" s="418"/>
      <c r="D8" s="418"/>
      <c r="E8" s="78" t="s">
        <v>7</v>
      </c>
      <c r="F8" s="23" t="s">
        <v>64</v>
      </c>
      <c r="G8" s="23" t="s">
        <v>13</v>
      </c>
      <c r="H8" s="23" t="s">
        <v>65</v>
      </c>
      <c r="I8" s="23" t="s">
        <v>66</v>
      </c>
      <c r="J8" s="97" t="s">
        <v>11</v>
      </c>
      <c r="K8" s="103" t="s">
        <v>12</v>
      </c>
      <c r="L8" s="98" t="s">
        <v>1</v>
      </c>
      <c r="M8" s="103" t="s">
        <v>2</v>
      </c>
      <c r="N8" s="107" t="s">
        <v>95</v>
      </c>
      <c r="O8" s="105" t="s">
        <v>92</v>
      </c>
      <c r="P8" s="106" t="s">
        <v>93</v>
      </c>
      <c r="Q8" s="102" t="s">
        <v>11</v>
      </c>
      <c r="R8" s="103" t="s">
        <v>12</v>
      </c>
      <c r="S8" s="103" t="s">
        <v>1</v>
      </c>
      <c r="T8" s="103" t="s">
        <v>2</v>
      </c>
      <c r="U8" s="104" t="s">
        <v>102</v>
      </c>
      <c r="V8" s="99" t="s">
        <v>97</v>
      </c>
      <c r="W8" s="100" t="s">
        <v>98</v>
      </c>
      <c r="X8" s="100" t="s">
        <v>99</v>
      </c>
      <c r="Y8" s="101" t="s">
        <v>100</v>
      </c>
      <c r="Z8" s="53" t="s">
        <v>54</v>
      </c>
      <c r="AA8" s="54" t="s">
        <v>55</v>
      </c>
      <c r="AB8" s="55" t="s">
        <v>56</v>
      </c>
      <c r="AC8" s="54" t="s">
        <v>57</v>
      </c>
      <c r="AD8" s="109" t="s">
        <v>101</v>
      </c>
      <c r="AE8" s="432"/>
      <c r="AG8" s="74" t="s">
        <v>41</v>
      </c>
      <c r="AH8" s="75" t="s">
        <v>42</v>
      </c>
      <c r="AI8" s="75" t="s">
        <v>43</v>
      </c>
      <c r="AJ8" s="76" t="s">
        <v>44</v>
      </c>
      <c r="AK8" s="87" t="s">
        <v>85</v>
      </c>
      <c r="AL8" s="87" t="s">
        <v>85</v>
      </c>
      <c r="AM8" s="29" t="s">
        <v>71</v>
      </c>
      <c r="AN8" s="29" t="s">
        <v>72</v>
      </c>
      <c r="AO8" s="92"/>
    </row>
    <row r="9" spans="2:41" s="29" customFormat="1" ht="325.5" customHeight="1" x14ac:dyDescent="0.2">
      <c r="B9" s="387" t="s">
        <v>271</v>
      </c>
      <c r="C9" s="79" t="s">
        <v>71</v>
      </c>
      <c r="D9" s="95" t="s">
        <v>77</v>
      </c>
      <c r="E9" s="46" t="s">
        <v>296</v>
      </c>
      <c r="F9" s="117" t="s">
        <v>272</v>
      </c>
      <c r="G9" s="117" t="s">
        <v>273</v>
      </c>
      <c r="H9" s="117" t="s">
        <v>279</v>
      </c>
      <c r="I9" s="117" t="s">
        <v>274</v>
      </c>
      <c r="J9" s="88">
        <v>2</v>
      </c>
      <c r="K9" s="88" t="str">
        <f>IF(J9=3,"ALTO",IF(J9=2,"MEDIO",IF(J9="N/A","N/A","BAJO")))</f>
        <v>MEDIO</v>
      </c>
      <c r="L9" s="44">
        <v>20</v>
      </c>
      <c r="M9" s="88" t="str">
        <f>IF(L9=20,"ALTO",IF(L9=10,"MEDIO",IF(L9="N/A","N/A","BAJO")))</f>
        <v>ALTO</v>
      </c>
      <c r="N9" s="90">
        <f>J9*L9</f>
        <v>40</v>
      </c>
      <c r="O9" s="121" t="s">
        <v>275</v>
      </c>
      <c r="P9" s="121" t="s">
        <v>717</v>
      </c>
      <c r="Q9" s="88">
        <v>1</v>
      </c>
      <c r="R9" s="88" t="str">
        <f>IF(Q9=3,"ALTO",IF(Q9=2,"MEDIO",IF(Q9="N/A","N/A","BAJO")))</f>
        <v>BAJO</v>
      </c>
      <c r="S9" s="88">
        <v>20</v>
      </c>
      <c r="T9" s="44" t="str">
        <f>IF(S9=20,"ALTO",IF(S9=10,"MEDIO",IF(S9="N/A","N/A","BAJO")))</f>
        <v>ALTO</v>
      </c>
      <c r="U9" s="108">
        <f>Q9*S9</f>
        <v>20</v>
      </c>
      <c r="V9" s="59"/>
      <c r="W9" s="59" t="s">
        <v>118</v>
      </c>
      <c r="X9" s="59"/>
      <c r="Y9" s="59"/>
      <c r="Z9" s="122" t="s">
        <v>276</v>
      </c>
      <c r="AA9" s="122" t="s">
        <v>280</v>
      </c>
      <c r="AB9" s="248" t="s">
        <v>277</v>
      </c>
      <c r="AC9" s="124" t="s">
        <v>278</v>
      </c>
      <c r="AD9" s="117" t="s">
        <v>718</v>
      </c>
      <c r="AE9" s="390">
        <v>43819</v>
      </c>
      <c r="AG9" s="51">
        <v>1</v>
      </c>
      <c r="AH9" s="52"/>
      <c r="AI9" s="52"/>
      <c r="AJ9" s="50">
        <f>SUM(AG9:AI9)</f>
        <v>1</v>
      </c>
      <c r="AK9" s="29">
        <v>1</v>
      </c>
      <c r="AL9" s="29">
        <v>5</v>
      </c>
      <c r="AM9" s="29" t="s">
        <v>74</v>
      </c>
      <c r="AN9" s="29" t="s">
        <v>76</v>
      </c>
      <c r="AO9" s="93"/>
    </row>
    <row r="10" spans="2:41" s="29" customFormat="1" ht="291.75" customHeight="1" x14ac:dyDescent="0.2">
      <c r="B10" s="388"/>
      <c r="C10" s="80" t="s">
        <v>71</v>
      </c>
      <c r="D10" s="175" t="s">
        <v>77</v>
      </c>
      <c r="E10" s="45" t="s">
        <v>281</v>
      </c>
      <c r="F10" s="118" t="s">
        <v>282</v>
      </c>
      <c r="G10" s="118" t="s">
        <v>283</v>
      </c>
      <c r="H10" s="118" t="s">
        <v>284</v>
      </c>
      <c r="I10" s="118" t="s">
        <v>285</v>
      </c>
      <c r="J10" s="88">
        <v>3</v>
      </c>
      <c r="K10" s="57" t="str">
        <f t="shared" ref="K10:K17" si="0">IF(J10=3,"ALTO",IF(J10=2,"MEDIO",IF(J10="N/A","N/A","BAJO")))</f>
        <v>ALTO</v>
      </c>
      <c r="L10" s="57">
        <v>20</v>
      </c>
      <c r="M10" s="57" t="str">
        <f t="shared" ref="M10:M17" si="1">IF(L10=20,"ALTO",IF(L10=10,"MEDIO",IF(L10="N/A","N/A","BAJO")))</f>
        <v>ALTO</v>
      </c>
      <c r="N10" s="89">
        <f t="shared" ref="N10:N17" si="2">J10*L10</f>
        <v>60</v>
      </c>
      <c r="O10" s="132" t="s">
        <v>286</v>
      </c>
      <c r="P10" s="132" t="s">
        <v>719</v>
      </c>
      <c r="Q10" s="88">
        <v>2</v>
      </c>
      <c r="R10" s="88" t="str">
        <f t="shared" ref="R10:R17" si="3">IF(Q10=3,"ALTO",IF(Q10=2,"MEDIO",IF(Q10="N/A","N/A","BAJO")))</f>
        <v>MEDIO</v>
      </c>
      <c r="S10" s="57">
        <v>10</v>
      </c>
      <c r="T10" s="88" t="str">
        <f t="shared" ref="T10:T17" si="4">IF(S10=20,"ALTO",IF(S10=10,"MEDIO",IF(S10="N/A","N/A","BAJO")))</f>
        <v>MEDIO</v>
      </c>
      <c r="U10" s="89">
        <f t="shared" ref="U10:U17" si="5">Q10*S10</f>
        <v>20</v>
      </c>
      <c r="V10" s="59"/>
      <c r="W10" s="59" t="s">
        <v>118</v>
      </c>
      <c r="X10" s="59"/>
      <c r="Y10" s="59"/>
      <c r="Z10" s="125" t="s">
        <v>287</v>
      </c>
      <c r="AA10" s="125" t="s">
        <v>288</v>
      </c>
      <c r="AB10" s="155" t="s">
        <v>289</v>
      </c>
      <c r="AC10" s="127" t="s">
        <v>290</v>
      </c>
      <c r="AD10" s="118" t="s">
        <v>720</v>
      </c>
      <c r="AE10" s="391"/>
      <c r="AG10" s="174"/>
      <c r="AH10" s="175">
        <v>1</v>
      </c>
      <c r="AI10" s="175"/>
      <c r="AJ10" s="176">
        <f t="shared" ref="AJ10:AJ29" si="6">SUM(AG10:AI10)</f>
        <v>1</v>
      </c>
      <c r="AK10" s="29">
        <v>2</v>
      </c>
      <c r="AL10" s="29">
        <v>10</v>
      </c>
      <c r="AN10" s="29" t="s">
        <v>77</v>
      </c>
      <c r="AO10" s="93"/>
    </row>
    <row r="11" spans="2:41" s="29" customFormat="1" ht="292.5" customHeight="1" x14ac:dyDescent="0.2">
      <c r="B11" s="388"/>
      <c r="C11" s="156" t="s">
        <v>71</v>
      </c>
      <c r="D11" s="157" t="s">
        <v>89</v>
      </c>
      <c r="E11" s="249" t="s">
        <v>295</v>
      </c>
      <c r="F11" s="159" t="s">
        <v>291</v>
      </c>
      <c r="G11" s="159" t="s">
        <v>292</v>
      </c>
      <c r="H11" s="159" t="s">
        <v>293</v>
      </c>
      <c r="I11" s="159" t="s">
        <v>294</v>
      </c>
      <c r="J11" s="178">
        <v>2</v>
      </c>
      <c r="K11" s="160" t="str">
        <f t="shared" si="0"/>
        <v>MEDIO</v>
      </c>
      <c r="L11" s="160">
        <v>20</v>
      </c>
      <c r="M11" s="160" t="str">
        <f t="shared" si="1"/>
        <v>ALTO</v>
      </c>
      <c r="N11" s="192">
        <f t="shared" si="2"/>
        <v>40</v>
      </c>
      <c r="O11" s="161" t="s">
        <v>297</v>
      </c>
      <c r="P11" s="161" t="s">
        <v>721</v>
      </c>
      <c r="Q11" s="178">
        <v>1</v>
      </c>
      <c r="R11" s="57" t="str">
        <f t="shared" si="3"/>
        <v>BAJO</v>
      </c>
      <c r="S11" s="160">
        <v>20</v>
      </c>
      <c r="T11" s="57" t="str">
        <f t="shared" si="4"/>
        <v>ALTO</v>
      </c>
      <c r="U11" s="192">
        <f t="shared" si="5"/>
        <v>20</v>
      </c>
      <c r="V11" s="179"/>
      <c r="W11" s="179" t="s">
        <v>118</v>
      </c>
      <c r="X11" s="179"/>
      <c r="Y11" s="179"/>
      <c r="Z11" s="162" t="s">
        <v>298</v>
      </c>
      <c r="AA11" s="252" t="s">
        <v>299</v>
      </c>
      <c r="AB11" s="163" t="s">
        <v>300</v>
      </c>
      <c r="AC11" s="196" t="s">
        <v>214</v>
      </c>
      <c r="AD11" s="164" t="s">
        <v>978</v>
      </c>
      <c r="AE11" s="391"/>
      <c r="AG11" s="215">
        <v>1</v>
      </c>
      <c r="AH11" s="157"/>
      <c r="AI11" s="157"/>
      <c r="AJ11" s="216">
        <f t="shared" si="6"/>
        <v>1</v>
      </c>
      <c r="AK11" s="29">
        <v>3</v>
      </c>
      <c r="AL11" s="29">
        <v>20</v>
      </c>
      <c r="AN11" s="29" t="s">
        <v>88</v>
      </c>
      <c r="AO11" s="93"/>
    </row>
    <row r="12" spans="2:41" s="25" customFormat="1" ht="219.75" customHeight="1" x14ac:dyDescent="0.2">
      <c r="B12" s="388"/>
      <c r="C12" s="80" t="s">
        <v>71</v>
      </c>
      <c r="D12" s="189" t="s">
        <v>88</v>
      </c>
      <c r="E12" s="249" t="s">
        <v>301</v>
      </c>
      <c r="F12" s="159" t="s">
        <v>302</v>
      </c>
      <c r="G12" s="159" t="s">
        <v>303</v>
      </c>
      <c r="H12" s="159" t="s">
        <v>304</v>
      </c>
      <c r="I12" s="159" t="s">
        <v>305</v>
      </c>
      <c r="J12" s="57">
        <v>2</v>
      </c>
      <c r="K12" s="160" t="str">
        <f t="shared" si="0"/>
        <v>MEDIO</v>
      </c>
      <c r="L12" s="57">
        <v>20</v>
      </c>
      <c r="M12" s="160" t="str">
        <f t="shared" si="1"/>
        <v>ALTO</v>
      </c>
      <c r="N12" s="192">
        <f t="shared" si="2"/>
        <v>40</v>
      </c>
      <c r="O12" s="201" t="s">
        <v>306</v>
      </c>
      <c r="P12" s="201" t="s">
        <v>722</v>
      </c>
      <c r="Q12" s="57">
        <v>2</v>
      </c>
      <c r="R12" s="57" t="str">
        <f t="shared" si="3"/>
        <v>MEDIO</v>
      </c>
      <c r="S12" s="57">
        <v>10</v>
      </c>
      <c r="T12" s="57" t="str">
        <f t="shared" si="4"/>
        <v>MEDIO</v>
      </c>
      <c r="U12" s="192">
        <f t="shared" si="5"/>
        <v>20</v>
      </c>
      <c r="V12" s="165"/>
      <c r="W12" s="165" t="s">
        <v>118</v>
      </c>
      <c r="X12" s="165"/>
      <c r="Y12" s="165"/>
      <c r="Z12" s="162" t="s">
        <v>307</v>
      </c>
      <c r="AA12" s="195" t="s">
        <v>308</v>
      </c>
      <c r="AB12" s="196" t="s">
        <v>309</v>
      </c>
      <c r="AC12" s="196" t="s">
        <v>214</v>
      </c>
      <c r="AD12" s="128" t="s">
        <v>979</v>
      </c>
      <c r="AE12" s="391"/>
      <c r="AG12" s="189"/>
      <c r="AH12" s="189"/>
      <c r="AI12" s="189"/>
      <c r="AJ12" s="189"/>
      <c r="AN12" s="29" t="s">
        <v>89</v>
      </c>
      <c r="AO12" s="219"/>
    </row>
    <row r="13" spans="2:41" s="25" customFormat="1" ht="108.75" customHeight="1" x14ac:dyDescent="0.2">
      <c r="B13" s="388"/>
      <c r="C13" s="354" t="s">
        <v>71</v>
      </c>
      <c r="D13" s="253" t="s">
        <v>77</v>
      </c>
      <c r="E13" s="254" t="s">
        <v>319</v>
      </c>
      <c r="F13" s="182" t="s">
        <v>310</v>
      </c>
      <c r="G13" s="182" t="s">
        <v>311</v>
      </c>
      <c r="H13" s="182" t="s">
        <v>312</v>
      </c>
      <c r="I13" s="182" t="s">
        <v>313</v>
      </c>
      <c r="J13" s="57">
        <v>2</v>
      </c>
      <c r="K13" s="160" t="str">
        <f t="shared" si="0"/>
        <v>MEDIO</v>
      </c>
      <c r="L13" s="57">
        <v>20</v>
      </c>
      <c r="M13" s="160" t="str">
        <f t="shared" si="1"/>
        <v>ALTO</v>
      </c>
      <c r="N13" s="192">
        <f t="shared" si="2"/>
        <v>40</v>
      </c>
      <c r="O13" s="201" t="s">
        <v>314</v>
      </c>
      <c r="P13" s="201" t="s">
        <v>320</v>
      </c>
      <c r="Q13" s="57">
        <v>2</v>
      </c>
      <c r="R13" s="57" t="str">
        <f t="shared" si="3"/>
        <v>MEDIO</v>
      </c>
      <c r="S13" s="57">
        <v>10</v>
      </c>
      <c r="T13" s="57" t="str">
        <f t="shared" si="4"/>
        <v>MEDIO</v>
      </c>
      <c r="U13" s="192">
        <f t="shared" si="5"/>
        <v>20</v>
      </c>
      <c r="V13" s="165"/>
      <c r="W13" s="165" t="s">
        <v>118</v>
      </c>
      <c r="X13" s="165"/>
      <c r="Y13" s="165"/>
      <c r="Z13" s="184" t="s">
        <v>321</v>
      </c>
      <c r="AA13" s="184" t="s">
        <v>322</v>
      </c>
      <c r="AB13" s="184" t="s">
        <v>323</v>
      </c>
      <c r="AC13" s="258" t="s">
        <v>324</v>
      </c>
      <c r="AD13" s="128" t="s">
        <v>325</v>
      </c>
      <c r="AE13" s="391"/>
      <c r="AG13" s="189"/>
      <c r="AH13" s="189"/>
      <c r="AI13" s="189"/>
      <c r="AJ13" s="189"/>
      <c r="AN13" s="29" t="s">
        <v>90</v>
      </c>
      <c r="AO13" s="219"/>
    </row>
    <row r="14" spans="2:41" s="250" customFormat="1" ht="180" customHeight="1" x14ac:dyDescent="0.2">
      <c r="B14" s="388"/>
      <c r="C14" s="80" t="s">
        <v>71</v>
      </c>
      <c r="D14" s="189" t="s">
        <v>72</v>
      </c>
      <c r="E14" s="254" t="s">
        <v>316</v>
      </c>
      <c r="F14" s="182" t="s">
        <v>724</v>
      </c>
      <c r="G14" s="182" t="s">
        <v>725</v>
      </c>
      <c r="H14" s="182" t="s">
        <v>726</v>
      </c>
      <c r="I14" s="182" t="s">
        <v>736</v>
      </c>
      <c r="J14" s="57">
        <v>2</v>
      </c>
      <c r="K14" s="160" t="str">
        <f t="shared" si="0"/>
        <v>MEDIO</v>
      </c>
      <c r="L14" s="57">
        <v>10</v>
      </c>
      <c r="M14" s="160" t="str">
        <f t="shared" si="1"/>
        <v>MEDIO</v>
      </c>
      <c r="N14" s="192">
        <f t="shared" si="2"/>
        <v>20</v>
      </c>
      <c r="O14" s="201" t="s">
        <v>727</v>
      </c>
      <c r="P14" s="201" t="s">
        <v>728</v>
      </c>
      <c r="Q14" s="57">
        <v>1</v>
      </c>
      <c r="R14" s="57" t="str">
        <f t="shared" si="3"/>
        <v>BAJO</v>
      </c>
      <c r="S14" s="57">
        <v>10</v>
      </c>
      <c r="T14" s="57" t="str">
        <f t="shared" si="4"/>
        <v>MEDIO</v>
      </c>
      <c r="U14" s="192">
        <f t="shared" si="5"/>
        <v>10</v>
      </c>
      <c r="V14" s="165" t="s">
        <v>118</v>
      </c>
      <c r="W14" s="165"/>
      <c r="X14" s="165"/>
      <c r="Y14" s="165"/>
      <c r="Z14" s="122" t="s">
        <v>729</v>
      </c>
      <c r="AA14" s="122" t="s">
        <v>730</v>
      </c>
      <c r="AB14" s="122" t="s">
        <v>731</v>
      </c>
      <c r="AC14" s="123" t="s">
        <v>290</v>
      </c>
      <c r="AD14" s="355" t="s">
        <v>732</v>
      </c>
      <c r="AE14" s="391"/>
      <c r="AG14" s="52"/>
      <c r="AH14" s="52"/>
      <c r="AI14" s="52"/>
      <c r="AJ14" s="52"/>
      <c r="AN14" s="29"/>
      <c r="AO14" s="251"/>
    </row>
    <row r="15" spans="2:41" s="250" customFormat="1" ht="215.25" customHeight="1" x14ac:dyDescent="0.2">
      <c r="B15" s="388"/>
      <c r="C15" s="217" t="s">
        <v>71</v>
      </c>
      <c r="D15" s="218" t="s">
        <v>72</v>
      </c>
      <c r="E15" s="197" t="s">
        <v>317</v>
      </c>
      <c r="F15" s="198" t="s">
        <v>733</v>
      </c>
      <c r="G15" s="198" t="s">
        <v>734</v>
      </c>
      <c r="H15" s="198" t="s">
        <v>735</v>
      </c>
      <c r="I15" s="198" t="s">
        <v>737</v>
      </c>
      <c r="J15" s="178">
        <v>3</v>
      </c>
      <c r="K15" s="160" t="str">
        <f t="shared" si="0"/>
        <v>ALTO</v>
      </c>
      <c r="L15" s="178">
        <v>10</v>
      </c>
      <c r="M15" s="160" t="str">
        <f t="shared" si="1"/>
        <v>MEDIO</v>
      </c>
      <c r="N15" s="192">
        <f t="shared" si="2"/>
        <v>30</v>
      </c>
      <c r="O15" s="257" t="s">
        <v>738</v>
      </c>
      <c r="P15" s="257" t="s">
        <v>739</v>
      </c>
      <c r="Q15" s="178">
        <v>2</v>
      </c>
      <c r="R15" s="160" t="str">
        <f t="shared" si="3"/>
        <v>MEDIO</v>
      </c>
      <c r="S15" s="178">
        <v>10</v>
      </c>
      <c r="T15" s="160" t="str">
        <f t="shared" si="4"/>
        <v>MEDIO</v>
      </c>
      <c r="U15" s="192">
        <f t="shared" si="5"/>
        <v>20</v>
      </c>
      <c r="V15" s="179"/>
      <c r="W15" s="179" t="s">
        <v>118</v>
      </c>
      <c r="X15" s="179"/>
      <c r="Y15" s="179"/>
      <c r="Z15" s="202" t="s">
        <v>740</v>
      </c>
      <c r="AA15" s="202" t="s">
        <v>741</v>
      </c>
      <c r="AB15" s="203" t="s">
        <v>742</v>
      </c>
      <c r="AC15" s="203" t="s">
        <v>743</v>
      </c>
      <c r="AD15" s="205" t="s">
        <v>744</v>
      </c>
      <c r="AE15" s="391"/>
      <c r="AG15" s="52"/>
      <c r="AH15" s="52"/>
      <c r="AI15" s="52"/>
      <c r="AJ15" s="52"/>
      <c r="AO15" s="251"/>
    </row>
    <row r="16" spans="2:41" s="48" customFormat="1" ht="215.25" customHeight="1" x14ac:dyDescent="0.2">
      <c r="B16" s="388"/>
      <c r="C16" s="80" t="s">
        <v>74</v>
      </c>
      <c r="D16" s="189" t="s">
        <v>76</v>
      </c>
      <c r="E16" s="45" t="s">
        <v>318</v>
      </c>
      <c r="F16" s="118" t="s">
        <v>745</v>
      </c>
      <c r="G16" s="118" t="s">
        <v>746</v>
      </c>
      <c r="H16" s="118" t="s">
        <v>747</v>
      </c>
      <c r="I16" s="118" t="s">
        <v>748</v>
      </c>
      <c r="J16" s="57" t="s">
        <v>85</v>
      </c>
      <c r="K16" s="57" t="str">
        <f t="shared" si="0"/>
        <v>N/A</v>
      </c>
      <c r="L16" s="57" t="s">
        <v>85</v>
      </c>
      <c r="M16" s="57" t="str">
        <f t="shared" si="1"/>
        <v>N/A</v>
      </c>
      <c r="N16" s="89" t="e">
        <f t="shared" si="2"/>
        <v>#VALUE!</v>
      </c>
      <c r="O16" s="232"/>
      <c r="P16" s="232"/>
      <c r="Q16" s="57" t="s">
        <v>85</v>
      </c>
      <c r="R16" s="57" t="str">
        <f t="shared" si="3"/>
        <v>N/A</v>
      </c>
      <c r="S16" s="57" t="s">
        <v>85</v>
      </c>
      <c r="T16" s="57" t="str">
        <f t="shared" si="4"/>
        <v>N/A</v>
      </c>
      <c r="U16" s="89" t="e">
        <f t="shared" si="5"/>
        <v>#VALUE!</v>
      </c>
      <c r="V16" s="233"/>
      <c r="W16" s="233"/>
      <c r="X16" s="233"/>
      <c r="Y16" s="233"/>
      <c r="Z16" s="125" t="s">
        <v>749</v>
      </c>
      <c r="AA16" s="126" t="s">
        <v>741</v>
      </c>
      <c r="AB16" s="126" t="s">
        <v>750</v>
      </c>
      <c r="AC16" s="126" t="s">
        <v>290</v>
      </c>
      <c r="AD16" s="128" t="s">
        <v>732</v>
      </c>
      <c r="AE16" s="391"/>
      <c r="AG16" s="256"/>
      <c r="AH16" s="52"/>
      <c r="AI16" s="52"/>
      <c r="AJ16" s="255"/>
      <c r="AO16" s="83"/>
    </row>
    <row r="17" spans="2:41" s="29" customFormat="1" ht="176.25" customHeight="1" thickBot="1" x14ac:dyDescent="0.25">
      <c r="B17" s="389"/>
      <c r="C17" s="222" t="s">
        <v>74</v>
      </c>
      <c r="D17" s="223" t="s">
        <v>72</v>
      </c>
      <c r="E17" s="224" t="s">
        <v>315</v>
      </c>
      <c r="F17" s="225" t="s">
        <v>751</v>
      </c>
      <c r="G17" s="225" t="s">
        <v>710</v>
      </c>
      <c r="H17" s="225" t="s">
        <v>752</v>
      </c>
      <c r="I17" s="225" t="s">
        <v>753</v>
      </c>
      <c r="J17" s="226" t="s">
        <v>85</v>
      </c>
      <c r="K17" s="226" t="str">
        <f t="shared" si="0"/>
        <v>N/A</v>
      </c>
      <c r="L17" s="226" t="s">
        <v>85</v>
      </c>
      <c r="M17" s="226" t="str">
        <f t="shared" si="1"/>
        <v>N/A</v>
      </c>
      <c r="N17" s="227" t="e">
        <f t="shared" si="2"/>
        <v>#VALUE!</v>
      </c>
      <c r="O17" s="242"/>
      <c r="P17" s="242"/>
      <c r="Q17" s="226" t="s">
        <v>85</v>
      </c>
      <c r="R17" s="226" t="str">
        <f t="shared" si="3"/>
        <v>N/A</v>
      </c>
      <c r="S17" s="226" t="s">
        <v>85</v>
      </c>
      <c r="T17" s="226" t="str">
        <f t="shared" si="4"/>
        <v>N/A</v>
      </c>
      <c r="U17" s="227" t="e">
        <f t="shared" si="5"/>
        <v>#VALUE!</v>
      </c>
      <c r="V17" s="247"/>
      <c r="W17" s="247"/>
      <c r="X17" s="247"/>
      <c r="Y17" s="247"/>
      <c r="Z17" s="231" t="s">
        <v>756</v>
      </c>
      <c r="AA17" s="356" t="s">
        <v>754</v>
      </c>
      <c r="AB17" s="357" t="s">
        <v>755</v>
      </c>
      <c r="AC17" s="357" t="s">
        <v>290</v>
      </c>
      <c r="AD17" s="231" t="s">
        <v>980</v>
      </c>
      <c r="AE17" s="392"/>
      <c r="AG17" s="51">
        <v>1</v>
      </c>
      <c r="AH17" s="52"/>
      <c r="AI17" s="52"/>
      <c r="AJ17" s="50">
        <f t="shared" si="6"/>
        <v>1</v>
      </c>
      <c r="AK17" s="29">
        <v>4</v>
      </c>
      <c r="AO17" s="93"/>
    </row>
    <row r="18" spans="2:41" s="29" customFormat="1" ht="31.5" customHeight="1" thickBot="1" x14ac:dyDescent="0.25">
      <c r="B18" s="24"/>
      <c r="C18" s="24"/>
      <c r="D18" s="24"/>
      <c r="E18" s="24"/>
      <c r="F18" s="24"/>
      <c r="G18" s="24"/>
      <c r="H18" s="24"/>
      <c r="I18" s="24"/>
      <c r="J18" s="24"/>
      <c r="K18" s="24"/>
      <c r="L18" s="24"/>
      <c r="M18" s="24"/>
      <c r="N18" s="24"/>
      <c r="O18" s="24"/>
      <c r="P18" s="24"/>
      <c r="Q18" s="24"/>
      <c r="R18" s="24"/>
      <c r="S18" s="24"/>
      <c r="T18" s="24"/>
      <c r="U18" s="24"/>
      <c r="V18" s="24"/>
      <c r="W18" s="24"/>
      <c r="X18" s="24"/>
      <c r="Y18" s="24"/>
      <c r="Z18" s="24"/>
      <c r="AA18" s="24"/>
      <c r="AB18" s="24"/>
      <c r="AC18" s="24"/>
      <c r="AD18" s="86"/>
      <c r="AE18" s="47"/>
      <c r="AG18" s="174"/>
      <c r="AH18" s="175">
        <v>1</v>
      </c>
      <c r="AI18" s="175"/>
      <c r="AJ18" s="176">
        <f t="shared" si="6"/>
        <v>1</v>
      </c>
      <c r="AO18" s="94"/>
    </row>
    <row r="19" spans="2:41" s="29" customFormat="1" ht="129" customHeight="1" thickBot="1" x14ac:dyDescent="0.25">
      <c r="B19" s="24"/>
      <c r="C19" s="24"/>
      <c r="D19" s="24"/>
      <c r="E19" s="24"/>
      <c r="F19" s="110"/>
      <c r="G19" s="110"/>
      <c r="H19" s="448" t="s">
        <v>270</v>
      </c>
      <c r="I19" s="449"/>
      <c r="J19" s="449"/>
      <c r="K19" s="450"/>
      <c r="L19" s="24"/>
      <c r="M19" s="393" t="s">
        <v>35</v>
      </c>
      <c r="N19" s="394"/>
      <c r="O19" s="394"/>
      <c r="P19" s="395"/>
      <c r="Q19" s="111"/>
      <c r="R19" s="24"/>
      <c r="S19" s="24"/>
      <c r="T19" s="24"/>
      <c r="U19" s="24"/>
      <c r="V19" s="24"/>
      <c r="W19" s="24"/>
      <c r="X19" s="24"/>
      <c r="Y19" s="24"/>
      <c r="Z19" s="24"/>
      <c r="AA19" s="24"/>
      <c r="AB19" s="24"/>
      <c r="AC19" s="24"/>
      <c r="AD19" s="24"/>
      <c r="AE19" s="42"/>
      <c r="AG19" s="174">
        <v>1</v>
      </c>
      <c r="AH19" s="175"/>
      <c r="AI19" s="175"/>
      <c r="AJ19" s="176">
        <f t="shared" si="6"/>
        <v>1</v>
      </c>
      <c r="AK19" s="29" t="s">
        <v>86</v>
      </c>
      <c r="AO19" s="434" t="s">
        <v>78</v>
      </c>
    </row>
    <row r="20" spans="2:41" s="29" customFormat="1" ht="46.5" customHeight="1" x14ac:dyDescent="0.2">
      <c r="B20" s="24"/>
      <c r="C20" s="24"/>
      <c r="D20" s="24"/>
      <c r="E20" s="24"/>
      <c r="F20" s="424"/>
      <c r="G20" s="424"/>
      <c r="H20" s="451" t="s">
        <v>149</v>
      </c>
      <c r="I20" s="452"/>
      <c r="J20" s="26">
        <f>COUNTIF(U9:U17,"=5")</f>
        <v>0</v>
      </c>
      <c r="K20" s="27">
        <f>J20*100%/J23</f>
        <v>0</v>
      </c>
      <c r="L20" s="24"/>
      <c r="M20" s="471" t="s">
        <v>106</v>
      </c>
      <c r="N20" s="472"/>
      <c r="O20" s="472" t="s">
        <v>49</v>
      </c>
      <c r="P20" s="473"/>
      <c r="Q20" s="112"/>
      <c r="R20" s="24"/>
      <c r="S20" s="24"/>
      <c r="T20" s="24"/>
      <c r="U20" s="24"/>
      <c r="V20" s="24"/>
      <c r="W20" s="24"/>
      <c r="X20" s="24"/>
      <c r="Y20" s="24"/>
      <c r="Z20" s="24"/>
      <c r="AA20" s="24"/>
      <c r="AB20" s="24"/>
      <c r="AC20" s="24"/>
      <c r="AD20" s="24"/>
      <c r="AE20" s="42"/>
      <c r="AG20" s="174">
        <v>1</v>
      </c>
      <c r="AH20" s="175"/>
      <c r="AI20" s="175"/>
      <c r="AJ20" s="176">
        <f t="shared" si="6"/>
        <v>1</v>
      </c>
      <c r="AK20" s="29" t="s">
        <v>87</v>
      </c>
      <c r="AO20" s="435"/>
    </row>
    <row r="21" spans="2:41" s="29" customFormat="1" ht="46.5" customHeight="1" x14ac:dyDescent="0.2">
      <c r="B21" s="24"/>
      <c r="C21" s="24"/>
      <c r="D21" s="24"/>
      <c r="E21" s="24"/>
      <c r="F21" s="424"/>
      <c r="G21" s="424"/>
      <c r="H21" s="451" t="s">
        <v>150</v>
      </c>
      <c r="I21" s="452"/>
      <c r="J21" s="26">
        <f>COUNTIFS(U9:U17,"&gt;=6",U9:U17,"&lt;=30")</f>
        <v>7</v>
      </c>
      <c r="K21" s="27">
        <f>J21*100%/J23</f>
        <v>1</v>
      </c>
      <c r="L21" s="24"/>
      <c r="M21" s="474" t="s">
        <v>107</v>
      </c>
      <c r="N21" s="475"/>
      <c r="O21" s="476" t="s">
        <v>50</v>
      </c>
      <c r="P21" s="477"/>
      <c r="Q21" s="112"/>
      <c r="R21" s="24"/>
      <c r="S21" s="24"/>
      <c r="T21" s="24"/>
      <c r="U21" s="24"/>
      <c r="V21" s="24"/>
      <c r="W21" s="24"/>
      <c r="X21" s="24"/>
      <c r="Y21" s="24"/>
      <c r="Z21" s="24"/>
      <c r="AA21" s="24"/>
      <c r="AB21" s="24"/>
      <c r="AC21" s="24"/>
      <c r="AD21" s="24"/>
      <c r="AE21" s="42"/>
      <c r="AG21" s="174">
        <v>1</v>
      </c>
      <c r="AH21" s="175"/>
      <c r="AI21" s="175"/>
      <c r="AJ21" s="176">
        <f t="shared" si="6"/>
        <v>1</v>
      </c>
      <c r="AO21" s="435"/>
    </row>
    <row r="22" spans="2:41" s="29" customFormat="1" ht="46.5" customHeight="1" thickBot="1" x14ac:dyDescent="0.25">
      <c r="B22" s="24"/>
      <c r="C22" s="24"/>
      <c r="D22" s="24"/>
      <c r="E22" s="24"/>
      <c r="F22" s="424"/>
      <c r="G22" s="424"/>
      <c r="H22" s="451" t="s">
        <v>151</v>
      </c>
      <c r="I22" s="452"/>
      <c r="J22" s="26">
        <f>COUNTIFS(U10:U18,"&gt;=40",U10:U18,"&lt;=60")</f>
        <v>0</v>
      </c>
      <c r="K22" s="27">
        <f>J22*100%/J23</f>
        <v>0</v>
      </c>
      <c r="L22" s="24"/>
      <c r="M22" s="468" t="s">
        <v>108</v>
      </c>
      <c r="N22" s="469"/>
      <c r="O22" s="469" t="s">
        <v>20</v>
      </c>
      <c r="P22" s="470"/>
      <c r="Q22" s="112"/>
      <c r="R22" s="24"/>
      <c r="S22" s="24"/>
      <c r="T22" s="24"/>
      <c r="U22" s="24"/>
      <c r="V22" s="24"/>
      <c r="W22" s="24"/>
      <c r="X22" s="24"/>
      <c r="Y22" s="24"/>
      <c r="Z22" s="24"/>
      <c r="AA22" s="24"/>
      <c r="AB22" s="24"/>
      <c r="AC22" s="24"/>
      <c r="AD22" s="24"/>
      <c r="AE22" s="42"/>
      <c r="AG22" s="174">
        <v>1</v>
      </c>
      <c r="AH22" s="175"/>
      <c r="AI22" s="175"/>
      <c r="AJ22" s="176">
        <f t="shared" si="6"/>
        <v>1</v>
      </c>
      <c r="AO22" s="435"/>
    </row>
    <row r="23" spans="2:41" s="29" customFormat="1" ht="46.5" customHeight="1" thickBot="1" x14ac:dyDescent="0.25">
      <c r="B23" s="24"/>
      <c r="C23" s="24"/>
      <c r="D23" s="24"/>
      <c r="E23" s="24"/>
      <c r="F23" s="433"/>
      <c r="G23" s="433"/>
      <c r="H23" s="458" t="s">
        <v>152</v>
      </c>
      <c r="I23" s="459"/>
      <c r="J23" s="177">
        <f>+J20+J22+J21</f>
        <v>7</v>
      </c>
      <c r="K23" s="138">
        <f>K20+K21+K22</f>
        <v>1</v>
      </c>
      <c r="L23" s="24"/>
      <c r="M23" s="24"/>
      <c r="N23" s="24"/>
      <c r="O23" s="24"/>
      <c r="P23" s="24"/>
      <c r="Q23" s="24"/>
      <c r="R23" s="24"/>
      <c r="S23" s="24"/>
      <c r="T23" s="24"/>
      <c r="U23" s="24"/>
      <c r="V23" s="24"/>
      <c r="W23" s="24"/>
      <c r="X23" s="24"/>
      <c r="Y23" s="24"/>
      <c r="Z23" s="24"/>
      <c r="AA23" s="24"/>
      <c r="AB23" s="24"/>
      <c r="AC23" s="24"/>
      <c r="AD23" s="24"/>
      <c r="AE23" s="42"/>
      <c r="AG23" s="174">
        <v>1</v>
      </c>
      <c r="AH23" s="175"/>
      <c r="AI23" s="175"/>
      <c r="AJ23" s="176">
        <f t="shared" si="6"/>
        <v>1</v>
      </c>
      <c r="AO23" s="435"/>
    </row>
    <row r="24" spans="2:41" s="29" customFormat="1" ht="75" customHeight="1" thickBot="1" x14ac:dyDescent="0.25">
      <c r="B24" s="24"/>
      <c r="C24" s="24"/>
      <c r="D24" s="24"/>
      <c r="E24" s="24"/>
      <c r="F24" s="24"/>
      <c r="G24" s="24"/>
      <c r="H24" s="456" t="s">
        <v>269</v>
      </c>
      <c r="I24" s="457"/>
      <c r="J24" s="244">
        <f>COUNTIF(Q4:Q17,"N/A")</f>
        <v>2</v>
      </c>
      <c r="K24" s="245" t="str">
        <f>IF(J24&gt;=1,"100%",0)</f>
        <v>100%</v>
      </c>
      <c r="L24" s="24"/>
      <c r="M24" s="24"/>
      <c r="N24" s="24"/>
      <c r="O24" s="24"/>
      <c r="P24" s="24"/>
      <c r="Q24" s="24"/>
      <c r="R24" s="24"/>
      <c r="S24" s="24"/>
      <c r="T24" s="24"/>
      <c r="U24" s="24"/>
      <c r="V24" s="24"/>
      <c r="W24" s="24"/>
      <c r="X24" s="24"/>
      <c r="Y24" s="24"/>
      <c r="Z24" s="24"/>
      <c r="AA24" s="24"/>
      <c r="AB24" s="24"/>
      <c r="AC24" s="24"/>
      <c r="AD24" s="24"/>
      <c r="AE24" s="42"/>
      <c r="AG24" s="174"/>
      <c r="AH24" s="175">
        <v>1</v>
      </c>
      <c r="AI24" s="175"/>
      <c r="AJ24" s="176">
        <f t="shared" si="6"/>
        <v>1</v>
      </c>
      <c r="AO24" s="435"/>
    </row>
    <row r="25" spans="2:41" s="29" customFormat="1" ht="97.5" customHeight="1" x14ac:dyDescent="0.2">
      <c r="B25" s="24"/>
      <c r="C25" s="83"/>
      <c r="D25" s="83"/>
      <c r="E25" s="83"/>
      <c r="F25" s="83"/>
      <c r="G25" s="84"/>
      <c r="H25" s="84"/>
      <c r="I25" s="83"/>
      <c r="J25" s="24"/>
      <c r="K25" s="24"/>
      <c r="L25" s="24"/>
      <c r="M25" s="24"/>
      <c r="N25" s="24"/>
      <c r="O25" s="24"/>
      <c r="P25" s="24"/>
      <c r="Q25" s="24"/>
      <c r="R25" s="24"/>
      <c r="S25" s="24"/>
      <c r="T25" s="24"/>
      <c r="U25" s="24"/>
      <c r="V25" s="24"/>
      <c r="W25" s="24"/>
      <c r="X25" s="24"/>
      <c r="Y25" s="24"/>
      <c r="Z25" s="24"/>
      <c r="AA25" s="24"/>
      <c r="AB25" s="24"/>
      <c r="AC25" s="24"/>
      <c r="AD25" s="24"/>
      <c r="AE25" s="42"/>
      <c r="AG25" s="174"/>
      <c r="AH25" s="175">
        <v>1</v>
      </c>
      <c r="AI25" s="175"/>
      <c r="AJ25" s="176">
        <f t="shared" si="6"/>
        <v>1</v>
      </c>
      <c r="AO25" s="435"/>
    </row>
    <row r="26" spans="2:41" s="29" customFormat="1" ht="107.25" customHeight="1" thickBot="1" x14ac:dyDescent="0.25">
      <c r="B26" s="24"/>
      <c r="C26" s="83"/>
      <c r="D26" s="83"/>
      <c r="E26" s="83"/>
      <c r="F26" s="84"/>
      <c r="G26" s="84"/>
      <c r="H26" s="84"/>
      <c r="I26" s="84"/>
      <c r="J26" s="24"/>
      <c r="K26" s="24"/>
      <c r="L26" s="24"/>
      <c r="M26" s="24"/>
      <c r="N26" s="24"/>
      <c r="O26" s="24"/>
      <c r="P26" s="24"/>
      <c r="Q26" s="24"/>
      <c r="R26" s="24"/>
      <c r="S26" s="24"/>
      <c r="T26" s="24"/>
      <c r="U26" s="24"/>
      <c r="V26" s="24"/>
      <c r="W26" s="24"/>
      <c r="X26" s="24"/>
      <c r="Y26" s="24"/>
      <c r="Z26" s="24"/>
      <c r="AA26" s="24"/>
      <c r="AB26" s="24"/>
      <c r="AC26" s="24"/>
      <c r="AD26" s="24"/>
      <c r="AE26" s="42"/>
      <c r="AG26" s="174">
        <v>1</v>
      </c>
      <c r="AH26" s="175"/>
      <c r="AI26" s="175"/>
      <c r="AJ26" s="176">
        <f t="shared" si="6"/>
        <v>1</v>
      </c>
      <c r="AO26" s="436"/>
    </row>
    <row r="27" spans="2:41" s="28" customFormat="1" ht="80.25" customHeight="1" x14ac:dyDescent="0.2">
      <c r="B27" s="24"/>
      <c r="C27" s="83"/>
      <c r="D27" s="83"/>
      <c r="E27" s="85"/>
      <c r="F27" s="85"/>
      <c r="G27" s="85"/>
      <c r="H27" s="85"/>
      <c r="I27" s="85"/>
      <c r="J27" s="24"/>
      <c r="K27" s="24"/>
      <c r="L27" s="24"/>
      <c r="M27" s="24"/>
      <c r="N27" s="24"/>
      <c r="O27" s="24"/>
      <c r="P27" s="24"/>
      <c r="Q27" s="24"/>
      <c r="R27" s="24"/>
      <c r="S27" s="24"/>
      <c r="T27" s="24"/>
      <c r="U27" s="24"/>
      <c r="V27" s="24"/>
      <c r="W27" s="24"/>
      <c r="X27" s="24"/>
      <c r="Y27" s="24"/>
      <c r="Z27" s="24"/>
      <c r="AA27" s="24"/>
      <c r="AB27" s="24"/>
      <c r="AC27" s="24"/>
      <c r="AD27" s="24"/>
      <c r="AE27" s="42"/>
      <c r="AG27" s="39"/>
      <c r="AH27" s="49"/>
      <c r="AI27" s="49"/>
      <c r="AJ27" s="40"/>
      <c r="AO27" s="434" t="s">
        <v>79</v>
      </c>
    </row>
    <row r="28" spans="2:41" s="29" customFormat="1" ht="101.25" customHeight="1" x14ac:dyDescent="0.2">
      <c r="B28" s="24"/>
      <c r="C28" s="84"/>
      <c r="D28" s="84"/>
      <c r="E28" s="48"/>
      <c r="F28" s="48"/>
      <c r="G28" s="48"/>
      <c r="H28" s="48"/>
      <c r="I28" s="48"/>
      <c r="J28" s="24"/>
      <c r="K28" s="24"/>
      <c r="L28" s="24"/>
      <c r="M28" s="24"/>
      <c r="N28" s="24"/>
      <c r="O28" s="24"/>
      <c r="P28" s="24"/>
      <c r="Q28" s="24"/>
      <c r="R28" s="24"/>
      <c r="S28" s="24"/>
      <c r="T28" s="24"/>
      <c r="U28" s="24"/>
      <c r="V28" s="24"/>
      <c r="W28" s="24"/>
      <c r="X28" s="24"/>
      <c r="Y28" s="24"/>
      <c r="Z28" s="24"/>
      <c r="AA28" s="24"/>
      <c r="AB28" s="24"/>
      <c r="AC28" s="24"/>
      <c r="AD28" s="24"/>
      <c r="AE28" s="42"/>
      <c r="AG28" s="174">
        <v>1</v>
      </c>
      <c r="AH28" s="175"/>
      <c r="AI28" s="175"/>
      <c r="AJ28" s="176">
        <f t="shared" si="6"/>
        <v>1</v>
      </c>
      <c r="AO28" s="435"/>
    </row>
    <row r="29" spans="2:41" s="29" customFormat="1" ht="109.5" customHeight="1" x14ac:dyDescent="0.2">
      <c r="B29" s="24"/>
      <c r="C29" s="84"/>
      <c r="D29" s="84"/>
      <c r="I29" s="24"/>
      <c r="J29" s="24"/>
      <c r="K29" s="24"/>
      <c r="L29" s="24"/>
      <c r="M29" s="24"/>
      <c r="N29" s="24"/>
      <c r="O29" s="24"/>
      <c r="P29" s="24"/>
      <c r="Q29" s="24"/>
      <c r="R29" s="24"/>
      <c r="S29" s="24"/>
      <c r="T29" s="24"/>
      <c r="U29" s="24"/>
      <c r="V29" s="24"/>
      <c r="W29" s="24"/>
      <c r="X29" s="24"/>
      <c r="Y29" s="24"/>
      <c r="Z29" s="24"/>
      <c r="AA29" s="24"/>
      <c r="AB29" s="24"/>
      <c r="AC29" s="24"/>
      <c r="AD29" s="24"/>
      <c r="AE29" s="42"/>
      <c r="AG29" s="174"/>
      <c r="AH29" s="175">
        <v>1</v>
      </c>
      <c r="AI29" s="175"/>
      <c r="AJ29" s="176">
        <f t="shared" si="6"/>
        <v>1</v>
      </c>
      <c r="AO29" s="435"/>
    </row>
    <row r="30" spans="2:41" s="29" customFormat="1" ht="67.5" customHeight="1" x14ac:dyDescent="0.2">
      <c r="B30" s="24"/>
      <c r="C30" s="84"/>
      <c r="D30" s="84"/>
      <c r="H30" s="24"/>
      <c r="I30" s="24"/>
      <c r="J30" s="24"/>
      <c r="K30" s="24"/>
      <c r="L30" s="24"/>
      <c r="M30" s="24"/>
      <c r="N30" s="24"/>
      <c r="O30" s="24"/>
      <c r="P30" s="24"/>
      <c r="Q30" s="24"/>
      <c r="R30" s="24"/>
      <c r="S30" s="24"/>
      <c r="T30" s="24"/>
      <c r="U30" s="24"/>
      <c r="V30" s="24"/>
      <c r="W30" s="24"/>
      <c r="X30" s="24"/>
      <c r="Y30" s="24"/>
      <c r="Z30" s="24"/>
      <c r="AA30" s="24"/>
      <c r="AB30" s="24"/>
      <c r="AC30" s="24"/>
      <c r="AD30" s="24"/>
      <c r="AE30" s="42"/>
      <c r="AG30" s="174"/>
      <c r="AH30" s="175">
        <v>1</v>
      </c>
      <c r="AI30" s="175"/>
      <c r="AJ30" s="176">
        <v>1</v>
      </c>
      <c r="AO30" s="435"/>
    </row>
    <row r="31" spans="2:41" s="29" customFormat="1" ht="83.25" customHeight="1" x14ac:dyDescent="0.2">
      <c r="B31" s="24"/>
      <c r="C31" s="83"/>
      <c r="D31" s="83"/>
      <c r="G31" s="24"/>
      <c r="H31" s="24"/>
      <c r="I31" s="24"/>
      <c r="J31" s="24"/>
      <c r="K31" s="24"/>
      <c r="L31" s="24"/>
      <c r="M31" s="24"/>
      <c r="N31" s="24"/>
      <c r="O31" s="24"/>
      <c r="P31" s="24"/>
      <c r="Q31" s="24"/>
      <c r="R31" s="24"/>
      <c r="S31" s="24"/>
      <c r="T31" s="24"/>
      <c r="U31" s="24"/>
      <c r="V31" s="24"/>
      <c r="W31" s="24"/>
      <c r="X31" s="24"/>
      <c r="Y31" s="24"/>
      <c r="Z31" s="24"/>
      <c r="AA31" s="24"/>
      <c r="AB31" s="24"/>
      <c r="AC31" s="24"/>
      <c r="AD31" s="24"/>
      <c r="AE31" s="42"/>
      <c r="AG31" s="174"/>
      <c r="AH31" s="175">
        <v>1</v>
      </c>
      <c r="AI31" s="175"/>
      <c r="AJ31" s="176">
        <v>1</v>
      </c>
      <c r="AO31" s="435"/>
    </row>
    <row r="32" spans="2:41" s="29" customFormat="1" ht="75.75" customHeight="1" thickBot="1" x14ac:dyDescent="0.25">
      <c r="B32" s="24"/>
      <c r="C32" s="83"/>
      <c r="D32" s="83"/>
      <c r="G32" s="24"/>
      <c r="H32" s="24"/>
      <c r="I32" s="24"/>
      <c r="J32" s="24"/>
      <c r="K32" s="24"/>
      <c r="L32" s="24"/>
      <c r="M32" s="24"/>
      <c r="N32" s="24"/>
      <c r="O32" s="24"/>
      <c r="P32" s="24"/>
      <c r="Q32" s="24"/>
      <c r="R32" s="24"/>
      <c r="S32" s="24"/>
      <c r="T32" s="24"/>
      <c r="U32" s="24"/>
      <c r="V32" s="24"/>
      <c r="W32" s="24"/>
      <c r="X32" s="24"/>
      <c r="Y32" s="24"/>
      <c r="Z32" s="24"/>
      <c r="AA32" s="24"/>
      <c r="AB32" s="24"/>
      <c r="AC32" s="24"/>
      <c r="AD32" s="24"/>
      <c r="AE32" s="42"/>
      <c r="AG32" s="174"/>
      <c r="AH32" s="175"/>
      <c r="AI32" s="175"/>
      <c r="AJ32" s="176"/>
      <c r="AO32" s="436"/>
    </row>
    <row r="33" spans="2:41" s="29" customFormat="1" ht="73.5" customHeight="1" x14ac:dyDescent="0.2">
      <c r="B33" s="24"/>
      <c r="C33" s="83"/>
      <c r="D33" s="83"/>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42"/>
      <c r="AG33" s="174"/>
      <c r="AH33" s="175">
        <v>1</v>
      </c>
      <c r="AI33" s="175"/>
      <c r="AJ33" s="176">
        <v>1</v>
      </c>
      <c r="AO33" s="434" t="s">
        <v>80</v>
      </c>
    </row>
    <row r="34" spans="2:41" s="29" customFormat="1" ht="58.5" customHeight="1" x14ac:dyDescent="0.2">
      <c r="B34" s="24"/>
      <c r="C34" s="84"/>
      <c r="D34" s="84"/>
      <c r="J34" s="24"/>
      <c r="K34" s="24"/>
      <c r="L34" s="24"/>
      <c r="M34" s="24"/>
      <c r="N34" s="24"/>
      <c r="O34" s="24"/>
      <c r="P34" s="24"/>
      <c r="Q34" s="24"/>
      <c r="R34" s="24"/>
      <c r="S34" s="24"/>
      <c r="T34" s="24"/>
      <c r="U34" s="24"/>
      <c r="V34" s="24"/>
      <c r="W34" s="24"/>
      <c r="X34" s="24"/>
      <c r="Y34" s="24"/>
      <c r="Z34" s="24"/>
      <c r="AA34" s="24"/>
      <c r="AB34" s="24"/>
      <c r="AC34" s="24"/>
      <c r="AD34" s="24"/>
      <c r="AE34" s="42"/>
      <c r="AG34" s="174">
        <v>1</v>
      </c>
      <c r="AH34" s="175"/>
      <c r="AI34" s="175"/>
      <c r="AJ34" s="176">
        <v>1</v>
      </c>
      <c r="AO34" s="435"/>
    </row>
    <row r="35" spans="2:41" s="29" customFormat="1" ht="73.5" customHeight="1" x14ac:dyDescent="0.2">
      <c r="B35" s="24"/>
      <c r="C35" s="84"/>
      <c r="D35" s="8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174"/>
      <c r="AH35" s="175">
        <v>1</v>
      </c>
      <c r="AI35" s="175"/>
      <c r="AJ35" s="176">
        <v>1</v>
      </c>
      <c r="AO35" s="435"/>
    </row>
    <row r="36" spans="2:41" s="29" customFormat="1" ht="102" customHeight="1" thickBot="1" x14ac:dyDescent="0.25">
      <c r="B36" s="24"/>
      <c r="C36" s="84"/>
      <c r="D36" s="8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74">
        <v>1</v>
      </c>
      <c r="AH36" s="175"/>
      <c r="AI36" s="175"/>
      <c r="AJ36" s="176">
        <v>1</v>
      </c>
      <c r="AO36" s="435"/>
    </row>
    <row r="37" spans="2:41" s="29" customFormat="1" ht="86.25" customHeight="1" x14ac:dyDescent="0.2">
      <c r="B37" s="24"/>
      <c r="C37" s="84"/>
      <c r="D37" s="8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74"/>
      <c r="AH37" s="175">
        <v>1</v>
      </c>
      <c r="AI37" s="175"/>
      <c r="AJ37" s="176">
        <v>1</v>
      </c>
      <c r="AO37" s="437" t="s">
        <v>81</v>
      </c>
    </row>
    <row r="38" spans="2:41" s="29" customFormat="1" ht="70.5" customHeight="1" thickBot="1" x14ac:dyDescent="0.25">
      <c r="B38" s="24"/>
      <c r="C38" s="84"/>
      <c r="D38" s="8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174">
        <v>1</v>
      </c>
      <c r="AH38" s="175"/>
      <c r="AI38" s="175"/>
      <c r="AJ38" s="176">
        <v>1</v>
      </c>
      <c r="AO38" s="438"/>
    </row>
    <row r="39" spans="2:41" s="29" customFormat="1" ht="62.25" customHeight="1" x14ac:dyDescent="0.2">
      <c r="B39" s="24"/>
      <c r="C39" s="84"/>
      <c r="D39" s="8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174">
        <v>1</v>
      </c>
      <c r="AH39" s="175"/>
      <c r="AI39" s="175"/>
      <c r="AJ39" s="176">
        <v>1</v>
      </c>
      <c r="AO39" s="437" t="s">
        <v>82</v>
      </c>
    </row>
    <row r="40" spans="2:41" s="29" customFormat="1" ht="45.75" customHeight="1" x14ac:dyDescent="0.2">
      <c r="B40" s="24"/>
      <c r="C40" s="84"/>
      <c r="D40" s="8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174"/>
      <c r="AH40" s="175"/>
      <c r="AI40" s="175">
        <v>1</v>
      </c>
      <c r="AJ40" s="176">
        <v>1</v>
      </c>
      <c r="AO40" s="439"/>
    </row>
    <row r="41" spans="2:41" s="29" customFormat="1" ht="43.5" customHeight="1" x14ac:dyDescent="0.2">
      <c r="B41" s="24"/>
      <c r="C41" s="84"/>
      <c r="D41" s="8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174">
        <v>1</v>
      </c>
      <c r="AH41" s="175"/>
      <c r="AI41" s="175"/>
      <c r="AJ41" s="176">
        <v>1</v>
      </c>
      <c r="AO41" s="439"/>
    </row>
    <row r="42" spans="2:41" s="29" customFormat="1" ht="61.5" customHeight="1" thickBot="1" x14ac:dyDescent="0.25">
      <c r="B42" s="24"/>
      <c r="C42" s="84"/>
      <c r="D42" s="84"/>
      <c r="J42" s="24"/>
      <c r="K42" s="24"/>
      <c r="L42" s="24"/>
      <c r="M42" s="24"/>
      <c r="N42" s="24"/>
      <c r="O42" s="24"/>
      <c r="P42" s="24"/>
      <c r="Q42" s="24"/>
      <c r="R42" s="24"/>
      <c r="S42" s="24"/>
      <c r="T42" s="24"/>
      <c r="U42" s="24"/>
      <c r="V42" s="24"/>
      <c r="W42" s="24"/>
      <c r="X42" s="24"/>
      <c r="Y42" s="24"/>
      <c r="Z42" s="24"/>
      <c r="AA42" s="24"/>
      <c r="AB42" s="24"/>
      <c r="AC42" s="24"/>
      <c r="AD42" s="24"/>
      <c r="AE42" s="42"/>
      <c r="AG42" s="440"/>
      <c r="AH42" s="441"/>
      <c r="AI42" s="441">
        <v>1</v>
      </c>
      <c r="AJ42" s="442">
        <v>1</v>
      </c>
      <c r="AO42" s="438"/>
    </row>
    <row r="43" spans="2:41" s="29" customFormat="1" ht="70.5" customHeight="1" x14ac:dyDescent="0.2">
      <c r="B43" s="24"/>
      <c r="C43" s="84"/>
      <c r="D43" s="8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440"/>
      <c r="AH43" s="441"/>
      <c r="AI43" s="441"/>
      <c r="AJ43" s="442"/>
      <c r="AO43" s="434" t="s">
        <v>83</v>
      </c>
    </row>
    <row r="44" spans="2:41" s="29" customFormat="1" ht="59.25" customHeight="1" x14ac:dyDescent="0.2">
      <c r="B44" s="24"/>
      <c r="C44" s="84"/>
      <c r="D44" s="8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174">
        <v>1</v>
      </c>
      <c r="AH44" s="175"/>
      <c r="AI44" s="175"/>
      <c r="AJ44" s="176">
        <v>1</v>
      </c>
      <c r="AO44" s="435"/>
    </row>
    <row r="45" spans="2:41" s="29" customFormat="1" ht="122.25" customHeight="1" x14ac:dyDescent="0.2">
      <c r="B45" s="24"/>
      <c r="C45" s="84"/>
      <c r="D45" s="8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74">
        <v>1</v>
      </c>
      <c r="AH45" s="175"/>
      <c r="AI45" s="175"/>
      <c r="AJ45" s="176">
        <v>1</v>
      </c>
      <c r="AO45" s="435"/>
    </row>
    <row r="46" spans="2:41" s="29" customFormat="1" ht="97.5" customHeight="1" x14ac:dyDescent="0.2">
      <c r="B46" s="24"/>
      <c r="C46" s="84"/>
      <c r="D46" s="8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174">
        <v>1</v>
      </c>
      <c r="AH46" s="175"/>
      <c r="AI46" s="175"/>
      <c r="AJ46" s="176">
        <v>1</v>
      </c>
      <c r="AO46" s="435"/>
    </row>
    <row r="47" spans="2:41" s="29" customFormat="1" ht="49.5" customHeight="1" thickBot="1" x14ac:dyDescent="0.25">
      <c r="B47" s="24"/>
      <c r="C47" s="84"/>
      <c r="D47" s="8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174">
        <v>1</v>
      </c>
      <c r="AH47" s="175"/>
      <c r="AI47" s="175"/>
      <c r="AJ47" s="176">
        <v>1</v>
      </c>
      <c r="AO47" s="436"/>
    </row>
    <row r="48" spans="2:41" s="29" customFormat="1" ht="61.5" customHeight="1" x14ac:dyDescent="0.2">
      <c r="B48" s="24"/>
      <c r="C48" s="84"/>
      <c r="D48" s="8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174"/>
      <c r="AH48" s="175">
        <v>1</v>
      </c>
      <c r="AI48" s="175"/>
      <c r="AJ48" s="176">
        <v>1</v>
      </c>
      <c r="AO48" s="434" t="s">
        <v>84</v>
      </c>
    </row>
    <row r="49" spans="2:41" s="29" customFormat="1" ht="44.25" customHeight="1" x14ac:dyDescent="0.2">
      <c r="B49" s="24"/>
      <c r="C49" s="84"/>
      <c r="D49" s="8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174">
        <v>1</v>
      </c>
      <c r="AH49" s="175"/>
      <c r="AI49" s="175"/>
      <c r="AJ49" s="176">
        <v>1</v>
      </c>
      <c r="AO49" s="435"/>
    </row>
    <row r="50" spans="2:41" s="29" customFormat="1" ht="97.5" customHeight="1" x14ac:dyDescent="0.2">
      <c r="B50" s="24"/>
      <c r="C50" s="84"/>
      <c r="D50" s="84"/>
      <c r="J50" s="24"/>
      <c r="K50" s="24"/>
      <c r="L50" s="24"/>
      <c r="M50" s="24"/>
      <c r="N50" s="24"/>
      <c r="O50" s="24"/>
      <c r="P50" s="24"/>
      <c r="Q50" s="24"/>
      <c r="R50" s="24"/>
      <c r="S50" s="24"/>
      <c r="T50" s="24"/>
      <c r="U50" s="24"/>
      <c r="V50" s="24"/>
      <c r="W50" s="24"/>
      <c r="X50" s="24"/>
      <c r="Y50" s="24"/>
      <c r="Z50" s="24"/>
      <c r="AA50" s="24"/>
      <c r="AB50" s="24"/>
      <c r="AC50" s="24"/>
      <c r="AD50" s="24"/>
      <c r="AE50" s="42"/>
      <c r="AG50" s="174">
        <v>1</v>
      </c>
      <c r="AH50" s="175"/>
      <c r="AI50" s="175"/>
      <c r="AJ50" s="176">
        <v>1</v>
      </c>
      <c r="AO50" s="435"/>
    </row>
    <row r="51" spans="2:41" s="29" customFormat="1" ht="54.75" customHeight="1" thickBot="1" x14ac:dyDescent="0.25">
      <c r="B51" s="24"/>
      <c r="C51" s="84"/>
      <c r="D51" s="8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174">
        <v>1</v>
      </c>
      <c r="AH51" s="175"/>
      <c r="AI51" s="175"/>
      <c r="AJ51" s="176">
        <v>1</v>
      </c>
      <c r="AO51" s="436"/>
    </row>
    <row r="52" spans="2:41" s="29" customFormat="1" ht="83.25" customHeight="1" x14ac:dyDescent="0.2">
      <c r="B52" s="24"/>
      <c r="C52" s="84"/>
      <c r="D52" s="8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74">
        <v>1</v>
      </c>
      <c r="AH52" s="175"/>
      <c r="AI52" s="175"/>
      <c r="AJ52" s="176">
        <v>1</v>
      </c>
      <c r="AO52" s="434" t="s">
        <v>75</v>
      </c>
    </row>
    <row r="53" spans="2:41" s="29" customFormat="1" ht="82.5" customHeight="1" x14ac:dyDescent="0.2">
      <c r="B53" s="24"/>
      <c r="C53" s="84"/>
      <c r="D53" s="8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74"/>
      <c r="AH53" s="175"/>
      <c r="AI53" s="175">
        <v>1</v>
      </c>
      <c r="AJ53" s="176">
        <v>1</v>
      </c>
      <c r="AO53" s="435"/>
    </row>
    <row r="54" spans="2:41" s="29" customFormat="1" ht="67.5" customHeight="1" x14ac:dyDescent="0.2">
      <c r="B54" s="24"/>
      <c r="C54" s="84"/>
      <c r="D54" s="8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174"/>
      <c r="AH54" s="175">
        <v>1</v>
      </c>
      <c r="AI54" s="175"/>
      <c r="AJ54" s="176">
        <v>1</v>
      </c>
      <c r="AO54" s="435"/>
    </row>
    <row r="55" spans="2:41" s="29" customFormat="1" ht="65.25" customHeight="1" thickBot="1" x14ac:dyDescent="0.25">
      <c r="B55" s="24"/>
      <c r="C55" s="84"/>
      <c r="D55" s="8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174">
        <v>1</v>
      </c>
      <c r="AH55" s="175"/>
      <c r="AI55" s="175"/>
      <c r="AJ55" s="176">
        <v>1</v>
      </c>
      <c r="AO55" s="436"/>
    </row>
    <row r="56" spans="2:41" s="29" customFormat="1" ht="36.75" customHeight="1" x14ac:dyDescent="0.2">
      <c r="B56" s="24"/>
      <c r="C56" s="84"/>
      <c r="D56" s="8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174"/>
      <c r="AH56" s="175"/>
      <c r="AI56" s="175"/>
      <c r="AJ56" s="176"/>
    </row>
    <row r="57" spans="2:41" s="29" customFormat="1" ht="151.5" customHeight="1" x14ac:dyDescent="0.2">
      <c r="B57" s="24"/>
      <c r="C57" s="84"/>
      <c r="D57" s="84"/>
      <c r="I57" s="24"/>
      <c r="J57" s="24"/>
      <c r="K57" s="24"/>
      <c r="L57" s="24"/>
      <c r="M57" s="24"/>
      <c r="N57" s="24"/>
      <c r="O57" s="24"/>
      <c r="P57" s="24"/>
      <c r="Q57" s="24"/>
      <c r="R57" s="24"/>
      <c r="S57" s="24"/>
      <c r="T57" s="24"/>
      <c r="U57" s="24"/>
      <c r="V57" s="24"/>
      <c r="W57" s="24"/>
      <c r="X57" s="24"/>
      <c r="Y57" s="24"/>
      <c r="Z57" s="24"/>
      <c r="AA57" s="24"/>
      <c r="AB57" s="24"/>
      <c r="AC57" s="24"/>
      <c r="AD57" s="24"/>
      <c r="AE57" s="42"/>
      <c r="AG57" s="174"/>
      <c r="AH57" s="175"/>
      <c r="AI57" s="175">
        <v>1</v>
      </c>
      <c r="AJ57" s="176">
        <v>1</v>
      </c>
    </row>
    <row r="58" spans="2:41" s="29" customFormat="1" ht="100.5" customHeight="1" x14ac:dyDescent="0.2">
      <c r="B58" s="24"/>
      <c r="C58" s="84"/>
      <c r="D58" s="84"/>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42"/>
      <c r="AG58" s="174"/>
      <c r="AH58" s="175"/>
      <c r="AI58" s="175">
        <v>1</v>
      </c>
      <c r="AJ58" s="176">
        <v>1</v>
      </c>
    </row>
    <row r="59" spans="2:41" s="29" customFormat="1" ht="113.25" customHeight="1" x14ac:dyDescent="0.2">
      <c r="B59" s="24"/>
      <c r="C59" s="84"/>
      <c r="D59" s="84"/>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42"/>
      <c r="AG59" s="174"/>
      <c r="AH59" s="175">
        <v>1</v>
      </c>
      <c r="AI59" s="175"/>
      <c r="AJ59" s="176">
        <v>1</v>
      </c>
    </row>
    <row r="60" spans="2:41" ht="54.75" customHeight="1" x14ac:dyDescent="0.2">
      <c r="C60" s="84"/>
      <c r="D60" s="84"/>
      <c r="AE60" s="42"/>
      <c r="AF60" s="29"/>
      <c r="AG60" s="34"/>
      <c r="AH60" s="30">
        <v>1</v>
      </c>
      <c r="AI60" s="30"/>
      <c r="AJ60" s="35">
        <v>1</v>
      </c>
    </row>
    <row r="61" spans="2:41" ht="45.75" customHeight="1" x14ac:dyDescent="0.2">
      <c r="C61" s="84"/>
      <c r="D61" s="84"/>
      <c r="AE61" s="42"/>
      <c r="AF61" s="29"/>
      <c r="AG61" s="34"/>
      <c r="AH61" s="30">
        <v>1</v>
      </c>
      <c r="AI61" s="30"/>
      <c r="AJ61" s="35">
        <v>1</v>
      </c>
    </row>
    <row r="62" spans="2:41" ht="54.75" customHeight="1" x14ac:dyDescent="0.2">
      <c r="C62" s="84"/>
      <c r="D62" s="84"/>
      <c r="AE62" s="42"/>
      <c r="AF62" s="29"/>
      <c r="AG62" s="34"/>
      <c r="AH62" s="30">
        <v>1</v>
      </c>
      <c r="AI62" s="30"/>
      <c r="AJ62" s="35">
        <v>1</v>
      </c>
    </row>
    <row r="63" spans="2:41" ht="201.75" customHeight="1" x14ac:dyDescent="0.2">
      <c r="C63" s="84"/>
      <c r="D63" s="84"/>
      <c r="AE63" s="42"/>
      <c r="AF63" s="29"/>
      <c r="AG63" s="34"/>
      <c r="AH63" s="30">
        <v>1</v>
      </c>
      <c r="AI63" s="30"/>
      <c r="AJ63" s="35">
        <v>1</v>
      </c>
    </row>
    <row r="64" spans="2:41" ht="125.25" customHeight="1" x14ac:dyDescent="0.2">
      <c r="C64" s="84"/>
      <c r="D64" s="84"/>
      <c r="AE64" s="42"/>
      <c r="AF64" s="29"/>
      <c r="AG64" s="34"/>
      <c r="AH64" s="30">
        <v>1</v>
      </c>
      <c r="AI64" s="30"/>
      <c r="AJ64" s="35">
        <v>1</v>
      </c>
    </row>
    <row r="65" spans="3:36" ht="112.5" customHeight="1" thickBot="1" x14ac:dyDescent="0.25">
      <c r="C65" s="84"/>
      <c r="D65" s="84"/>
      <c r="AE65" s="42"/>
      <c r="AG65" s="36">
        <f>SUM(AG9:AG60)</f>
        <v>24</v>
      </c>
      <c r="AH65" s="37">
        <f>SUM(AH9:AH64)</f>
        <v>18</v>
      </c>
      <c r="AI65" s="37">
        <f>SUM(AI9:AI64)</f>
        <v>5</v>
      </c>
      <c r="AJ65" s="38">
        <f>SUM(AJ9:AJ64)</f>
        <v>47</v>
      </c>
    </row>
    <row r="66" spans="3:36" ht="94.5" customHeight="1" x14ac:dyDescent="0.2">
      <c r="C66" s="84"/>
      <c r="D66" s="84"/>
      <c r="AE66" s="42"/>
    </row>
    <row r="67" spans="3:36" ht="100.5" customHeight="1" x14ac:dyDescent="0.2">
      <c r="C67" s="84"/>
      <c r="D67" s="84"/>
      <c r="AE67" s="42"/>
    </row>
    <row r="68" spans="3:36" ht="226.5" customHeight="1" x14ac:dyDescent="0.2">
      <c r="C68" s="84"/>
      <c r="D68" s="84"/>
      <c r="AE68" s="42"/>
    </row>
    <row r="69" spans="3:36" ht="67.5" customHeight="1" x14ac:dyDescent="0.2">
      <c r="C69" s="84"/>
      <c r="D69" s="84"/>
      <c r="AE69" s="42"/>
    </row>
    <row r="70" spans="3:36" ht="90.75" customHeight="1" x14ac:dyDescent="0.2">
      <c r="C70" s="84"/>
      <c r="D70" s="84"/>
      <c r="AE70" s="42"/>
    </row>
    <row r="71" spans="3:36" ht="75" customHeight="1" x14ac:dyDescent="0.2">
      <c r="C71" s="84"/>
      <c r="D71" s="84"/>
      <c r="AE71" s="42"/>
    </row>
    <row r="72" spans="3:36" x14ac:dyDescent="0.2">
      <c r="C72" s="84"/>
      <c r="D72" s="84"/>
      <c r="AE72" s="42"/>
    </row>
    <row r="73" spans="3:36" ht="43.5" customHeight="1" x14ac:dyDescent="0.2">
      <c r="C73" s="84"/>
      <c r="D73" s="84"/>
      <c r="AE73" s="42"/>
    </row>
    <row r="74" spans="3:36" ht="49.5" customHeight="1" x14ac:dyDescent="0.2">
      <c r="C74" s="84"/>
      <c r="D74" s="84"/>
      <c r="AE74" s="42"/>
    </row>
    <row r="75" spans="3:36" ht="232.5" customHeight="1" x14ac:dyDescent="0.2">
      <c r="C75" s="84"/>
      <c r="D75" s="84"/>
      <c r="H75" s="84"/>
      <c r="I75" s="84"/>
      <c r="AE75" s="42"/>
    </row>
    <row r="76" spans="3:36" x14ac:dyDescent="0.2">
      <c r="C76" s="84"/>
      <c r="D76" s="84"/>
      <c r="AE76" s="42"/>
    </row>
    <row r="77" spans="3:36" ht="241.5" customHeight="1" x14ac:dyDescent="0.2">
      <c r="C77" s="84"/>
      <c r="D77" s="84"/>
      <c r="AE77" s="42"/>
    </row>
    <row r="78" spans="3:36" x14ac:dyDescent="0.2">
      <c r="AE78" s="42"/>
    </row>
    <row r="79" spans="3:36" x14ac:dyDescent="0.2">
      <c r="AE79" s="42"/>
    </row>
    <row r="80" spans="3:36" x14ac:dyDescent="0.2">
      <c r="AE80" s="42"/>
    </row>
    <row r="81" spans="31:31" x14ac:dyDescent="0.2">
      <c r="AE81" s="42"/>
    </row>
  </sheetData>
  <autoFilter ref="B8:AC17"/>
  <mergeCells count="56">
    <mergeCell ref="B5:AE5"/>
    <mergeCell ref="B2:AE2"/>
    <mergeCell ref="B3:F3"/>
    <mergeCell ref="G3:N3"/>
    <mergeCell ref="O3:T3"/>
    <mergeCell ref="U3:AA3"/>
    <mergeCell ref="AB3:AE3"/>
    <mergeCell ref="B4:F4"/>
    <mergeCell ref="G4:N4"/>
    <mergeCell ref="O4:T4"/>
    <mergeCell ref="U4:AA4"/>
    <mergeCell ref="AB4:AE4"/>
    <mergeCell ref="B6:I6"/>
    <mergeCell ref="J6:N7"/>
    <mergeCell ref="O6:P6"/>
    <mergeCell ref="Q6:U7"/>
    <mergeCell ref="V6:AE6"/>
    <mergeCell ref="B7:B8"/>
    <mergeCell ref="C7:C8"/>
    <mergeCell ref="D7:D8"/>
    <mergeCell ref="O7:P7"/>
    <mergeCell ref="V7:Y7"/>
    <mergeCell ref="Z7:AD7"/>
    <mergeCell ref="AE7:AE8"/>
    <mergeCell ref="AG7:AJ7"/>
    <mergeCell ref="B9:B17"/>
    <mergeCell ref="AE9:AE17"/>
    <mergeCell ref="H24:I24"/>
    <mergeCell ref="AO19:AO26"/>
    <mergeCell ref="F20:G20"/>
    <mergeCell ref="H20:I20"/>
    <mergeCell ref="M20:N20"/>
    <mergeCell ref="O20:P20"/>
    <mergeCell ref="F21:G21"/>
    <mergeCell ref="H21:I21"/>
    <mergeCell ref="M21:N21"/>
    <mergeCell ref="O21:P21"/>
    <mergeCell ref="F22:G22"/>
    <mergeCell ref="H19:K19"/>
    <mergeCell ref="M19:P19"/>
    <mergeCell ref="H22:I22"/>
    <mergeCell ref="M22:N22"/>
    <mergeCell ref="O22:P22"/>
    <mergeCell ref="F23:G23"/>
    <mergeCell ref="H23:I23"/>
    <mergeCell ref="AG42:AG43"/>
    <mergeCell ref="AH42:AH43"/>
    <mergeCell ref="AI42:AI43"/>
    <mergeCell ref="AJ42:AJ43"/>
    <mergeCell ref="AO43:AO47"/>
    <mergeCell ref="AO48:AO51"/>
    <mergeCell ref="AO52:AO55"/>
    <mergeCell ref="AO27:AO32"/>
    <mergeCell ref="AO33:AO36"/>
    <mergeCell ref="AO37:AO38"/>
    <mergeCell ref="AO39:AO42"/>
  </mergeCells>
  <conditionalFormatting sqref="N9:P17">
    <cfRule type="cellIs" dxfId="113" priority="21" operator="equal">
      <formula>5</formula>
    </cfRule>
    <cfRule type="cellIs" priority="22" operator="equal">
      <formula>5</formula>
    </cfRule>
    <cfRule type="cellIs" dxfId="112" priority="23" operator="between">
      <formula>6</formula>
      <formula>30</formula>
    </cfRule>
    <cfRule type="cellIs" dxfId="111" priority="24" operator="between">
      <formula>31</formula>
      <formula>60</formula>
    </cfRule>
  </conditionalFormatting>
  <conditionalFormatting sqref="N9:P17">
    <cfRule type="containsErrors" dxfId="110" priority="20">
      <formula>ISERROR(N9)</formula>
    </cfRule>
  </conditionalFormatting>
  <conditionalFormatting sqref="J9:J17">
    <cfRule type="containsText" dxfId="109" priority="19" operator="containsText" text="N/A">
      <formula>NOT(ISERROR(SEARCH("N/A",J9)))</formula>
    </cfRule>
  </conditionalFormatting>
  <conditionalFormatting sqref="L9:L17">
    <cfRule type="containsText" dxfId="108" priority="18" operator="containsText" text="N/A">
      <formula>NOT(ISERROR(SEARCH("N/A",L9)))</formula>
    </cfRule>
  </conditionalFormatting>
  <conditionalFormatting sqref="V9:Y17">
    <cfRule type="containsErrors" dxfId="107" priority="17">
      <formula>ISERROR(V9)</formula>
    </cfRule>
  </conditionalFormatting>
  <conditionalFormatting sqref="U9:U17">
    <cfRule type="cellIs" dxfId="106" priority="13" operator="equal">
      <formula>5</formula>
    </cfRule>
    <cfRule type="cellIs" priority="14" operator="equal">
      <formula>5</formula>
    </cfRule>
    <cfRule type="cellIs" dxfId="105" priority="15" operator="between">
      <formula>6</formula>
      <formula>30</formula>
    </cfRule>
    <cfRule type="cellIs" dxfId="104" priority="16" operator="between">
      <formula>31</formula>
      <formula>60</formula>
    </cfRule>
  </conditionalFormatting>
  <conditionalFormatting sqref="U9:U17">
    <cfRule type="containsErrors" dxfId="103" priority="12">
      <formula>ISERROR(U9)</formula>
    </cfRule>
  </conditionalFormatting>
  <conditionalFormatting sqref="Q9:Q17">
    <cfRule type="containsText" dxfId="102" priority="11" operator="containsText" text="N/A">
      <formula>NOT(ISERROR(SEARCH("N/A",Q9)))</formula>
    </cfRule>
  </conditionalFormatting>
  <conditionalFormatting sqref="S9:S17">
    <cfRule type="containsText" dxfId="101" priority="10" operator="containsText" text="N/A">
      <formula>NOT(ISERROR(SEARCH("N/A",S9)))</formula>
    </cfRule>
  </conditionalFormatting>
  <conditionalFormatting sqref="M21 O21">
    <cfRule type="cellIs" dxfId="100" priority="6" operator="equal">
      <formula>5</formula>
    </cfRule>
    <cfRule type="cellIs" priority="7" operator="equal">
      <formula>5</formula>
    </cfRule>
    <cfRule type="cellIs" dxfId="99" priority="8" operator="between">
      <formula>6</formula>
      <formula>30</formula>
    </cfRule>
    <cfRule type="cellIs" dxfId="98" priority="9" operator="between">
      <formula>31</formula>
      <formula>60</formula>
    </cfRule>
  </conditionalFormatting>
  <conditionalFormatting sqref="M21 O21">
    <cfRule type="containsErrors" dxfId="97" priority="5">
      <formula>ISERROR(M21)</formula>
    </cfRule>
  </conditionalFormatting>
  <conditionalFormatting sqref="K9:K17">
    <cfRule type="containsText" dxfId="96" priority="4" operator="containsText" text="N/A">
      <formula>NOT(ISERROR(SEARCH("N/A",K9)))</formula>
    </cfRule>
  </conditionalFormatting>
  <conditionalFormatting sqref="M9:M17">
    <cfRule type="containsText" dxfId="95" priority="3" operator="containsText" text="N/A">
      <formula>NOT(ISERROR(SEARCH("N/A",M9)))</formula>
    </cfRule>
  </conditionalFormatting>
  <conditionalFormatting sqref="R9:R17">
    <cfRule type="containsText" dxfId="94" priority="2" operator="containsText" text="N/A">
      <formula>NOT(ISERROR(SEARCH("N/A",R9)))</formula>
    </cfRule>
  </conditionalFormatting>
  <conditionalFormatting sqref="T9:T17">
    <cfRule type="containsText" dxfId="93" priority="1" operator="containsText" text="N/A">
      <formula>NOT(ISERROR(SEARCH("N/A",T9)))</formula>
    </cfRule>
  </conditionalFormatting>
  <dataValidations count="4">
    <dataValidation type="list" allowBlank="1" showInputMessage="1" showErrorMessage="1" sqref="C9:C17">
      <formula1>$AM$8:$AM$9</formula1>
    </dataValidation>
    <dataValidation type="list" allowBlank="1" showInputMessage="1" showErrorMessage="1" sqref="L9:L17 S9:S17">
      <formula1>$AL$8:$AL$11</formula1>
    </dataValidation>
    <dataValidation type="list" allowBlank="1" showInputMessage="1" showErrorMessage="1" sqref="J9:J17 Q9:Q17">
      <formula1>$AK$8:$AK$11</formula1>
    </dataValidation>
    <dataValidation type="list" allowBlank="1" showInputMessage="1" showErrorMessage="1" sqref="D9:D17">
      <formula1>$AN$8:$AN$13</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B1:AO78"/>
  <sheetViews>
    <sheetView showGridLines="0" view="pageBreakPreview" topLeftCell="A8" zoomScale="50" zoomScaleNormal="25" zoomScaleSheetLayoutView="50" zoomScalePageLayoutView="75" workbookViewId="0">
      <selection activeCell="AE15" sqref="AE15"/>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72" t="s">
        <v>111</v>
      </c>
      <c r="C2" s="373"/>
      <c r="D2" s="373"/>
      <c r="E2" s="373"/>
      <c r="F2" s="373"/>
      <c r="G2" s="373"/>
      <c r="H2" s="373"/>
      <c r="I2" s="373"/>
      <c r="J2" s="373"/>
      <c r="K2" s="373"/>
      <c r="L2" s="373"/>
      <c r="M2" s="373"/>
      <c r="N2" s="373"/>
      <c r="O2" s="373"/>
      <c r="P2" s="373"/>
      <c r="Q2" s="373"/>
      <c r="R2" s="373"/>
      <c r="S2" s="373"/>
      <c r="T2" s="373"/>
      <c r="U2" s="373"/>
      <c r="V2" s="373"/>
      <c r="W2" s="373"/>
      <c r="X2" s="373"/>
      <c r="Y2" s="373"/>
      <c r="Z2" s="373"/>
      <c r="AA2" s="373"/>
      <c r="AB2" s="373"/>
      <c r="AC2" s="373"/>
      <c r="AD2" s="373"/>
      <c r="AE2" s="373"/>
      <c r="AF2" s="31"/>
    </row>
    <row r="3" spans="2:41" s="29" customFormat="1" ht="66" customHeight="1" thickBot="1" x14ac:dyDescent="0.25">
      <c r="B3" s="374" t="s">
        <v>39</v>
      </c>
      <c r="C3" s="375"/>
      <c r="D3" s="375"/>
      <c r="E3" s="375"/>
      <c r="F3" s="375"/>
      <c r="G3" s="374" t="s">
        <v>110</v>
      </c>
      <c r="H3" s="375"/>
      <c r="I3" s="375"/>
      <c r="J3" s="375"/>
      <c r="K3" s="375"/>
      <c r="L3" s="375"/>
      <c r="M3" s="375"/>
      <c r="N3" s="376"/>
      <c r="O3" s="374" t="s">
        <v>109</v>
      </c>
      <c r="P3" s="375"/>
      <c r="Q3" s="375"/>
      <c r="R3" s="375"/>
      <c r="S3" s="375"/>
      <c r="T3" s="376"/>
      <c r="U3" s="374" t="s">
        <v>40</v>
      </c>
      <c r="V3" s="375"/>
      <c r="W3" s="375"/>
      <c r="X3" s="375"/>
      <c r="Y3" s="375"/>
      <c r="Z3" s="375"/>
      <c r="AA3" s="376"/>
      <c r="AB3" s="374" t="s">
        <v>37</v>
      </c>
      <c r="AC3" s="375"/>
      <c r="AD3" s="375"/>
      <c r="AE3" s="376"/>
      <c r="AF3" s="32"/>
    </row>
    <row r="4" spans="2:41" s="29" customFormat="1" ht="72" customHeight="1" thickBot="1" x14ac:dyDescent="0.25">
      <c r="B4" s="377" t="s">
        <v>38</v>
      </c>
      <c r="C4" s="378"/>
      <c r="D4" s="378"/>
      <c r="E4" s="378"/>
      <c r="F4" s="378"/>
      <c r="G4" s="379">
        <v>42874</v>
      </c>
      <c r="H4" s="380"/>
      <c r="I4" s="380"/>
      <c r="J4" s="380"/>
      <c r="K4" s="380"/>
      <c r="L4" s="380"/>
      <c r="M4" s="380"/>
      <c r="N4" s="381"/>
      <c r="O4" s="382">
        <v>43700</v>
      </c>
      <c r="P4" s="383"/>
      <c r="Q4" s="383"/>
      <c r="R4" s="383"/>
      <c r="S4" s="383"/>
      <c r="T4" s="384"/>
      <c r="U4" s="377">
        <v>4</v>
      </c>
      <c r="V4" s="378"/>
      <c r="W4" s="378"/>
      <c r="X4" s="378"/>
      <c r="Y4" s="378"/>
      <c r="Z4" s="378"/>
      <c r="AA4" s="385"/>
      <c r="AB4" s="377" t="s">
        <v>52</v>
      </c>
      <c r="AC4" s="378"/>
      <c r="AD4" s="378"/>
      <c r="AE4" s="385"/>
      <c r="AF4" s="191"/>
    </row>
    <row r="5" spans="2:41" s="29" customFormat="1" ht="32.1" customHeight="1" thickBot="1" x14ac:dyDescent="0.25">
      <c r="B5" s="370" t="s">
        <v>965</v>
      </c>
      <c r="C5" s="371"/>
      <c r="D5" s="371"/>
      <c r="E5" s="371"/>
      <c r="F5" s="371"/>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191"/>
    </row>
    <row r="6" spans="2:41" s="29" customFormat="1" ht="54.95" customHeight="1" thickBot="1" x14ac:dyDescent="0.25">
      <c r="B6" s="396" t="s">
        <v>0</v>
      </c>
      <c r="C6" s="397"/>
      <c r="D6" s="397"/>
      <c r="E6" s="397"/>
      <c r="F6" s="397"/>
      <c r="G6" s="397"/>
      <c r="H6" s="397"/>
      <c r="I6" s="398"/>
      <c r="J6" s="399" t="s">
        <v>62</v>
      </c>
      <c r="K6" s="400"/>
      <c r="L6" s="400"/>
      <c r="M6" s="400"/>
      <c r="N6" s="401"/>
      <c r="O6" s="405" t="s">
        <v>94</v>
      </c>
      <c r="P6" s="406"/>
      <c r="Q6" s="407" t="s">
        <v>63</v>
      </c>
      <c r="R6" s="408"/>
      <c r="S6" s="408"/>
      <c r="T6" s="408"/>
      <c r="U6" s="409"/>
      <c r="V6" s="413" t="s">
        <v>58</v>
      </c>
      <c r="W6" s="414"/>
      <c r="X6" s="414"/>
      <c r="Y6" s="414"/>
      <c r="Z6" s="414"/>
      <c r="AA6" s="414"/>
      <c r="AB6" s="414"/>
      <c r="AC6" s="414"/>
      <c r="AD6" s="414"/>
      <c r="AE6" s="415"/>
    </row>
    <row r="7" spans="2:41" s="29" customFormat="1" ht="90" customHeight="1" thickBot="1" x14ac:dyDescent="0.25">
      <c r="B7" s="416" t="s">
        <v>8</v>
      </c>
      <c r="C7" s="417" t="s">
        <v>60</v>
      </c>
      <c r="D7" s="417" t="s">
        <v>91</v>
      </c>
      <c r="E7" s="77" t="s">
        <v>61</v>
      </c>
      <c r="F7" s="43" t="s">
        <v>9</v>
      </c>
      <c r="G7" s="43" t="s">
        <v>104</v>
      </c>
      <c r="H7" s="43" t="s">
        <v>10</v>
      </c>
      <c r="I7" s="96" t="s">
        <v>59</v>
      </c>
      <c r="J7" s="402"/>
      <c r="K7" s="403"/>
      <c r="L7" s="403"/>
      <c r="M7" s="403"/>
      <c r="N7" s="404"/>
      <c r="O7" s="419" t="s">
        <v>103</v>
      </c>
      <c r="P7" s="420"/>
      <c r="Q7" s="410"/>
      <c r="R7" s="411"/>
      <c r="S7" s="411"/>
      <c r="T7" s="411"/>
      <c r="U7" s="412"/>
      <c r="V7" s="421" t="s">
        <v>96</v>
      </c>
      <c r="W7" s="422"/>
      <c r="X7" s="422"/>
      <c r="Y7" s="423"/>
      <c r="Z7" s="461" t="s">
        <v>53</v>
      </c>
      <c r="AA7" s="462"/>
      <c r="AB7" s="462"/>
      <c r="AC7" s="462"/>
      <c r="AD7" s="463"/>
      <c r="AE7" s="431" t="s">
        <v>25</v>
      </c>
      <c r="AG7" s="386" t="s">
        <v>45</v>
      </c>
      <c r="AH7" s="386"/>
      <c r="AI7" s="386"/>
      <c r="AJ7" s="386"/>
      <c r="AK7" s="29" t="s">
        <v>67</v>
      </c>
      <c r="AL7" s="29" t="s">
        <v>68</v>
      </c>
    </row>
    <row r="8" spans="2:41" s="29" customFormat="1" ht="202.5" customHeight="1" thickBot="1" x14ac:dyDescent="0.25">
      <c r="B8" s="416"/>
      <c r="C8" s="418"/>
      <c r="D8" s="418"/>
      <c r="E8" s="78" t="s">
        <v>7</v>
      </c>
      <c r="F8" s="23" t="s">
        <v>64</v>
      </c>
      <c r="G8" s="23" t="s">
        <v>13</v>
      </c>
      <c r="H8" s="23" t="s">
        <v>65</v>
      </c>
      <c r="I8" s="23" t="s">
        <v>66</v>
      </c>
      <c r="J8" s="97" t="s">
        <v>11</v>
      </c>
      <c r="K8" s="103" t="s">
        <v>12</v>
      </c>
      <c r="L8" s="98" t="s">
        <v>1</v>
      </c>
      <c r="M8" s="98" t="s">
        <v>2</v>
      </c>
      <c r="N8" s="107" t="s">
        <v>95</v>
      </c>
      <c r="O8" s="105" t="s">
        <v>92</v>
      </c>
      <c r="P8" s="106" t="s">
        <v>93</v>
      </c>
      <c r="Q8" s="102" t="s">
        <v>11</v>
      </c>
      <c r="R8" s="103" t="s">
        <v>12</v>
      </c>
      <c r="S8" s="103" t="s">
        <v>1</v>
      </c>
      <c r="T8" s="103" t="s">
        <v>2</v>
      </c>
      <c r="U8" s="104" t="s">
        <v>102</v>
      </c>
      <c r="V8" s="99" t="s">
        <v>97</v>
      </c>
      <c r="W8" s="100" t="s">
        <v>98</v>
      </c>
      <c r="X8" s="100" t="s">
        <v>99</v>
      </c>
      <c r="Y8" s="101" t="s">
        <v>100</v>
      </c>
      <c r="Z8" s="53" t="s">
        <v>54</v>
      </c>
      <c r="AA8" s="54" t="s">
        <v>55</v>
      </c>
      <c r="AB8" s="55" t="s">
        <v>56</v>
      </c>
      <c r="AC8" s="54" t="s">
        <v>57</v>
      </c>
      <c r="AD8" s="109" t="s">
        <v>101</v>
      </c>
      <c r="AE8" s="432"/>
      <c r="AG8" s="74" t="s">
        <v>41</v>
      </c>
      <c r="AH8" s="75" t="s">
        <v>42</v>
      </c>
      <c r="AI8" s="75" t="s">
        <v>43</v>
      </c>
      <c r="AJ8" s="76" t="s">
        <v>44</v>
      </c>
      <c r="AK8" s="87" t="s">
        <v>85</v>
      </c>
      <c r="AL8" s="87" t="s">
        <v>85</v>
      </c>
      <c r="AM8" s="29" t="s">
        <v>71</v>
      </c>
      <c r="AN8" s="29" t="s">
        <v>72</v>
      </c>
      <c r="AO8" s="92"/>
    </row>
    <row r="9" spans="2:41" s="29" customFormat="1" ht="138.75" customHeight="1" x14ac:dyDescent="0.2">
      <c r="B9" s="387" t="s">
        <v>73</v>
      </c>
      <c r="C9" s="79" t="s">
        <v>71</v>
      </c>
      <c r="D9" s="95" t="s">
        <v>88</v>
      </c>
      <c r="E9" s="46" t="s">
        <v>330</v>
      </c>
      <c r="F9" s="117" t="s">
        <v>326</v>
      </c>
      <c r="G9" s="117" t="s">
        <v>327</v>
      </c>
      <c r="H9" s="117" t="s">
        <v>328</v>
      </c>
      <c r="I9" s="117" t="s">
        <v>329</v>
      </c>
      <c r="J9" s="88">
        <v>3</v>
      </c>
      <c r="K9" s="88" t="str">
        <f>IF(J9=3,"ALTO",IF(J9=2,"MEDIO",IF(J9="N/A","N/A","BAJO")))</f>
        <v>ALTO</v>
      </c>
      <c r="L9" s="44">
        <v>10</v>
      </c>
      <c r="M9" s="57" t="str">
        <f>IF(L9=20,"ALTO",IF(L9=10,"MEDIO",IF(L9="N/A","N/A","BAJO")))</f>
        <v>MEDIO</v>
      </c>
      <c r="N9" s="90">
        <f>J9*L9</f>
        <v>30</v>
      </c>
      <c r="O9" s="121" t="s">
        <v>331</v>
      </c>
      <c r="P9" s="121" t="s">
        <v>332</v>
      </c>
      <c r="Q9" s="88">
        <v>2</v>
      </c>
      <c r="R9" s="88" t="str">
        <f>IF(Q9=3,"ALTO",IF(Q9=2,"MEDIO",IF(Q9="N/A","N/A","BAJO")))</f>
        <v>MEDIO</v>
      </c>
      <c r="S9" s="88">
        <v>10</v>
      </c>
      <c r="T9" s="44" t="str">
        <f>IF(S9=20,"ALTO",IF(S9=10,"MEDIO",IF(S9="N/A","N/A","BAJO")))</f>
        <v>MEDIO</v>
      </c>
      <c r="U9" s="108">
        <f>Q9*S9</f>
        <v>20</v>
      </c>
      <c r="V9" s="59"/>
      <c r="W9" s="59" t="s">
        <v>118</v>
      </c>
      <c r="X9" s="59"/>
      <c r="Y9" s="59"/>
      <c r="Z9" s="170" t="s">
        <v>336</v>
      </c>
      <c r="AA9" s="171" t="s">
        <v>333</v>
      </c>
      <c r="AB9" s="259" t="s">
        <v>334</v>
      </c>
      <c r="AC9" s="260" t="s">
        <v>335</v>
      </c>
      <c r="AD9" s="117" t="s">
        <v>337</v>
      </c>
      <c r="AE9" s="390">
        <v>43819</v>
      </c>
      <c r="AG9" s="51">
        <v>1</v>
      </c>
      <c r="AH9" s="52"/>
      <c r="AI9" s="52"/>
      <c r="AJ9" s="50">
        <f>SUM(AG9:AI9)</f>
        <v>1</v>
      </c>
      <c r="AK9" s="29">
        <v>1</v>
      </c>
      <c r="AL9" s="29">
        <v>5</v>
      </c>
      <c r="AM9" s="29" t="s">
        <v>74</v>
      </c>
      <c r="AN9" s="29" t="s">
        <v>76</v>
      </c>
      <c r="AO9" s="93"/>
    </row>
    <row r="10" spans="2:41" s="29" customFormat="1" ht="291.75" customHeight="1" x14ac:dyDescent="0.2">
      <c r="B10" s="388"/>
      <c r="C10" s="80" t="s">
        <v>71</v>
      </c>
      <c r="D10" s="189" t="s">
        <v>89</v>
      </c>
      <c r="E10" s="45" t="s">
        <v>338</v>
      </c>
      <c r="F10" s="118" t="s">
        <v>339</v>
      </c>
      <c r="G10" s="118" t="s">
        <v>340</v>
      </c>
      <c r="H10" s="118" t="s">
        <v>341</v>
      </c>
      <c r="I10" s="118" t="s">
        <v>342</v>
      </c>
      <c r="J10" s="88">
        <v>3</v>
      </c>
      <c r="K10" s="57" t="str">
        <f t="shared" ref="K10:K14" si="0">IF(J10=3,"ALTO",IF(J10=2,"MEDIO",IF(J10="N/A","N/A","BAJO")))</f>
        <v>ALTO</v>
      </c>
      <c r="L10" s="57">
        <v>10</v>
      </c>
      <c r="M10" s="57" t="str">
        <f t="shared" ref="M10:M14" si="1">IF(L10=20,"ALTO",IF(L10=10,"MEDIO",IF(L10="N/A","N/A","BAJO")))</f>
        <v>MEDIO</v>
      </c>
      <c r="N10" s="89">
        <f t="shared" ref="N10:N14" si="2">J10*L10</f>
        <v>30</v>
      </c>
      <c r="O10" s="132" t="s">
        <v>343</v>
      </c>
      <c r="P10" s="132" t="s">
        <v>344</v>
      </c>
      <c r="Q10" s="88">
        <v>2</v>
      </c>
      <c r="R10" s="88" t="str">
        <f t="shared" ref="R10:R14" si="3">IF(Q10=3,"ALTO",IF(Q10=2,"MEDIO",IF(Q10="N/A","N/A","BAJO")))</f>
        <v>MEDIO</v>
      </c>
      <c r="S10" s="57">
        <v>5</v>
      </c>
      <c r="T10" s="88" t="str">
        <f t="shared" ref="T10:T14" si="4">IF(S10=20,"ALTO",IF(S10=10,"MEDIO",IF(S10="N/A","N/A","BAJO")))</f>
        <v>BAJO</v>
      </c>
      <c r="U10" s="89">
        <f t="shared" ref="U10:U14" si="5">Q10*S10</f>
        <v>10</v>
      </c>
      <c r="V10" s="59"/>
      <c r="W10" s="59" t="s">
        <v>118</v>
      </c>
      <c r="X10" s="59"/>
      <c r="Y10" s="59"/>
      <c r="Z10" s="125" t="s">
        <v>345</v>
      </c>
      <c r="AA10" s="126" t="s">
        <v>346</v>
      </c>
      <c r="AB10" s="155" t="s">
        <v>347</v>
      </c>
      <c r="AC10" s="127" t="s">
        <v>348</v>
      </c>
      <c r="AD10" s="118" t="s">
        <v>349</v>
      </c>
      <c r="AE10" s="391"/>
      <c r="AG10" s="188"/>
      <c r="AH10" s="189">
        <v>1</v>
      </c>
      <c r="AI10" s="189"/>
      <c r="AJ10" s="190">
        <f t="shared" ref="AJ10:AJ26" si="6">SUM(AG10:AI10)</f>
        <v>1</v>
      </c>
      <c r="AK10" s="29">
        <v>2</v>
      </c>
      <c r="AL10" s="29">
        <v>10</v>
      </c>
      <c r="AN10" s="29" t="s">
        <v>77</v>
      </c>
      <c r="AO10" s="93"/>
    </row>
    <row r="11" spans="2:41" s="29" customFormat="1" ht="318.75" customHeight="1" x14ac:dyDescent="0.2">
      <c r="B11" s="388"/>
      <c r="C11" s="80" t="s">
        <v>71</v>
      </c>
      <c r="D11" s="189" t="s">
        <v>77</v>
      </c>
      <c r="E11" s="45" t="s">
        <v>350</v>
      </c>
      <c r="F11" s="118" t="s">
        <v>351</v>
      </c>
      <c r="G11" s="118" t="s">
        <v>352</v>
      </c>
      <c r="H11" s="118" t="s">
        <v>353</v>
      </c>
      <c r="I11" s="118" t="s">
        <v>354</v>
      </c>
      <c r="J11" s="88">
        <v>3</v>
      </c>
      <c r="K11" s="57" t="str">
        <f t="shared" si="0"/>
        <v>ALTO</v>
      </c>
      <c r="L11" s="57">
        <v>10</v>
      </c>
      <c r="M11" s="57" t="str">
        <f t="shared" si="1"/>
        <v>MEDIO</v>
      </c>
      <c r="N11" s="89">
        <f t="shared" si="2"/>
        <v>30</v>
      </c>
      <c r="O11" s="118" t="s">
        <v>355</v>
      </c>
      <c r="P11" s="132" t="s">
        <v>356</v>
      </c>
      <c r="Q11" s="88">
        <v>1</v>
      </c>
      <c r="R11" s="88" t="str">
        <f t="shared" si="3"/>
        <v>BAJO</v>
      </c>
      <c r="S11" s="57">
        <v>5</v>
      </c>
      <c r="T11" s="88" t="str">
        <f t="shared" si="4"/>
        <v>BAJO</v>
      </c>
      <c r="U11" s="89">
        <f t="shared" si="5"/>
        <v>5</v>
      </c>
      <c r="V11" s="59" t="s">
        <v>118</v>
      </c>
      <c r="W11" s="59"/>
      <c r="X11" s="59"/>
      <c r="Y11" s="59"/>
      <c r="Z11" s="125" t="s">
        <v>357</v>
      </c>
      <c r="AA11" s="126" t="s">
        <v>358</v>
      </c>
      <c r="AB11" s="127" t="s">
        <v>359</v>
      </c>
      <c r="AC11" s="127" t="s">
        <v>348</v>
      </c>
      <c r="AD11" s="128" t="s">
        <v>360</v>
      </c>
      <c r="AE11" s="391"/>
      <c r="AG11" s="188">
        <v>1</v>
      </c>
      <c r="AH11" s="189"/>
      <c r="AI11" s="189"/>
      <c r="AJ11" s="190">
        <f t="shared" si="6"/>
        <v>1</v>
      </c>
      <c r="AK11" s="29">
        <v>3</v>
      </c>
      <c r="AL11" s="29">
        <v>20</v>
      </c>
      <c r="AN11" s="29" t="s">
        <v>88</v>
      </c>
      <c r="AO11" s="93"/>
    </row>
    <row r="12" spans="2:41" s="29" customFormat="1" ht="187.5" customHeight="1" x14ac:dyDescent="0.2">
      <c r="B12" s="388"/>
      <c r="C12" s="156" t="s">
        <v>71</v>
      </c>
      <c r="D12" s="157" t="s">
        <v>77</v>
      </c>
      <c r="E12" s="45" t="s">
        <v>361</v>
      </c>
      <c r="F12" s="128" t="s">
        <v>362</v>
      </c>
      <c r="G12" s="118" t="s">
        <v>363</v>
      </c>
      <c r="H12" s="118" t="s">
        <v>364</v>
      </c>
      <c r="I12" s="118" t="s">
        <v>365</v>
      </c>
      <c r="J12" s="57">
        <v>2</v>
      </c>
      <c r="K12" s="57" t="str">
        <f t="shared" si="0"/>
        <v>MEDIO</v>
      </c>
      <c r="L12" s="160">
        <v>20</v>
      </c>
      <c r="M12" s="57" t="str">
        <f t="shared" si="1"/>
        <v>ALTO</v>
      </c>
      <c r="N12" s="89">
        <f t="shared" si="2"/>
        <v>40</v>
      </c>
      <c r="O12" s="161" t="s">
        <v>366</v>
      </c>
      <c r="P12" s="161" t="s">
        <v>367</v>
      </c>
      <c r="Q12" s="57">
        <v>2</v>
      </c>
      <c r="R12" s="88" t="str">
        <f t="shared" si="3"/>
        <v>MEDIO</v>
      </c>
      <c r="S12" s="57">
        <v>10</v>
      </c>
      <c r="T12" s="88" t="str">
        <f t="shared" si="4"/>
        <v>MEDIO</v>
      </c>
      <c r="U12" s="89">
        <f t="shared" si="5"/>
        <v>20</v>
      </c>
      <c r="V12" s="165"/>
      <c r="W12" s="165" t="s">
        <v>118</v>
      </c>
      <c r="X12" s="165"/>
      <c r="Y12" s="165"/>
      <c r="Z12" s="125" t="s">
        <v>368</v>
      </c>
      <c r="AA12" s="126" t="s">
        <v>369</v>
      </c>
      <c r="AB12" s="127" t="s">
        <v>370</v>
      </c>
      <c r="AC12" s="127" t="s">
        <v>348</v>
      </c>
      <c r="AD12" s="155" t="s">
        <v>981</v>
      </c>
      <c r="AE12" s="391"/>
      <c r="AG12" s="188"/>
      <c r="AH12" s="189"/>
      <c r="AI12" s="189"/>
      <c r="AJ12" s="190"/>
      <c r="AN12" s="29" t="s">
        <v>89</v>
      </c>
      <c r="AO12" s="93"/>
    </row>
    <row r="13" spans="2:41" s="29" customFormat="1" ht="129.75" customHeight="1" x14ac:dyDescent="0.2">
      <c r="B13" s="388"/>
      <c r="C13" s="156" t="s">
        <v>71</v>
      </c>
      <c r="D13" s="157" t="s">
        <v>77</v>
      </c>
      <c r="E13" s="45" t="s">
        <v>371</v>
      </c>
      <c r="F13" s="128" t="s">
        <v>372</v>
      </c>
      <c r="G13" s="118" t="s">
        <v>373</v>
      </c>
      <c r="H13" s="118" t="s">
        <v>374</v>
      </c>
      <c r="I13" s="118" t="s">
        <v>375</v>
      </c>
      <c r="J13" s="57">
        <v>3</v>
      </c>
      <c r="K13" s="57" t="str">
        <f t="shared" si="0"/>
        <v>ALTO</v>
      </c>
      <c r="L13" s="160">
        <v>10</v>
      </c>
      <c r="M13" s="57" t="str">
        <f t="shared" si="1"/>
        <v>MEDIO</v>
      </c>
      <c r="N13" s="89">
        <f t="shared" si="2"/>
        <v>30</v>
      </c>
      <c r="O13" s="118" t="s">
        <v>376</v>
      </c>
      <c r="P13" s="161" t="s">
        <v>377</v>
      </c>
      <c r="Q13" s="178">
        <v>2</v>
      </c>
      <c r="R13" s="88" t="str">
        <f t="shared" si="3"/>
        <v>MEDIO</v>
      </c>
      <c r="S13" s="178">
        <v>5</v>
      </c>
      <c r="T13" s="88" t="str">
        <f t="shared" si="4"/>
        <v>BAJO</v>
      </c>
      <c r="U13" s="89">
        <f t="shared" si="5"/>
        <v>10</v>
      </c>
      <c r="V13" s="179"/>
      <c r="W13" s="179" t="s">
        <v>118</v>
      </c>
      <c r="X13" s="179"/>
      <c r="Y13" s="179"/>
      <c r="Z13" s="125" t="s">
        <v>378</v>
      </c>
      <c r="AA13" s="126" t="s">
        <v>333</v>
      </c>
      <c r="AB13" s="127" t="s">
        <v>379</v>
      </c>
      <c r="AC13" s="126" t="s">
        <v>348</v>
      </c>
      <c r="AD13" s="164" t="s">
        <v>380</v>
      </c>
      <c r="AE13" s="391"/>
      <c r="AG13" s="188"/>
      <c r="AH13" s="189"/>
      <c r="AI13" s="189"/>
      <c r="AJ13" s="190"/>
      <c r="AN13" s="29" t="s">
        <v>90</v>
      </c>
      <c r="AO13" s="93"/>
    </row>
    <row r="14" spans="2:41" s="29" customFormat="1" ht="176.25" customHeight="1" thickBot="1" x14ac:dyDescent="0.25">
      <c r="B14" s="389"/>
      <c r="C14" s="81" t="s">
        <v>74</v>
      </c>
      <c r="D14" s="82" t="s">
        <v>76</v>
      </c>
      <c r="E14" s="33" t="s">
        <v>381</v>
      </c>
      <c r="F14" s="119" t="s">
        <v>383</v>
      </c>
      <c r="G14" s="119" t="s">
        <v>73</v>
      </c>
      <c r="H14" s="119" t="s">
        <v>384</v>
      </c>
      <c r="I14" s="119" t="s">
        <v>382</v>
      </c>
      <c r="J14" s="58" t="s">
        <v>85</v>
      </c>
      <c r="K14" s="58" t="str">
        <f t="shared" si="0"/>
        <v>N/A</v>
      </c>
      <c r="L14" s="58" t="s">
        <v>85</v>
      </c>
      <c r="M14" s="58" t="str">
        <f t="shared" si="1"/>
        <v>N/A</v>
      </c>
      <c r="N14" s="91" t="e">
        <f t="shared" si="2"/>
        <v>#VALUE!</v>
      </c>
      <c r="O14" s="237"/>
      <c r="P14" s="237"/>
      <c r="Q14" s="58" t="s">
        <v>85</v>
      </c>
      <c r="R14" s="58" t="str">
        <f t="shared" si="3"/>
        <v>N/A</v>
      </c>
      <c r="S14" s="58" t="s">
        <v>85</v>
      </c>
      <c r="T14" s="226" t="str">
        <f t="shared" si="4"/>
        <v>N/A</v>
      </c>
      <c r="U14" s="91" t="e">
        <f t="shared" si="5"/>
        <v>#VALUE!</v>
      </c>
      <c r="V14" s="194"/>
      <c r="W14" s="194"/>
      <c r="X14" s="194"/>
      <c r="Y14" s="194"/>
      <c r="Z14" s="129" t="s">
        <v>961</v>
      </c>
      <c r="AA14" s="129" t="s">
        <v>962</v>
      </c>
      <c r="AB14" s="130" t="s">
        <v>379</v>
      </c>
      <c r="AC14" s="130" t="s">
        <v>348</v>
      </c>
      <c r="AD14" s="129" t="s">
        <v>963</v>
      </c>
      <c r="AE14" s="392"/>
      <c r="AG14" s="188">
        <v>1</v>
      </c>
      <c r="AH14" s="189"/>
      <c r="AI14" s="189"/>
      <c r="AJ14" s="190">
        <f t="shared" si="6"/>
        <v>1</v>
      </c>
      <c r="AK14" s="29">
        <v>4</v>
      </c>
      <c r="AO14" s="93"/>
    </row>
    <row r="15" spans="2:41" s="29" customFormat="1" ht="31.5" customHeight="1" thickBot="1" x14ac:dyDescent="0.25">
      <c r="B15" s="24"/>
      <c r="C15" s="24"/>
      <c r="D15" s="24"/>
      <c r="E15" s="24"/>
      <c r="F15" s="24"/>
      <c r="G15" s="24"/>
      <c r="H15" s="24"/>
      <c r="I15" s="24"/>
      <c r="J15" s="24"/>
      <c r="K15" s="24"/>
      <c r="L15" s="24"/>
      <c r="M15" s="24"/>
      <c r="N15" s="24"/>
      <c r="O15" s="24"/>
      <c r="P15" s="24"/>
      <c r="Q15" s="24"/>
      <c r="R15" s="24"/>
      <c r="S15" s="24"/>
      <c r="T15" s="24"/>
      <c r="U15" s="24"/>
      <c r="V15" s="24"/>
      <c r="W15" s="24"/>
      <c r="X15" s="24"/>
      <c r="Y15" s="24"/>
      <c r="Z15" s="24"/>
      <c r="AA15" s="24"/>
      <c r="AB15" s="24"/>
      <c r="AC15" s="24"/>
      <c r="AD15" s="86"/>
      <c r="AE15" s="47"/>
      <c r="AG15" s="188"/>
      <c r="AH15" s="189">
        <v>1</v>
      </c>
      <c r="AI15" s="189"/>
      <c r="AJ15" s="190">
        <f t="shared" si="6"/>
        <v>1</v>
      </c>
      <c r="AO15" s="94"/>
    </row>
    <row r="16" spans="2:41" s="29" customFormat="1" ht="129" customHeight="1" thickBot="1" x14ac:dyDescent="0.25">
      <c r="B16" s="24"/>
      <c r="C16" s="24"/>
      <c r="D16" s="24"/>
      <c r="E16" s="24"/>
      <c r="F16" s="110"/>
      <c r="G16" s="110"/>
      <c r="H16" s="448" t="s">
        <v>270</v>
      </c>
      <c r="I16" s="449"/>
      <c r="J16" s="449"/>
      <c r="K16" s="450"/>
      <c r="L16" s="24"/>
      <c r="M16" s="393" t="s">
        <v>35</v>
      </c>
      <c r="N16" s="394"/>
      <c r="O16" s="394"/>
      <c r="P16" s="395"/>
      <c r="Q16" s="111"/>
      <c r="R16" s="24"/>
      <c r="S16" s="24"/>
      <c r="T16" s="24"/>
      <c r="U16" s="24"/>
      <c r="V16" s="24"/>
      <c r="W16" s="24"/>
      <c r="X16" s="24"/>
      <c r="Y16" s="24"/>
      <c r="Z16" s="24"/>
      <c r="AA16" s="24"/>
      <c r="AB16" s="24"/>
      <c r="AC16" s="24"/>
      <c r="AD16" s="24"/>
      <c r="AE16" s="42"/>
      <c r="AG16" s="188">
        <v>1</v>
      </c>
      <c r="AH16" s="189"/>
      <c r="AI16" s="189"/>
      <c r="AJ16" s="190">
        <f t="shared" si="6"/>
        <v>1</v>
      </c>
      <c r="AK16" s="29" t="s">
        <v>86</v>
      </c>
      <c r="AO16" s="434" t="s">
        <v>78</v>
      </c>
    </row>
    <row r="17" spans="2:41" s="29" customFormat="1" ht="46.5" customHeight="1" x14ac:dyDescent="0.2">
      <c r="B17" s="24"/>
      <c r="C17" s="24"/>
      <c r="D17" s="24"/>
      <c r="E17" s="24"/>
      <c r="F17" s="424"/>
      <c r="G17" s="424"/>
      <c r="H17" s="451" t="s">
        <v>149</v>
      </c>
      <c r="I17" s="452"/>
      <c r="J17" s="26">
        <f>COUNTIF(U9:U14,"=5")</f>
        <v>1</v>
      </c>
      <c r="K17" s="27">
        <f>J17*100%/J20</f>
        <v>0.2</v>
      </c>
      <c r="L17" s="24"/>
      <c r="M17" s="471" t="s">
        <v>106</v>
      </c>
      <c r="N17" s="472"/>
      <c r="O17" s="472" t="s">
        <v>49</v>
      </c>
      <c r="P17" s="473"/>
      <c r="Q17" s="112"/>
      <c r="R17" s="24"/>
      <c r="S17" s="24"/>
      <c r="T17" s="24"/>
      <c r="U17" s="24"/>
      <c r="V17" s="24"/>
      <c r="W17" s="24"/>
      <c r="X17" s="24"/>
      <c r="Y17" s="24"/>
      <c r="Z17" s="24"/>
      <c r="AA17" s="24"/>
      <c r="AB17" s="24"/>
      <c r="AC17" s="24"/>
      <c r="AD17" s="24"/>
      <c r="AE17" s="42"/>
      <c r="AG17" s="188">
        <v>1</v>
      </c>
      <c r="AH17" s="189"/>
      <c r="AI17" s="189"/>
      <c r="AJ17" s="190">
        <f t="shared" si="6"/>
        <v>1</v>
      </c>
      <c r="AK17" s="29" t="s">
        <v>87</v>
      </c>
      <c r="AO17" s="435"/>
    </row>
    <row r="18" spans="2:41" s="29" customFormat="1" ht="46.5" customHeight="1" x14ac:dyDescent="0.2">
      <c r="B18" s="24"/>
      <c r="C18" s="24"/>
      <c r="D18" s="24"/>
      <c r="E18" s="24"/>
      <c r="F18" s="424"/>
      <c r="G18" s="424"/>
      <c r="H18" s="451" t="s">
        <v>150</v>
      </c>
      <c r="I18" s="452"/>
      <c r="J18" s="26">
        <f>COUNTIFS(U9:U14,"&gt;=6",U9:U14,"&lt;=30")</f>
        <v>4</v>
      </c>
      <c r="K18" s="27">
        <f>J18*100%/J20</f>
        <v>0.8</v>
      </c>
      <c r="L18" s="24"/>
      <c r="M18" s="474" t="s">
        <v>107</v>
      </c>
      <c r="N18" s="475"/>
      <c r="O18" s="476" t="s">
        <v>50</v>
      </c>
      <c r="P18" s="477"/>
      <c r="Q18" s="112"/>
      <c r="R18" s="24"/>
      <c r="S18" s="24"/>
      <c r="T18" s="24"/>
      <c r="U18" s="24"/>
      <c r="V18" s="24"/>
      <c r="W18" s="24"/>
      <c r="X18" s="24"/>
      <c r="Y18" s="24"/>
      <c r="Z18" s="24"/>
      <c r="AA18" s="24"/>
      <c r="AB18" s="24"/>
      <c r="AC18" s="24"/>
      <c r="AD18" s="24"/>
      <c r="AE18" s="42"/>
      <c r="AG18" s="188">
        <v>1</v>
      </c>
      <c r="AH18" s="189"/>
      <c r="AI18" s="189"/>
      <c r="AJ18" s="190">
        <f t="shared" si="6"/>
        <v>1</v>
      </c>
      <c r="AO18" s="435"/>
    </row>
    <row r="19" spans="2:41" s="29" customFormat="1" ht="46.5" customHeight="1" thickBot="1" x14ac:dyDescent="0.25">
      <c r="B19" s="24"/>
      <c r="C19" s="24"/>
      <c r="D19" s="24"/>
      <c r="E19" s="24"/>
      <c r="F19" s="424"/>
      <c r="G19" s="424"/>
      <c r="H19" s="451" t="s">
        <v>151</v>
      </c>
      <c r="I19" s="452"/>
      <c r="J19" s="26">
        <f>COUNTIFS(U10:U15,"&gt;=40",U10:U15,"&lt;=60")</f>
        <v>0</v>
      </c>
      <c r="K19" s="27">
        <f>J19*100%/J20</f>
        <v>0</v>
      </c>
      <c r="L19" s="24"/>
      <c r="M19" s="468" t="s">
        <v>108</v>
      </c>
      <c r="N19" s="469"/>
      <c r="O19" s="469" t="s">
        <v>20</v>
      </c>
      <c r="P19" s="470"/>
      <c r="Q19" s="112"/>
      <c r="R19" s="24"/>
      <c r="S19" s="24"/>
      <c r="T19" s="24"/>
      <c r="U19" s="24"/>
      <c r="V19" s="24"/>
      <c r="W19" s="24"/>
      <c r="X19" s="24"/>
      <c r="Y19" s="24"/>
      <c r="Z19" s="24"/>
      <c r="AA19" s="24"/>
      <c r="AB19" s="24"/>
      <c r="AC19" s="24"/>
      <c r="AD19" s="24"/>
      <c r="AE19" s="42"/>
      <c r="AG19" s="188">
        <v>1</v>
      </c>
      <c r="AH19" s="189"/>
      <c r="AI19" s="189"/>
      <c r="AJ19" s="190">
        <f t="shared" si="6"/>
        <v>1</v>
      </c>
      <c r="AO19" s="435"/>
    </row>
    <row r="20" spans="2:41" s="29" customFormat="1" ht="46.5" customHeight="1" thickBot="1" x14ac:dyDescent="0.25">
      <c r="B20" s="24"/>
      <c r="C20" s="24"/>
      <c r="D20" s="24"/>
      <c r="E20" s="24"/>
      <c r="F20" s="433"/>
      <c r="G20" s="433"/>
      <c r="H20" s="458" t="s">
        <v>152</v>
      </c>
      <c r="I20" s="459"/>
      <c r="J20" s="187">
        <f>+J17+J19+J18</f>
        <v>5</v>
      </c>
      <c r="K20" s="138">
        <f>K17+K18+K19</f>
        <v>1</v>
      </c>
      <c r="L20" s="24"/>
      <c r="M20" s="24"/>
      <c r="N20" s="24"/>
      <c r="O20" s="24"/>
      <c r="P20" s="24"/>
      <c r="Q20" s="24"/>
      <c r="R20" s="24"/>
      <c r="S20" s="24"/>
      <c r="T20" s="24"/>
      <c r="U20" s="24"/>
      <c r="V20" s="24"/>
      <c r="W20" s="24"/>
      <c r="X20" s="24"/>
      <c r="Y20" s="24"/>
      <c r="Z20" s="24"/>
      <c r="AA20" s="24"/>
      <c r="AB20" s="24"/>
      <c r="AC20" s="24"/>
      <c r="AD20" s="24"/>
      <c r="AE20" s="42"/>
      <c r="AG20" s="188">
        <v>1</v>
      </c>
      <c r="AH20" s="189"/>
      <c r="AI20" s="189"/>
      <c r="AJ20" s="190">
        <f t="shared" si="6"/>
        <v>1</v>
      </c>
      <c r="AO20" s="435"/>
    </row>
    <row r="21" spans="2:41" s="29" customFormat="1" ht="75" customHeight="1" thickBot="1" x14ac:dyDescent="0.25">
      <c r="B21" s="24"/>
      <c r="C21" s="24"/>
      <c r="D21" s="24"/>
      <c r="E21" s="24"/>
      <c r="F21" s="24"/>
      <c r="G21" s="24"/>
      <c r="H21" s="456" t="s">
        <v>269</v>
      </c>
      <c r="I21" s="457"/>
      <c r="J21" s="244">
        <f>COUNTIF(Q4:Q14,"N/A")</f>
        <v>1</v>
      </c>
      <c r="K21" s="245" t="str">
        <f>IF(J21&gt;=1,"100%",0)</f>
        <v>100%</v>
      </c>
      <c r="L21" s="24"/>
      <c r="M21" s="24"/>
      <c r="N21" s="24"/>
      <c r="O21" s="24"/>
      <c r="P21" s="24"/>
      <c r="Q21" s="24"/>
      <c r="R21" s="24"/>
      <c r="S21" s="24"/>
      <c r="T21" s="24"/>
      <c r="U21" s="24"/>
      <c r="V21" s="24"/>
      <c r="W21" s="24"/>
      <c r="X21" s="24"/>
      <c r="Y21" s="24"/>
      <c r="Z21" s="24"/>
      <c r="AA21" s="24"/>
      <c r="AB21" s="24"/>
      <c r="AC21" s="24"/>
      <c r="AD21" s="24"/>
      <c r="AE21" s="42"/>
      <c r="AG21" s="188"/>
      <c r="AH21" s="189">
        <v>1</v>
      </c>
      <c r="AI21" s="189"/>
      <c r="AJ21" s="190">
        <f t="shared" si="6"/>
        <v>1</v>
      </c>
      <c r="AO21" s="435"/>
    </row>
    <row r="22" spans="2:41" s="29" customFormat="1" ht="97.5" customHeight="1" x14ac:dyDescent="0.2">
      <c r="B22" s="24"/>
      <c r="C22" s="83"/>
      <c r="D22" s="83"/>
      <c r="E22" s="83"/>
      <c r="F22" s="83"/>
      <c r="G22" s="84"/>
      <c r="H22" s="84"/>
      <c r="I22" s="83"/>
      <c r="J22" s="24"/>
      <c r="K22" s="24"/>
      <c r="L22" s="24"/>
      <c r="M22" s="24"/>
      <c r="N22" s="24"/>
      <c r="O22" s="24"/>
      <c r="P22" s="24"/>
      <c r="Q22" s="24"/>
      <c r="R22" s="24"/>
      <c r="S22" s="24"/>
      <c r="T22" s="24"/>
      <c r="U22" s="24"/>
      <c r="V22" s="24"/>
      <c r="W22" s="24"/>
      <c r="X22" s="24"/>
      <c r="Y22" s="24"/>
      <c r="Z22" s="24"/>
      <c r="AA22" s="24"/>
      <c r="AB22" s="24"/>
      <c r="AC22" s="24"/>
      <c r="AD22" s="24"/>
      <c r="AE22" s="42"/>
      <c r="AG22" s="188"/>
      <c r="AH22" s="189">
        <v>1</v>
      </c>
      <c r="AI22" s="189"/>
      <c r="AJ22" s="190">
        <f t="shared" si="6"/>
        <v>1</v>
      </c>
      <c r="AO22" s="435"/>
    </row>
    <row r="23" spans="2:41" s="29" customFormat="1" ht="107.25" customHeight="1" thickBot="1" x14ac:dyDescent="0.25">
      <c r="B23" s="24"/>
      <c r="C23" s="83"/>
      <c r="D23" s="83"/>
      <c r="E23" s="83"/>
      <c r="F23" s="84"/>
      <c r="G23" s="84"/>
      <c r="H23" s="84"/>
      <c r="I23" s="84"/>
      <c r="J23" s="24"/>
      <c r="K23" s="24"/>
      <c r="L23" s="24"/>
      <c r="M23" s="24"/>
      <c r="N23" s="24"/>
      <c r="O23" s="24"/>
      <c r="P23" s="24"/>
      <c r="Q23" s="24"/>
      <c r="R23" s="24"/>
      <c r="S23" s="24"/>
      <c r="T23" s="24"/>
      <c r="U23" s="24"/>
      <c r="V23" s="24"/>
      <c r="W23" s="24"/>
      <c r="X23" s="24"/>
      <c r="Y23" s="24"/>
      <c r="Z23" s="24"/>
      <c r="AA23" s="24"/>
      <c r="AB23" s="24"/>
      <c r="AC23" s="24"/>
      <c r="AD23" s="24"/>
      <c r="AE23" s="42"/>
      <c r="AG23" s="188">
        <v>1</v>
      </c>
      <c r="AH23" s="189"/>
      <c r="AI23" s="189"/>
      <c r="AJ23" s="190">
        <f t="shared" si="6"/>
        <v>1</v>
      </c>
      <c r="AO23" s="436"/>
    </row>
    <row r="24" spans="2:41" s="28" customFormat="1" ht="80.25" customHeight="1" x14ac:dyDescent="0.2">
      <c r="B24" s="24"/>
      <c r="C24" s="83"/>
      <c r="D24" s="83"/>
      <c r="E24" s="85"/>
      <c r="F24" s="85"/>
      <c r="G24" s="85"/>
      <c r="H24" s="85"/>
      <c r="I24" s="85"/>
      <c r="J24" s="24"/>
      <c r="K24" s="24"/>
      <c r="L24" s="24"/>
      <c r="M24" s="24"/>
      <c r="N24" s="24"/>
      <c r="O24" s="24"/>
      <c r="P24" s="24"/>
      <c r="Q24" s="24"/>
      <c r="R24" s="24"/>
      <c r="S24" s="24"/>
      <c r="T24" s="24"/>
      <c r="U24" s="24"/>
      <c r="V24" s="24"/>
      <c r="W24" s="24"/>
      <c r="X24" s="24"/>
      <c r="Y24" s="24"/>
      <c r="Z24" s="24"/>
      <c r="AA24" s="24"/>
      <c r="AB24" s="24"/>
      <c r="AC24" s="24"/>
      <c r="AD24" s="24"/>
      <c r="AE24" s="42"/>
      <c r="AG24" s="39"/>
      <c r="AH24" s="49"/>
      <c r="AI24" s="49"/>
      <c r="AJ24" s="40"/>
      <c r="AO24" s="434" t="s">
        <v>79</v>
      </c>
    </row>
    <row r="25" spans="2:41" s="29" customFormat="1" ht="101.25" customHeight="1" x14ac:dyDescent="0.2">
      <c r="B25" s="24"/>
      <c r="C25" s="84"/>
      <c r="D25" s="84"/>
      <c r="E25" s="48"/>
      <c r="F25" s="48"/>
      <c r="G25" s="48"/>
      <c r="H25" s="48"/>
      <c r="I25" s="48"/>
      <c r="J25" s="24"/>
      <c r="K25" s="24"/>
      <c r="L25" s="24"/>
      <c r="M25" s="24"/>
      <c r="N25" s="24"/>
      <c r="O25" s="24"/>
      <c r="P25" s="24"/>
      <c r="Q25" s="24"/>
      <c r="R25" s="24"/>
      <c r="S25" s="24"/>
      <c r="T25" s="24"/>
      <c r="U25" s="24"/>
      <c r="V25" s="24"/>
      <c r="W25" s="24"/>
      <c r="X25" s="24"/>
      <c r="Y25" s="24"/>
      <c r="Z25" s="24"/>
      <c r="AA25" s="24"/>
      <c r="AB25" s="24"/>
      <c r="AC25" s="24"/>
      <c r="AD25" s="24"/>
      <c r="AE25" s="42"/>
      <c r="AG25" s="188">
        <v>1</v>
      </c>
      <c r="AH25" s="189"/>
      <c r="AI25" s="189"/>
      <c r="AJ25" s="190">
        <f t="shared" si="6"/>
        <v>1</v>
      </c>
      <c r="AO25" s="435"/>
    </row>
    <row r="26" spans="2:41" s="29" customFormat="1" ht="109.5" customHeight="1" x14ac:dyDescent="0.2">
      <c r="B26" s="24"/>
      <c r="C26" s="84"/>
      <c r="D26" s="84"/>
      <c r="I26" s="24"/>
      <c r="J26" s="24"/>
      <c r="K26" s="24"/>
      <c r="L26" s="24"/>
      <c r="M26" s="24"/>
      <c r="N26" s="24"/>
      <c r="O26" s="24"/>
      <c r="P26" s="24"/>
      <c r="Q26" s="24"/>
      <c r="R26" s="24"/>
      <c r="S26" s="24"/>
      <c r="T26" s="24"/>
      <c r="U26" s="24"/>
      <c r="V26" s="24"/>
      <c r="W26" s="24"/>
      <c r="X26" s="24"/>
      <c r="Y26" s="24"/>
      <c r="Z26" s="24"/>
      <c r="AA26" s="24"/>
      <c r="AB26" s="24"/>
      <c r="AC26" s="24"/>
      <c r="AD26" s="24"/>
      <c r="AE26" s="42"/>
      <c r="AG26" s="188"/>
      <c r="AH26" s="189">
        <v>1</v>
      </c>
      <c r="AI26" s="189"/>
      <c r="AJ26" s="190">
        <f t="shared" si="6"/>
        <v>1</v>
      </c>
      <c r="AO26" s="435"/>
    </row>
    <row r="27" spans="2:41" s="29" customFormat="1" ht="67.5" customHeight="1" x14ac:dyDescent="0.2">
      <c r="B27" s="24"/>
      <c r="C27" s="84"/>
      <c r="D27" s="84"/>
      <c r="H27" s="24"/>
      <c r="I27" s="24"/>
      <c r="J27" s="24"/>
      <c r="K27" s="24"/>
      <c r="L27" s="24"/>
      <c r="M27" s="24"/>
      <c r="N27" s="24"/>
      <c r="O27" s="24"/>
      <c r="P27" s="24"/>
      <c r="Q27" s="24"/>
      <c r="R27" s="24"/>
      <c r="S27" s="24"/>
      <c r="T27" s="24"/>
      <c r="U27" s="24"/>
      <c r="V27" s="24"/>
      <c r="W27" s="24"/>
      <c r="X27" s="24"/>
      <c r="Y27" s="24"/>
      <c r="Z27" s="24"/>
      <c r="AA27" s="24"/>
      <c r="AB27" s="24"/>
      <c r="AC27" s="24"/>
      <c r="AD27" s="24"/>
      <c r="AE27" s="42"/>
      <c r="AG27" s="188"/>
      <c r="AH27" s="189">
        <v>1</v>
      </c>
      <c r="AI27" s="189"/>
      <c r="AJ27" s="190">
        <v>1</v>
      </c>
      <c r="AO27" s="435"/>
    </row>
    <row r="28" spans="2:41" s="29" customFormat="1" ht="83.25" customHeight="1" x14ac:dyDescent="0.2">
      <c r="B28" s="24"/>
      <c r="C28" s="83"/>
      <c r="D28" s="83"/>
      <c r="G28" s="24"/>
      <c r="H28" s="24"/>
      <c r="I28" s="24"/>
      <c r="J28" s="24"/>
      <c r="K28" s="24"/>
      <c r="L28" s="24"/>
      <c r="M28" s="24"/>
      <c r="N28" s="24"/>
      <c r="O28" s="24"/>
      <c r="P28" s="24"/>
      <c r="Q28" s="24"/>
      <c r="R28" s="24"/>
      <c r="S28" s="24"/>
      <c r="T28" s="24"/>
      <c r="U28" s="24"/>
      <c r="V28" s="24"/>
      <c r="W28" s="24"/>
      <c r="X28" s="24"/>
      <c r="Y28" s="24"/>
      <c r="Z28" s="24"/>
      <c r="AA28" s="24"/>
      <c r="AB28" s="24"/>
      <c r="AC28" s="24"/>
      <c r="AD28" s="24"/>
      <c r="AE28" s="42"/>
      <c r="AG28" s="188"/>
      <c r="AH28" s="189">
        <v>1</v>
      </c>
      <c r="AI28" s="189"/>
      <c r="AJ28" s="190">
        <v>1</v>
      </c>
      <c r="AO28" s="435"/>
    </row>
    <row r="29" spans="2:41" s="29" customFormat="1" ht="75.75" customHeight="1" thickBot="1" x14ac:dyDescent="0.25">
      <c r="B29" s="24"/>
      <c r="C29" s="83"/>
      <c r="D29" s="83"/>
      <c r="G29" s="24"/>
      <c r="H29" s="24"/>
      <c r="I29" s="24"/>
      <c r="J29" s="24"/>
      <c r="K29" s="24"/>
      <c r="L29" s="24"/>
      <c r="M29" s="24"/>
      <c r="N29" s="24"/>
      <c r="O29" s="24"/>
      <c r="P29" s="24"/>
      <c r="Q29" s="24"/>
      <c r="R29" s="24"/>
      <c r="S29" s="24"/>
      <c r="T29" s="24"/>
      <c r="U29" s="24"/>
      <c r="V29" s="24"/>
      <c r="W29" s="24"/>
      <c r="X29" s="24"/>
      <c r="Y29" s="24"/>
      <c r="Z29" s="24"/>
      <c r="AA29" s="24"/>
      <c r="AB29" s="24"/>
      <c r="AC29" s="24"/>
      <c r="AD29" s="24"/>
      <c r="AE29" s="42"/>
      <c r="AG29" s="188"/>
      <c r="AH29" s="189"/>
      <c r="AI29" s="189"/>
      <c r="AJ29" s="190"/>
      <c r="AO29" s="436"/>
    </row>
    <row r="30" spans="2:41" s="29" customFormat="1" ht="73.5" customHeight="1" x14ac:dyDescent="0.2">
      <c r="B30" s="24"/>
      <c r="C30" s="83"/>
      <c r="D30" s="83"/>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42"/>
      <c r="AG30" s="188"/>
      <c r="AH30" s="189">
        <v>1</v>
      </c>
      <c r="AI30" s="189"/>
      <c r="AJ30" s="190">
        <v>1</v>
      </c>
      <c r="AO30" s="434" t="s">
        <v>80</v>
      </c>
    </row>
    <row r="31" spans="2:41" s="29" customFormat="1" ht="58.5" customHeight="1" x14ac:dyDescent="0.2">
      <c r="B31" s="24"/>
      <c r="C31" s="84"/>
      <c r="D31" s="84"/>
      <c r="J31" s="24"/>
      <c r="K31" s="24"/>
      <c r="L31" s="24"/>
      <c r="M31" s="24"/>
      <c r="N31" s="24"/>
      <c r="O31" s="24"/>
      <c r="P31" s="24"/>
      <c r="Q31" s="24"/>
      <c r="R31" s="24"/>
      <c r="S31" s="24"/>
      <c r="T31" s="24"/>
      <c r="U31" s="24"/>
      <c r="V31" s="24"/>
      <c r="W31" s="24"/>
      <c r="X31" s="24"/>
      <c r="Y31" s="24"/>
      <c r="Z31" s="24"/>
      <c r="AA31" s="24"/>
      <c r="AB31" s="24"/>
      <c r="AC31" s="24"/>
      <c r="AD31" s="24"/>
      <c r="AE31" s="42"/>
      <c r="AG31" s="188">
        <v>1</v>
      </c>
      <c r="AH31" s="189"/>
      <c r="AI31" s="189"/>
      <c r="AJ31" s="190">
        <v>1</v>
      </c>
      <c r="AO31" s="435"/>
    </row>
    <row r="32" spans="2:41" s="29" customFormat="1" ht="73.5" customHeight="1" x14ac:dyDescent="0.2">
      <c r="B32" s="24"/>
      <c r="C32" s="84"/>
      <c r="D32" s="84"/>
      <c r="E32" s="24"/>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42"/>
      <c r="AG32" s="188"/>
      <c r="AH32" s="189">
        <v>1</v>
      </c>
      <c r="AI32" s="189"/>
      <c r="AJ32" s="190">
        <v>1</v>
      </c>
      <c r="AO32" s="435"/>
    </row>
    <row r="33" spans="2:41" s="29" customFormat="1" ht="102" customHeight="1" thickBot="1" x14ac:dyDescent="0.25">
      <c r="B33" s="24"/>
      <c r="C33" s="84"/>
      <c r="D33" s="84"/>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42"/>
      <c r="AG33" s="188">
        <v>1</v>
      </c>
      <c r="AH33" s="189"/>
      <c r="AI33" s="189"/>
      <c r="AJ33" s="190">
        <v>1</v>
      </c>
      <c r="AO33" s="435"/>
    </row>
    <row r="34" spans="2:41" s="29" customFormat="1" ht="86.25" customHeight="1" x14ac:dyDescent="0.2">
      <c r="B34" s="24"/>
      <c r="C34" s="84"/>
      <c r="D34" s="84"/>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188"/>
      <c r="AH34" s="189">
        <v>1</v>
      </c>
      <c r="AI34" s="189"/>
      <c r="AJ34" s="190">
        <v>1</v>
      </c>
      <c r="AO34" s="437" t="s">
        <v>81</v>
      </c>
    </row>
    <row r="35" spans="2:41" s="29" customFormat="1" ht="70.5" customHeight="1" thickBot="1" x14ac:dyDescent="0.25">
      <c r="B35" s="24"/>
      <c r="C35" s="84"/>
      <c r="D35" s="8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188">
        <v>1</v>
      </c>
      <c r="AH35" s="189"/>
      <c r="AI35" s="189"/>
      <c r="AJ35" s="190">
        <v>1</v>
      </c>
      <c r="AO35" s="438"/>
    </row>
    <row r="36" spans="2:41" s="29" customFormat="1" ht="62.25" customHeight="1" x14ac:dyDescent="0.2">
      <c r="B36" s="24"/>
      <c r="C36" s="84"/>
      <c r="D36" s="8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88">
        <v>1</v>
      </c>
      <c r="AH36" s="189"/>
      <c r="AI36" s="189"/>
      <c r="AJ36" s="190">
        <v>1</v>
      </c>
      <c r="AO36" s="437" t="s">
        <v>82</v>
      </c>
    </row>
    <row r="37" spans="2:41" s="29" customFormat="1" ht="45.75" customHeight="1" x14ac:dyDescent="0.2">
      <c r="B37" s="24"/>
      <c r="C37" s="84"/>
      <c r="D37" s="8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88"/>
      <c r="AH37" s="189"/>
      <c r="AI37" s="189">
        <v>1</v>
      </c>
      <c r="AJ37" s="190">
        <v>1</v>
      </c>
      <c r="AO37" s="439"/>
    </row>
    <row r="38" spans="2:41" s="29" customFormat="1" ht="43.5" customHeight="1" x14ac:dyDescent="0.2">
      <c r="B38" s="24"/>
      <c r="C38" s="84"/>
      <c r="D38" s="8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188">
        <v>1</v>
      </c>
      <c r="AH38" s="189"/>
      <c r="AI38" s="189"/>
      <c r="AJ38" s="190">
        <v>1</v>
      </c>
      <c r="AO38" s="439"/>
    </row>
    <row r="39" spans="2:41" s="29" customFormat="1" ht="61.5" customHeight="1" thickBot="1" x14ac:dyDescent="0.25">
      <c r="B39" s="24"/>
      <c r="C39" s="84"/>
      <c r="D39" s="84"/>
      <c r="J39" s="24"/>
      <c r="K39" s="24"/>
      <c r="L39" s="24"/>
      <c r="M39" s="24"/>
      <c r="N39" s="24"/>
      <c r="O39" s="24"/>
      <c r="P39" s="24"/>
      <c r="Q39" s="24"/>
      <c r="R39" s="24"/>
      <c r="S39" s="24"/>
      <c r="T39" s="24"/>
      <c r="U39" s="24"/>
      <c r="V39" s="24"/>
      <c r="W39" s="24"/>
      <c r="X39" s="24"/>
      <c r="Y39" s="24"/>
      <c r="Z39" s="24"/>
      <c r="AA39" s="24"/>
      <c r="AB39" s="24"/>
      <c r="AC39" s="24"/>
      <c r="AD39" s="24"/>
      <c r="AE39" s="42"/>
      <c r="AG39" s="440"/>
      <c r="AH39" s="441"/>
      <c r="AI39" s="441">
        <v>1</v>
      </c>
      <c r="AJ39" s="442">
        <v>1</v>
      </c>
      <c r="AO39" s="438"/>
    </row>
    <row r="40" spans="2:41" s="29" customFormat="1" ht="70.5" customHeight="1" x14ac:dyDescent="0.2">
      <c r="B40" s="24"/>
      <c r="C40" s="84"/>
      <c r="D40" s="8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440"/>
      <c r="AH40" s="441"/>
      <c r="AI40" s="441"/>
      <c r="AJ40" s="442"/>
      <c r="AO40" s="434" t="s">
        <v>83</v>
      </c>
    </row>
    <row r="41" spans="2:41" s="29" customFormat="1" ht="59.25" customHeight="1" x14ac:dyDescent="0.2">
      <c r="B41" s="24"/>
      <c r="C41" s="84"/>
      <c r="D41" s="8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188">
        <v>1</v>
      </c>
      <c r="AH41" s="189"/>
      <c r="AI41" s="189"/>
      <c r="AJ41" s="190">
        <v>1</v>
      </c>
      <c r="AO41" s="435"/>
    </row>
    <row r="42" spans="2:41" s="29" customFormat="1" ht="122.25" customHeight="1" x14ac:dyDescent="0.2">
      <c r="B42" s="24"/>
      <c r="C42" s="84"/>
      <c r="D42" s="8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188">
        <v>1</v>
      </c>
      <c r="AH42" s="189"/>
      <c r="AI42" s="189"/>
      <c r="AJ42" s="190">
        <v>1</v>
      </c>
      <c r="AO42" s="435"/>
    </row>
    <row r="43" spans="2:41" s="29" customFormat="1" ht="97.5" customHeight="1" x14ac:dyDescent="0.2">
      <c r="B43" s="24"/>
      <c r="C43" s="84"/>
      <c r="D43" s="8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188">
        <v>1</v>
      </c>
      <c r="AH43" s="189"/>
      <c r="AI43" s="189"/>
      <c r="AJ43" s="190">
        <v>1</v>
      </c>
      <c r="AO43" s="435"/>
    </row>
    <row r="44" spans="2:41" s="29" customFormat="1" ht="49.5" customHeight="1" thickBot="1" x14ac:dyDescent="0.25">
      <c r="B44" s="24"/>
      <c r="C44" s="84"/>
      <c r="D44" s="8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188">
        <v>1</v>
      </c>
      <c r="AH44" s="189"/>
      <c r="AI44" s="189"/>
      <c r="AJ44" s="190">
        <v>1</v>
      </c>
      <c r="AO44" s="436"/>
    </row>
    <row r="45" spans="2:41" s="29" customFormat="1" ht="61.5" customHeight="1" x14ac:dyDescent="0.2">
      <c r="B45" s="24"/>
      <c r="C45" s="84"/>
      <c r="D45" s="8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88"/>
      <c r="AH45" s="189">
        <v>1</v>
      </c>
      <c r="AI45" s="189"/>
      <c r="AJ45" s="190">
        <v>1</v>
      </c>
      <c r="AO45" s="434" t="s">
        <v>84</v>
      </c>
    </row>
    <row r="46" spans="2:41" s="29" customFormat="1" ht="44.25" customHeight="1" x14ac:dyDescent="0.2">
      <c r="B46" s="24"/>
      <c r="C46" s="84"/>
      <c r="D46" s="8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188">
        <v>1</v>
      </c>
      <c r="AH46" s="189"/>
      <c r="AI46" s="189"/>
      <c r="AJ46" s="190">
        <v>1</v>
      </c>
      <c r="AO46" s="435"/>
    </row>
    <row r="47" spans="2:41" s="29" customFormat="1" ht="97.5" customHeight="1" x14ac:dyDescent="0.2">
      <c r="B47" s="24"/>
      <c r="C47" s="84"/>
      <c r="D47" s="84"/>
      <c r="J47" s="24"/>
      <c r="K47" s="24"/>
      <c r="L47" s="24"/>
      <c r="M47" s="24"/>
      <c r="N47" s="24"/>
      <c r="O47" s="24"/>
      <c r="P47" s="24"/>
      <c r="Q47" s="24"/>
      <c r="R47" s="24"/>
      <c r="S47" s="24"/>
      <c r="T47" s="24"/>
      <c r="U47" s="24"/>
      <c r="V47" s="24"/>
      <c r="W47" s="24"/>
      <c r="X47" s="24"/>
      <c r="Y47" s="24"/>
      <c r="Z47" s="24"/>
      <c r="AA47" s="24"/>
      <c r="AB47" s="24"/>
      <c r="AC47" s="24"/>
      <c r="AD47" s="24"/>
      <c r="AE47" s="42"/>
      <c r="AG47" s="188">
        <v>1</v>
      </c>
      <c r="AH47" s="189"/>
      <c r="AI47" s="189"/>
      <c r="AJ47" s="190">
        <v>1</v>
      </c>
      <c r="AO47" s="435"/>
    </row>
    <row r="48" spans="2:41" s="29" customFormat="1" ht="54.75" customHeight="1" thickBot="1" x14ac:dyDescent="0.25">
      <c r="B48" s="24"/>
      <c r="C48" s="84"/>
      <c r="D48" s="8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188">
        <v>1</v>
      </c>
      <c r="AH48" s="189"/>
      <c r="AI48" s="189"/>
      <c r="AJ48" s="190">
        <v>1</v>
      </c>
      <c r="AO48" s="436"/>
    </row>
    <row r="49" spans="2:41" s="29" customFormat="1" ht="83.25" customHeight="1" x14ac:dyDescent="0.2">
      <c r="B49" s="24"/>
      <c r="C49" s="84"/>
      <c r="D49" s="8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188">
        <v>1</v>
      </c>
      <c r="AH49" s="189"/>
      <c r="AI49" s="189"/>
      <c r="AJ49" s="190">
        <v>1</v>
      </c>
      <c r="AO49" s="434" t="s">
        <v>75</v>
      </c>
    </row>
    <row r="50" spans="2:41" s="29" customFormat="1" ht="82.5" customHeight="1" x14ac:dyDescent="0.2">
      <c r="B50" s="24"/>
      <c r="C50" s="84"/>
      <c r="D50" s="8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188"/>
      <c r="AH50" s="189"/>
      <c r="AI50" s="189">
        <v>1</v>
      </c>
      <c r="AJ50" s="190">
        <v>1</v>
      </c>
      <c r="AO50" s="435"/>
    </row>
    <row r="51" spans="2:41" s="29" customFormat="1" ht="67.5" customHeight="1" x14ac:dyDescent="0.2">
      <c r="B51" s="24"/>
      <c r="C51" s="84"/>
      <c r="D51" s="8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188"/>
      <c r="AH51" s="189">
        <v>1</v>
      </c>
      <c r="AI51" s="189"/>
      <c r="AJ51" s="190">
        <v>1</v>
      </c>
      <c r="AO51" s="435"/>
    </row>
    <row r="52" spans="2:41" s="29" customFormat="1" ht="65.25" customHeight="1" thickBot="1" x14ac:dyDescent="0.25">
      <c r="B52" s="24"/>
      <c r="C52" s="84"/>
      <c r="D52" s="8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88">
        <v>1</v>
      </c>
      <c r="AH52" s="189"/>
      <c r="AI52" s="189"/>
      <c r="AJ52" s="190">
        <v>1</v>
      </c>
      <c r="AO52" s="436"/>
    </row>
    <row r="53" spans="2:41" s="29" customFormat="1" ht="36.75" customHeight="1" x14ac:dyDescent="0.2">
      <c r="B53" s="24"/>
      <c r="C53" s="84"/>
      <c r="D53" s="8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88"/>
      <c r="AH53" s="189"/>
      <c r="AI53" s="189"/>
      <c r="AJ53" s="190"/>
    </row>
    <row r="54" spans="2:41" s="29" customFormat="1" ht="151.5" customHeight="1" x14ac:dyDescent="0.2">
      <c r="B54" s="24"/>
      <c r="C54" s="84"/>
      <c r="D54" s="84"/>
      <c r="I54" s="24"/>
      <c r="J54" s="24"/>
      <c r="K54" s="24"/>
      <c r="L54" s="24"/>
      <c r="M54" s="24"/>
      <c r="N54" s="24"/>
      <c r="O54" s="24"/>
      <c r="P54" s="24"/>
      <c r="Q54" s="24"/>
      <c r="R54" s="24"/>
      <c r="S54" s="24"/>
      <c r="T54" s="24"/>
      <c r="U54" s="24"/>
      <c r="V54" s="24"/>
      <c r="W54" s="24"/>
      <c r="X54" s="24"/>
      <c r="Y54" s="24"/>
      <c r="Z54" s="24"/>
      <c r="AA54" s="24"/>
      <c r="AB54" s="24"/>
      <c r="AC54" s="24"/>
      <c r="AD54" s="24"/>
      <c r="AE54" s="42"/>
      <c r="AG54" s="188"/>
      <c r="AH54" s="189"/>
      <c r="AI54" s="189">
        <v>1</v>
      </c>
      <c r="AJ54" s="190">
        <v>1</v>
      </c>
    </row>
    <row r="55" spans="2:41" s="29" customFormat="1" ht="100.5" customHeight="1" x14ac:dyDescent="0.2">
      <c r="B55" s="24"/>
      <c r="C55" s="84"/>
      <c r="D55" s="8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188"/>
      <c r="AH55" s="189"/>
      <c r="AI55" s="189">
        <v>1</v>
      </c>
      <c r="AJ55" s="190">
        <v>1</v>
      </c>
    </row>
    <row r="56" spans="2:41" s="29" customFormat="1" ht="113.25" customHeight="1" x14ac:dyDescent="0.2">
      <c r="B56" s="24"/>
      <c r="C56" s="84"/>
      <c r="D56" s="8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188"/>
      <c r="AH56" s="189">
        <v>1</v>
      </c>
      <c r="AI56" s="189"/>
      <c r="AJ56" s="190">
        <v>1</v>
      </c>
    </row>
    <row r="57" spans="2:41" ht="54.75" customHeight="1" x14ac:dyDescent="0.2">
      <c r="C57" s="84"/>
      <c r="D57" s="84"/>
      <c r="AE57" s="42"/>
      <c r="AF57" s="29"/>
      <c r="AG57" s="34"/>
      <c r="AH57" s="30">
        <v>1</v>
      </c>
      <c r="AI57" s="30"/>
      <c r="AJ57" s="35">
        <v>1</v>
      </c>
    </row>
    <row r="58" spans="2:41" ht="45.75" customHeight="1" x14ac:dyDescent="0.2">
      <c r="C58" s="84"/>
      <c r="D58" s="84"/>
      <c r="AE58" s="42"/>
      <c r="AF58" s="29"/>
      <c r="AG58" s="34"/>
      <c r="AH58" s="30">
        <v>1</v>
      </c>
      <c r="AI58" s="30"/>
      <c r="AJ58" s="35">
        <v>1</v>
      </c>
    </row>
    <row r="59" spans="2:41" ht="54.75" customHeight="1" x14ac:dyDescent="0.2">
      <c r="C59" s="84"/>
      <c r="D59" s="84"/>
      <c r="AE59" s="42"/>
      <c r="AF59" s="29"/>
      <c r="AG59" s="34"/>
      <c r="AH59" s="30">
        <v>1</v>
      </c>
      <c r="AI59" s="30"/>
      <c r="AJ59" s="35">
        <v>1</v>
      </c>
    </row>
    <row r="60" spans="2:41" ht="201.75" customHeight="1" x14ac:dyDescent="0.2">
      <c r="C60" s="84"/>
      <c r="D60" s="84"/>
      <c r="AE60" s="42"/>
      <c r="AF60" s="29"/>
      <c r="AG60" s="34"/>
      <c r="AH60" s="30">
        <v>1</v>
      </c>
      <c r="AI60" s="30"/>
      <c r="AJ60" s="35">
        <v>1</v>
      </c>
    </row>
    <row r="61" spans="2:41" ht="125.25" customHeight="1" x14ac:dyDescent="0.2">
      <c r="C61" s="84"/>
      <c r="D61" s="84"/>
      <c r="AE61" s="42"/>
      <c r="AF61" s="29"/>
      <c r="AG61" s="34"/>
      <c r="AH61" s="30">
        <v>1</v>
      </c>
      <c r="AI61" s="30"/>
      <c r="AJ61" s="35">
        <v>1</v>
      </c>
    </row>
    <row r="62" spans="2:41" ht="112.5" customHeight="1" thickBot="1" x14ac:dyDescent="0.25">
      <c r="C62" s="84"/>
      <c r="D62" s="84"/>
      <c r="AE62" s="42"/>
      <c r="AG62" s="36">
        <f>SUM(AG9:AG57)</f>
        <v>24</v>
      </c>
      <c r="AH62" s="37">
        <f>SUM(AH9:AH61)</f>
        <v>18</v>
      </c>
      <c r="AI62" s="37">
        <f>SUM(AI9:AI61)</f>
        <v>5</v>
      </c>
      <c r="AJ62" s="38">
        <f>SUM(AJ9:AJ61)</f>
        <v>47</v>
      </c>
    </row>
    <row r="63" spans="2:41" ht="94.5" customHeight="1" x14ac:dyDescent="0.2">
      <c r="C63" s="84"/>
      <c r="D63" s="84"/>
      <c r="AE63" s="42"/>
    </row>
    <row r="64" spans="2:41" ht="100.5" customHeight="1" x14ac:dyDescent="0.2">
      <c r="C64" s="84"/>
      <c r="D64" s="84"/>
      <c r="AE64" s="42"/>
    </row>
    <row r="65" spans="3:31" ht="226.5" customHeight="1" x14ac:dyDescent="0.2">
      <c r="C65" s="84"/>
      <c r="D65" s="84"/>
      <c r="AE65" s="42"/>
    </row>
    <row r="66" spans="3:31" ht="67.5" customHeight="1" x14ac:dyDescent="0.2">
      <c r="C66" s="84"/>
      <c r="D66" s="84"/>
      <c r="AE66" s="42"/>
    </row>
    <row r="67" spans="3:31" ht="90.75" customHeight="1" x14ac:dyDescent="0.2">
      <c r="C67" s="84"/>
      <c r="D67" s="84"/>
      <c r="AE67" s="42"/>
    </row>
    <row r="68" spans="3:31" ht="75" customHeight="1" x14ac:dyDescent="0.2">
      <c r="C68" s="84"/>
      <c r="D68" s="84"/>
      <c r="AE68" s="42"/>
    </row>
    <row r="69" spans="3:31" x14ac:dyDescent="0.2">
      <c r="C69" s="84"/>
      <c r="D69" s="84"/>
      <c r="AE69" s="42"/>
    </row>
    <row r="70" spans="3:31" ht="43.5" customHeight="1" x14ac:dyDescent="0.2">
      <c r="C70" s="84"/>
      <c r="D70" s="84"/>
      <c r="AE70" s="42"/>
    </row>
    <row r="71" spans="3:31" ht="49.5" customHeight="1" x14ac:dyDescent="0.2">
      <c r="C71" s="84"/>
      <c r="D71" s="84"/>
      <c r="AE71" s="42"/>
    </row>
    <row r="72" spans="3:31" ht="232.5" customHeight="1" x14ac:dyDescent="0.2">
      <c r="C72" s="84"/>
      <c r="D72" s="84"/>
      <c r="H72" s="84"/>
      <c r="I72" s="84"/>
      <c r="AE72" s="42"/>
    </row>
    <row r="73" spans="3:31" x14ac:dyDescent="0.2">
      <c r="C73" s="84"/>
      <c r="D73" s="84"/>
      <c r="AE73" s="42"/>
    </row>
    <row r="74" spans="3:31" ht="241.5" customHeight="1" x14ac:dyDescent="0.2">
      <c r="C74" s="84"/>
      <c r="D74" s="84"/>
      <c r="AE74" s="42"/>
    </row>
    <row r="75" spans="3:31" x14ac:dyDescent="0.2">
      <c r="AE75" s="42"/>
    </row>
    <row r="76" spans="3:31" x14ac:dyDescent="0.2">
      <c r="AE76" s="42"/>
    </row>
    <row r="77" spans="3:31" x14ac:dyDescent="0.2">
      <c r="AE77" s="42"/>
    </row>
    <row r="78" spans="3:31" x14ac:dyDescent="0.2">
      <c r="AE78" s="42"/>
    </row>
  </sheetData>
  <autoFilter ref="B8:AC14"/>
  <mergeCells count="56">
    <mergeCell ref="AO45:AO48"/>
    <mergeCell ref="AO49:AO52"/>
    <mergeCell ref="AO24:AO29"/>
    <mergeCell ref="AO30:AO33"/>
    <mergeCell ref="AO34:AO35"/>
    <mergeCell ref="AO36:AO39"/>
    <mergeCell ref="AG39:AG40"/>
    <mergeCell ref="AH39:AH40"/>
    <mergeCell ref="AI39:AI40"/>
    <mergeCell ref="AJ39:AJ40"/>
    <mergeCell ref="AO40:AO44"/>
    <mergeCell ref="H19:I19"/>
    <mergeCell ref="M19:N19"/>
    <mergeCell ref="O19:P19"/>
    <mergeCell ref="F20:G20"/>
    <mergeCell ref="H20:I20"/>
    <mergeCell ref="AG7:AJ7"/>
    <mergeCell ref="B9:B14"/>
    <mergeCell ref="AE9:AE14"/>
    <mergeCell ref="H21:I21"/>
    <mergeCell ref="AO16:AO23"/>
    <mergeCell ref="F17:G17"/>
    <mergeCell ref="H17:I17"/>
    <mergeCell ref="M17:N17"/>
    <mergeCell ref="O17:P17"/>
    <mergeCell ref="F18:G18"/>
    <mergeCell ref="H18:I18"/>
    <mergeCell ref="M18:N18"/>
    <mergeCell ref="O18:P18"/>
    <mergeCell ref="F19:G19"/>
    <mergeCell ref="H16:K16"/>
    <mergeCell ref="M16:P16"/>
    <mergeCell ref="B6:I6"/>
    <mergeCell ref="J6:N7"/>
    <mergeCell ref="O6:P6"/>
    <mergeCell ref="Q6:U7"/>
    <mergeCell ref="V6:AE6"/>
    <mergeCell ref="B7:B8"/>
    <mergeCell ref="C7:C8"/>
    <mergeCell ref="D7:D8"/>
    <mergeCell ref="O7:P7"/>
    <mergeCell ref="V7:Y7"/>
    <mergeCell ref="Z7:AD7"/>
    <mergeCell ref="AE7:AE8"/>
    <mergeCell ref="B5:AE5"/>
    <mergeCell ref="B2:AE2"/>
    <mergeCell ref="B3:F3"/>
    <mergeCell ref="G3:N3"/>
    <mergeCell ref="O3:T3"/>
    <mergeCell ref="U3:AA3"/>
    <mergeCell ref="AB3:AE3"/>
    <mergeCell ref="B4:F4"/>
    <mergeCell ref="G4:N4"/>
    <mergeCell ref="O4:T4"/>
    <mergeCell ref="U4:AA4"/>
    <mergeCell ref="AB4:AE4"/>
  </mergeCells>
  <conditionalFormatting sqref="N9:P10 N12:P12 P11 N14:P14 P13 N11:N13 U9:U14">
    <cfRule type="cellIs" dxfId="92" priority="21" operator="equal">
      <formula>5</formula>
    </cfRule>
    <cfRule type="cellIs" priority="22" operator="equal">
      <formula>5</formula>
    </cfRule>
    <cfRule type="cellIs" dxfId="91" priority="23" operator="between">
      <formula>6</formula>
      <formula>30</formula>
    </cfRule>
    <cfRule type="cellIs" dxfId="90" priority="24" operator="between">
      <formula>31</formula>
      <formula>60</formula>
    </cfRule>
  </conditionalFormatting>
  <conditionalFormatting sqref="N9:P10 N12:P12 P11 N14:P14 P13 N11:N13 U9:Y14">
    <cfRule type="containsErrors" dxfId="89" priority="20">
      <formula>ISERROR(N9)</formula>
    </cfRule>
  </conditionalFormatting>
  <conditionalFormatting sqref="J9:M14 Q9:T14">
    <cfRule type="containsText" dxfId="88" priority="19" operator="containsText" text="N/A">
      <formula>NOT(ISERROR(SEARCH("N/A",J9)))</formula>
    </cfRule>
  </conditionalFormatting>
  <conditionalFormatting sqref="M18 O18">
    <cfRule type="cellIs" dxfId="87" priority="6" operator="equal">
      <formula>5</formula>
    </cfRule>
    <cfRule type="cellIs" priority="7" operator="equal">
      <formula>5</formula>
    </cfRule>
    <cfRule type="cellIs" dxfId="86" priority="8" operator="between">
      <formula>6</formula>
      <formula>30</formula>
    </cfRule>
    <cfRule type="cellIs" dxfId="85" priority="9" operator="between">
      <formula>31</formula>
      <formula>60</formula>
    </cfRule>
  </conditionalFormatting>
  <conditionalFormatting sqref="M18 O18">
    <cfRule type="containsErrors" dxfId="84" priority="5">
      <formula>ISERROR(M18)</formula>
    </cfRule>
  </conditionalFormatting>
  <dataValidations count="4">
    <dataValidation type="list" allowBlank="1" showInputMessage="1" showErrorMessage="1" sqref="C9:C14">
      <formula1>$AM$8:$AM$9</formula1>
    </dataValidation>
    <dataValidation type="list" allowBlank="1" showInputMessage="1" showErrorMessage="1" sqref="S9:S14 L9:L14">
      <formula1>$AL$8:$AL$11</formula1>
    </dataValidation>
    <dataValidation type="list" allowBlank="1" showInputMessage="1" showErrorMessage="1" sqref="Q9:Q14 J9:J14">
      <formula1>$AK$8:$AK$11</formula1>
    </dataValidation>
    <dataValidation type="list" allowBlank="1" showInputMessage="1" showErrorMessage="1" sqref="D9:D14">
      <formula1>$AN$8:$AN$13</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B1:AO77"/>
  <sheetViews>
    <sheetView showGridLines="0" view="pageBreakPreview" topLeftCell="A8" zoomScale="50" zoomScaleNormal="25" zoomScaleSheetLayoutView="50" zoomScalePageLayoutView="75" workbookViewId="0">
      <selection activeCell="AD11" sqref="AD11"/>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72" t="s">
        <v>111</v>
      </c>
      <c r="C2" s="373"/>
      <c r="D2" s="373"/>
      <c r="E2" s="373"/>
      <c r="F2" s="373"/>
      <c r="G2" s="373"/>
      <c r="H2" s="373"/>
      <c r="I2" s="373"/>
      <c r="J2" s="373"/>
      <c r="K2" s="373"/>
      <c r="L2" s="373"/>
      <c r="M2" s="373"/>
      <c r="N2" s="373"/>
      <c r="O2" s="373"/>
      <c r="P2" s="373"/>
      <c r="Q2" s="373"/>
      <c r="R2" s="373"/>
      <c r="S2" s="373"/>
      <c r="T2" s="373"/>
      <c r="U2" s="373"/>
      <c r="V2" s="373"/>
      <c r="W2" s="373"/>
      <c r="X2" s="373"/>
      <c r="Y2" s="373"/>
      <c r="Z2" s="373"/>
      <c r="AA2" s="373"/>
      <c r="AB2" s="373"/>
      <c r="AC2" s="373"/>
      <c r="AD2" s="373"/>
      <c r="AE2" s="373"/>
      <c r="AF2" s="31"/>
    </row>
    <row r="3" spans="2:41" s="29" customFormat="1" ht="66" customHeight="1" thickBot="1" x14ac:dyDescent="0.25">
      <c r="B3" s="374" t="s">
        <v>39</v>
      </c>
      <c r="C3" s="375"/>
      <c r="D3" s="375"/>
      <c r="E3" s="375"/>
      <c r="F3" s="375"/>
      <c r="G3" s="374" t="s">
        <v>110</v>
      </c>
      <c r="H3" s="375"/>
      <c r="I3" s="375"/>
      <c r="J3" s="375"/>
      <c r="K3" s="375"/>
      <c r="L3" s="375"/>
      <c r="M3" s="375"/>
      <c r="N3" s="376"/>
      <c r="O3" s="374" t="s">
        <v>109</v>
      </c>
      <c r="P3" s="375"/>
      <c r="Q3" s="375"/>
      <c r="R3" s="375"/>
      <c r="S3" s="375"/>
      <c r="T3" s="376"/>
      <c r="U3" s="374" t="s">
        <v>40</v>
      </c>
      <c r="V3" s="375"/>
      <c r="W3" s="375"/>
      <c r="X3" s="375"/>
      <c r="Y3" s="375"/>
      <c r="Z3" s="375"/>
      <c r="AA3" s="376"/>
      <c r="AB3" s="374" t="s">
        <v>37</v>
      </c>
      <c r="AC3" s="375"/>
      <c r="AD3" s="375"/>
      <c r="AE3" s="376"/>
      <c r="AF3" s="32"/>
    </row>
    <row r="4" spans="2:41" s="29" customFormat="1" ht="72" customHeight="1" thickBot="1" x14ac:dyDescent="0.25">
      <c r="B4" s="377" t="s">
        <v>38</v>
      </c>
      <c r="C4" s="378"/>
      <c r="D4" s="378"/>
      <c r="E4" s="378"/>
      <c r="F4" s="378"/>
      <c r="G4" s="379">
        <v>42874</v>
      </c>
      <c r="H4" s="380"/>
      <c r="I4" s="380"/>
      <c r="J4" s="380"/>
      <c r="K4" s="380"/>
      <c r="L4" s="380"/>
      <c r="M4" s="380"/>
      <c r="N4" s="381"/>
      <c r="O4" s="382">
        <v>43700</v>
      </c>
      <c r="P4" s="383"/>
      <c r="Q4" s="383"/>
      <c r="R4" s="383"/>
      <c r="S4" s="383"/>
      <c r="T4" s="384"/>
      <c r="U4" s="377">
        <v>4</v>
      </c>
      <c r="V4" s="378"/>
      <c r="W4" s="378"/>
      <c r="X4" s="378"/>
      <c r="Y4" s="378"/>
      <c r="Z4" s="378"/>
      <c r="AA4" s="385"/>
      <c r="AB4" s="377" t="s">
        <v>52</v>
      </c>
      <c r="AC4" s="378"/>
      <c r="AD4" s="378"/>
      <c r="AE4" s="385"/>
      <c r="AF4" s="148"/>
    </row>
    <row r="5" spans="2:41" s="29" customFormat="1" ht="32.1" customHeight="1" thickBot="1" x14ac:dyDescent="0.25">
      <c r="B5" s="370" t="s">
        <v>764</v>
      </c>
      <c r="C5" s="371"/>
      <c r="D5" s="371"/>
      <c r="E5" s="371"/>
      <c r="F5" s="371"/>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148"/>
    </row>
    <row r="6" spans="2:41" s="29" customFormat="1" ht="54.95" customHeight="1" thickBot="1" x14ac:dyDescent="0.25">
      <c r="B6" s="396" t="s">
        <v>0</v>
      </c>
      <c r="C6" s="397"/>
      <c r="D6" s="397"/>
      <c r="E6" s="397"/>
      <c r="F6" s="397"/>
      <c r="G6" s="397"/>
      <c r="H6" s="397"/>
      <c r="I6" s="398"/>
      <c r="J6" s="399" t="s">
        <v>62</v>
      </c>
      <c r="K6" s="400"/>
      <c r="L6" s="400"/>
      <c r="M6" s="400"/>
      <c r="N6" s="401"/>
      <c r="O6" s="405" t="s">
        <v>94</v>
      </c>
      <c r="P6" s="406"/>
      <c r="Q6" s="407" t="s">
        <v>63</v>
      </c>
      <c r="R6" s="408"/>
      <c r="S6" s="408"/>
      <c r="T6" s="408"/>
      <c r="U6" s="409"/>
      <c r="V6" s="413" t="s">
        <v>58</v>
      </c>
      <c r="W6" s="414"/>
      <c r="X6" s="414"/>
      <c r="Y6" s="414"/>
      <c r="Z6" s="414"/>
      <c r="AA6" s="414"/>
      <c r="AB6" s="414"/>
      <c r="AC6" s="414"/>
      <c r="AD6" s="414"/>
      <c r="AE6" s="415"/>
    </row>
    <row r="7" spans="2:41" s="29" customFormat="1" ht="90" customHeight="1" thickBot="1" x14ac:dyDescent="0.25">
      <c r="B7" s="416" t="s">
        <v>8</v>
      </c>
      <c r="C7" s="417" t="s">
        <v>60</v>
      </c>
      <c r="D7" s="417" t="s">
        <v>91</v>
      </c>
      <c r="E7" s="77" t="s">
        <v>61</v>
      </c>
      <c r="F7" s="43" t="s">
        <v>9</v>
      </c>
      <c r="G7" s="43" t="s">
        <v>104</v>
      </c>
      <c r="H7" s="43" t="s">
        <v>10</v>
      </c>
      <c r="I7" s="96" t="s">
        <v>59</v>
      </c>
      <c r="J7" s="402"/>
      <c r="K7" s="403"/>
      <c r="L7" s="403"/>
      <c r="M7" s="403"/>
      <c r="N7" s="404"/>
      <c r="O7" s="419" t="s">
        <v>103</v>
      </c>
      <c r="P7" s="420"/>
      <c r="Q7" s="410"/>
      <c r="R7" s="411"/>
      <c r="S7" s="411"/>
      <c r="T7" s="411"/>
      <c r="U7" s="412"/>
      <c r="V7" s="421" t="s">
        <v>96</v>
      </c>
      <c r="W7" s="422"/>
      <c r="X7" s="422"/>
      <c r="Y7" s="423"/>
      <c r="Z7" s="461" t="s">
        <v>53</v>
      </c>
      <c r="AA7" s="462"/>
      <c r="AB7" s="462"/>
      <c r="AC7" s="462"/>
      <c r="AD7" s="463"/>
      <c r="AE7" s="431" t="s">
        <v>25</v>
      </c>
      <c r="AG7" s="386" t="s">
        <v>45</v>
      </c>
      <c r="AH7" s="386"/>
      <c r="AI7" s="386"/>
      <c r="AJ7" s="386"/>
      <c r="AK7" s="29" t="s">
        <v>67</v>
      </c>
      <c r="AL7" s="29" t="s">
        <v>68</v>
      </c>
    </row>
    <row r="8" spans="2:41" s="29" customFormat="1" ht="202.5" customHeight="1" thickBot="1" x14ac:dyDescent="0.25">
      <c r="B8" s="460"/>
      <c r="C8" s="418"/>
      <c r="D8" s="418"/>
      <c r="E8" s="278" t="s">
        <v>7</v>
      </c>
      <c r="F8" s="279" t="s">
        <v>64</v>
      </c>
      <c r="G8" s="279" t="s">
        <v>13</v>
      </c>
      <c r="H8" s="279" t="s">
        <v>65</v>
      </c>
      <c r="I8" s="279" t="s">
        <v>66</v>
      </c>
      <c r="J8" s="97" t="s">
        <v>11</v>
      </c>
      <c r="K8" s="103" t="s">
        <v>12</v>
      </c>
      <c r="L8" s="97" t="s">
        <v>1</v>
      </c>
      <c r="M8" s="97" t="s">
        <v>2</v>
      </c>
      <c r="N8" s="280" t="s">
        <v>95</v>
      </c>
      <c r="O8" s="281" t="s">
        <v>92</v>
      </c>
      <c r="P8" s="282" t="s">
        <v>93</v>
      </c>
      <c r="Q8" s="102" t="s">
        <v>11</v>
      </c>
      <c r="R8" s="103" t="s">
        <v>12</v>
      </c>
      <c r="S8" s="103" t="s">
        <v>1</v>
      </c>
      <c r="T8" s="103" t="s">
        <v>2</v>
      </c>
      <c r="U8" s="104" t="s">
        <v>102</v>
      </c>
      <c r="V8" s="99" t="s">
        <v>97</v>
      </c>
      <c r="W8" s="100" t="s">
        <v>98</v>
      </c>
      <c r="X8" s="100" t="s">
        <v>99</v>
      </c>
      <c r="Y8" s="101" t="s">
        <v>100</v>
      </c>
      <c r="Z8" s="53" t="s">
        <v>54</v>
      </c>
      <c r="AA8" s="54" t="s">
        <v>55</v>
      </c>
      <c r="AB8" s="55" t="s">
        <v>56</v>
      </c>
      <c r="AC8" s="54" t="s">
        <v>57</v>
      </c>
      <c r="AD8" s="109" t="s">
        <v>101</v>
      </c>
      <c r="AE8" s="432"/>
      <c r="AG8" s="74" t="s">
        <v>41</v>
      </c>
      <c r="AH8" s="75" t="s">
        <v>42</v>
      </c>
      <c r="AI8" s="75" t="s">
        <v>43</v>
      </c>
      <c r="AJ8" s="76" t="s">
        <v>44</v>
      </c>
      <c r="AK8" s="87" t="s">
        <v>85</v>
      </c>
      <c r="AL8" s="87" t="s">
        <v>85</v>
      </c>
      <c r="AM8" s="29" t="s">
        <v>71</v>
      </c>
      <c r="AN8" s="29" t="s">
        <v>72</v>
      </c>
      <c r="AO8" s="92"/>
    </row>
    <row r="9" spans="2:41" s="29" customFormat="1" ht="221.25" customHeight="1" x14ac:dyDescent="0.2">
      <c r="B9" s="388" t="s">
        <v>385</v>
      </c>
      <c r="C9" s="79" t="s">
        <v>71</v>
      </c>
      <c r="D9" s="218" t="s">
        <v>88</v>
      </c>
      <c r="E9" s="275" t="s">
        <v>386</v>
      </c>
      <c r="F9" s="276" t="s">
        <v>387</v>
      </c>
      <c r="G9" s="276" t="s">
        <v>388</v>
      </c>
      <c r="H9" s="276" t="s">
        <v>389</v>
      </c>
      <c r="I9" s="276" t="s">
        <v>390</v>
      </c>
      <c r="J9" s="88">
        <v>2</v>
      </c>
      <c r="K9" s="88" t="str">
        <f>IF(J9=3,"ALTO",IF(J9=2,"MEDIO",IF(J9="N/A","N/A","BAJO")))</f>
        <v>MEDIO</v>
      </c>
      <c r="L9" s="88">
        <v>20</v>
      </c>
      <c r="M9" s="88" t="str">
        <f>IF(L9=20,"ALTO",IF(L9=10,"MEDIO",IF(L9="N/A","N/A","BAJO")))</f>
        <v>ALTO</v>
      </c>
      <c r="N9" s="108">
        <f>J9*L9</f>
        <v>40</v>
      </c>
      <c r="O9" s="277" t="s">
        <v>758</v>
      </c>
      <c r="P9" s="277" t="s">
        <v>759</v>
      </c>
      <c r="Q9" s="88">
        <v>1</v>
      </c>
      <c r="R9" s="88" t="str">
        <f>IF(Q9=3,"ALTO",IF(Q9=2,"MEDIO",IF(Q9="N/A","N/A","BAJO")))</f>
        <v>BAJO</v>
      </c>
      <c r="S9" s="88">
        <v>20</v>
      </c>
      <c r="T9" s="88" t="str">
        <f>IF(S9=20,"ALTO",IF(S9=10,"MEDIO",IF(S9="N/A","N/A","BAJO")))</f>
        <v>ALTO</v>
      </c>
      <c r="U9" s="108">
        <f>Q9*S9</f>
        <v>20</v>
      </c>
      <c r="V9" s="59"/>
      <c r="W9" s="59" t="s">
        <v>118</v>
      </c>
      <c r="X9" s="59"/>
      <c r="Y9" s="59"/>
      <c r="Z9" s="122" t="s">
        <v>391</v>
      </c>
      <c r="AA9" s="123" t="s">
        <v>761</v>
      </c>
      <c r="AB9" s="124" t="s">
        <v>760</v>
      </c>
      <c r="AC9" s="124" t="s">
        <v>762</v>
      </c>
      <c r="AD9" s="276" t="s">
        <v>763</v>
      </c>
      <c r="AE9" s="391">
        <v>43819</v>
      </c>
      <c r="AG9" s="51">
        <v>1</v>
      </c>
      <c r="AH9" s="52"/>
      <c r="AI9" s="52"/>
      <c r="AJ9" s="50">
        <f>SUM(AG9:AI9)</f>
        <v>1</v>
      </c>
      <c r="AK9" s="29">
        <v>1</v>
      </c>
      <c r="AL9" s="29">
        <v>5</v>
      </c>
      <c r="AM9" s="29" t="s">
        <v>74</v>
      </c>
      <c r="AN9" s="29" t="s">
        <v>76</v>
      </c>
      <c r="AO9" s="93"/>
    </row>
    <row r="10" spans="2:41" s="29" customFormat="1" ht="134.25" customHeight="1" x14ac:dyDescent="0.2">
      <c r="B10" s="388"/>
      <c r="C10" s="80" t="s">
        <v>71</v>
      </c>
      <c r="D10" s="262" t="s">
        <v>77</v>
      </c>
      <c r="E10" s="45" t="s">
        <v>392</v>
      </c>
      <c r="F10" s="118" t="s">
        <v>393</v>
      </c>
      <c r="G10" s="118" t="s">
        <v>394</v>
      </c>
      <c r="H10" s="118" t="s">
        <v>395</v>
      </c>
      <c r="I10" s="182" t="s">
        <v>396</v>
      </c>
      <c r="J10" s="88">
        <v>2</v>
      </c>
      <c r="K10" s="57" t="str">
        <f t="shared" ref="K10:K13" si="0">IF(J10=3,"ALTO",IF(J10=2,"MEDIO",IF(J10="N/A","N/A","BAJO")))</f>
        <v>MEDIO</v>
      </c>
      <c r="L10" s="57">
        <v>20</v>
      </c>
      <c r="M10" s="57" t="str">
        <f t="shared" ref="M10:M13" si="1">IF(L10=20,"ALTO",IF(L10=10,"MEDIO",IF(L10="N/A","N/A","BAJO")))</f>
        <v>ALTO</v>
      </c>
      <c r="N10" s="89">
        <f t="shared" ref="N10:N13" si="2">J10*L10</f>
        <v>40</v>
      </c>
      <c r="O10" s="128" t="s">
        <v>765</v>
      </c>
      <c r="P10" s="266" t="s">
        <v>766</v>
      </c>
      <c r="Q10" s="88">
        <v>1</v>
      </c>
      <c r="R10" s="88" t="str">
        <f t="shared" ref="R10:R13" si="3">IF(Q10=3,"ALTO",IF(Q10=2,"MEDIO",IF(Q10="N/A","N/A","BAJO")))</f>
        <v>BAJO</v>
      </c>
      <c r="S10" s="57">
        <v>20</v>
      </c>
      <c r="T10" s="88" t="str">
        <f t="shared" ref="T10:T13" si="4">IF(S10=20,"ALTO",IF(S10=10,"MEDIO",IF(S10="N/A","N/A","BAJO")))</f>
        <v>ALTO</v>
      </c>
      <c r="U10" s="89">
        <f t="shared" ref="U10:U13" si="5">Q10*S10</f>
        <v>20</v>
      </c>
      <c r="V10" s="59"/>
      <c r="W10" s="59" t="s">
        <v>118</v>
      </c>
      <c r="X10" s="59"/>
      <c r="Y10" s="59"/>
      <c r="Z10" s="125" t="s">
        <v>767</v>
      </c>
      <c r="AA10" s="125" t="s">
        <v>768</v>
      </c>
      <c r="AB10" s="127" t="s">
        <v>769</v>
      </c>
      <c r="AC10" s="127" t="s">
        <v>85</v>
      </c>
      <c r="AD10" s="128" t="s">
        <v>770</v>
      </c>
      <c r="AE10" s="391"/>
      <c r="AG10" s="149"/>
      <c r="AH10" s="150">
        <v>1</v>
      </c>
      <c r="AI10" s="150"/>
      <c r="AJ10" s="151">
        <f t="shared" ref="AJ10:AJ25" si="6">SUM(AG10:AI10)</f>
        <v>1</v>
      </c>
      <c r="AK10" s="29">
        <v>2</v>
      </c>
      <c r="AL10" s="29">
        <v>10</v>
      </c>
      <c r="AN10" s="29" t="s">
        <v>77</v>
      </c>
      <c r="AO10" s="93"/>
    </row>
    <row r="11" spans="2:41" s="29" customFormat="1" ht="344.25" customHeight="1" x14ac:dyDescent="0.2">
      <c r="B11" s="388"/>
      <c r="C11" s="80" t="s">
        <v>71</v>
      </c>
      <c r="D11" s="262" t="s">
        <v>77</v>
      </c>
      <c r="E11" s="45" t="s">
        <v>397</v>
      </c>
      <c r="F11" s="118" t="s">
        <v>398</v>
      </c>
      <c r="G11" s="118" t="s">
        <v>399</v>
      </c>
      <c r="H11" s="118" t="s">
        <v>772</v>
      </c>
      <c r="I11" s="118" t="s">
        <v>400</v>
      </c>
      <c r="J11" s="88">
        <v>2</v>
      </c>
      <c r="K11" s="57" t="str">
        <f t="shared" si="0"/>
        <v>MEDIO</v>
      </c>
      <c r="L11" s="57">
        <v>20</v>
      </c>
      <c r="M11" s="57" t="str">
        <f t="shared" si="1"/>
        <v>ALTO</v>
      </c>
      <c r="N11" s="89">
        <f t="shared" si="2"/>
        <v>40</v>
      </c>
      <c r="O11" s="132" t="s">
        <v>771</v>
      </c>
      <c r="P11" s="132" t="s">
        <v>773</v>
      </c>
      <c r="Q11" s="88">
        <v>1</v>
      </c>
      <c r="R11" s="88" t="str">
        <f t="shared" si="3"/>
        <v>BAJO</v>
      </c>
      <c r="S11" s="57">
        <v>20</v>
      </c>
      <c r="T11" s="88" t="str">
        <f t="shared" si="4"/>
        <v>ALTO</v>
      </c>
      <c r="U11" s="89">
        <f t="shared" si="5"/>
        <v>20</v>
      </c>
      <c r="V11" s="59"/>
      <c r="W11" s="59" t="s">
        <v>118</v>
      </c>
      <c r="X11" s="59"/>
      <c r="Y11" s="59"/>
      <c r="Z11" s="125" t="s">
        <v>401</v>
      </c>
      <c r="AA11" s="125" t="s">
        <v>775</v>
      </c>
      <c r="AB11" s="127" t="s">
        <v>774</v>
      </c>
      <c r="AC11" s="127" t="s">
        <v>85</v>
      </c>
      <c r="AD11" s="128" t="s">
        <v>982</v>
      </c>
      <c r="AE11" s="391"/>
      <c r="AG11" s="149">
        <v>1</v>
      </c>
      <c r="AH11" s="150"/>
      <c r="AI11" s="150"/>
      <c r="AJ11" s="151">
        <f t="shared" si="6"/>
        <v>1</v>
      </c>
      <c r="AK11" s="29">
        <v>3</v>
      </c>
      <c r="AL11" s="29">
        <v>20</v>
      </c>
      <c r="AN11" s="29" t="s">
        <v>88</v>
      </c>
      <c r="AO11" s="93"/>
    </row>
    <row r="12" spans="2:41" s="29" customFormat="1" ht="211.5" customHeight="1" x14ac:dyDescent="0.2">
      <c r="B12" s="388"/>
      <c r="C12" s="156" t="s">
        <v>71</v>
      </c>
      <c r="D12" s="157" t="s">
        <v>77</v>
      </c>
      <c r="E12" s="158" t="s">
        <v>402</v>
      </c>
      <c r="F12" s="159" t="s">
        <v>403</v>
      </c>
      <c r="G12" s="159" t="s">
        <v>404</v>
      </c>
      <c r="H12" s="159" t="s">
        <v>405</v>
      </c>
      <c r="I12" s="159" t="s">
        <v>406</v>
      </c>
      <c r="J12" s="57">
        <v>3</v>
      </c>
      <c r="K12" s="57" t="str">
        <f t="shared" si="0"/>
        <v>ALTO</v>
      </c>
      <c r="L12" s="160">
        <v>20</v>
      </c>
      <c r="M12" s="57" t="str">
        <f t="shared" si="1"/>
        <v>ALTO</v>
      </c>
      <c r="N12" s="89">
        <f t="shared" si="2"/>
        <v>60</v>
      </c>
      <c r="O12" s="161" t="s">
        <v>776</v>
      </c>
      <c r="P12" s="161" t="s">
        <v>777</v>
      </c>
      <c r="Q12" s="57">
        <v>2</v>
      </c>
      <c r="R12" s="88" t="str">
        <f t="shared" si="3"/>
        <v>MEDIO</v>
      </c>
      <c r="S12" s="57">
        <v>20</v>
      </c>
      <c r="T12" s="88" t="str">
        <f t="shared" si="4"/>
        <v>ALTO</v>
      </c>
      <c r="U12" s="89">
        <f t="shared" si="5"/>
        <v>40</v>
      </c>
      <c r="V12" s="165"/>
      <c r="W12" s="165" t="s">
        <v>118</v>
      </c>
      <c r="X12" s="165"/>
      <c r="Y12" s="165"/>
      <c r="Z12" s="162" t="s">
        <v>778</v>
      </c>
      <c r="AA12" s="162" t="s">
        <v>407</v>
      </c>
      <c r="AB12" s="196" t="s">
        <v>408</v>
      </c>
      <c r="AC12" s="196" t="s">
        <v>85</v>
      </c>
      <c r="AD12" s="164" t="s">
        <v>983</v>
      </c>
      <c r="AE12" s="391"/>
      <c r="AG12" s="261"/>
      <c r="AH12" s="262"/>
      <c r="AI12" s="262"/>
      <c r="AJ12" s="263"/>
      <c r="AN12" s="29" t="s">
        <v>89</v>
      </c>
      <c r="AO12" s="93"/>
    </row>
    <row r="13" spans="2:41" s="29" customFormat="1" ht="224.25" customHeight="1" thickBot="1" x14ac:dyDescent="0.25">
      <c r="B13" s="389"/>
      <c r="C13" s="81" t="s">
        <v>71</v>
      </c>
      <c r="D13" s="82" t="s">
        <v>88</v>
      </c>
      <c r="E13" s="33" t="s">
        <v>409</v>
      </c>
      <c r="F13" s="119" t="s">
        <v>410</v>
      </c>
      <c r="G13" s="270" t="s">
        <v>411</v>
      </c>
      <c r="H13" s="270" t="s">
        <v>412</v>
      </c>
      <c r="I13" s="271" t="s">
        <v>413</v>
      </c>
      <c r="J13" s="58">
        <v>2</v>
      </c>
      <c r="K13" s="58" t="str">
        <f t="shared" si="0"/>
        <v>MEDIO</v>
      </c>
      <c r="L13" s="58">
        <v>20</v>
      </c>
      <c r="M13" s="58" t="str">
        <f t="shared" si="1"/>
        <v>ALTO</v>
      </c>
      <c r="N13" s="91">
        <f t="shared" si="2"/>
        <v>40</v>
      </c>
      <c r="O13" s="272" t="s">
        <v>414</v>
      </c>
      <c r="P13" s="272" t="s">
        <v>779</v>
      </c>
      <c r="Q13" s="226">
        <v>1</v>
      </c>
      <c r="R13" s="226" t="str">
        <f t="shared" si="3"/>
        <v>BAJO</v>
      </c>
      <c r="S13" s="226">
        <v>20</v>
      </c>
      <c r="T13" s="226" t="str">
        <f t="shared" si="4"/>
        <v>ALTO</v>
      </c>
      <c r="U13" s="91">
        <f t="shared" si="5"/>
        <v>20</v>
      </c>
      <c r="V13" s="273"/>
      <c r="W13" s="273" t="s">
        <v>118</v>
      </c>
      <c r="X13" s="273"/>
      <c r="Y13" s="273"/>
      <c r="Z13" s="129" t="s">
        <v>415</v>
      </c>
      <c r="AA13" s="130" t="s">
        <v>416</v>
      </c>
      <c r="AB13" s="131" t="s">
        <v>417</v>
      </c>
      <c r="AC13" s="131" t="s">
        <v>418</v>
      </c>
      <c r="AD13" s="274" t="s">
        <v>419</v>
      </c>
      <c r="AE13" s="392"/>
      <c r="AG13" s="261"/>
      <c r="AH13" s="262"/>
      <c r="AI13" s="262"/>
      <c r="AJ13" s="263"/>
      <c r="AN13" s="29" t="s">
        <v>90</v>
      </c>
      <c r="AO13" s="93"/>
    </row>
    <row r="14" spans="2:41" s="29" customFormat="1" ht="31.5" customHeight="1" thickBot="1" x14ac:dyDescent="0.25">
      <c r="B14" s="24"/>
      <c r="C14" s="24"/>
      <c r="D14" s="24"/>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86"/>
      <c r="AE14" s="47"/>
      <c r="AG14" s="149"/>
      <c r="AH14" s="150">
        <v>1</v>
      </c>
      <c r="AI14" s="150"/>
      <c r="AJ14" s="151">
        <f t="shared" si="6"/>
        <v>1</v>
      </c>
      <c r="AO14" s="94"/>
    </row>
    <row r="15" spans="2:41" s="29" customFormat="1" ht="129" customHeight="1" thickBot="1" x14ac:dyDescent="0.25">
      <c r="B15" s="24"/>
      <c r="C15" s="24"/>
      <c r="D15" s="24"/>
      <c r="E15" s="24"/>
      <c r="F15" s="110"/>
      <c r="G15" s="110"/>
      <c r="H15" s="448" t="s">
        <v>270</v>
      </c>
      <c r="I15" s="449"/>
      <c r="J15" s="449"/>
      <c r="K15" s="450"/>
      <c r="L15" s="24"/>
      <c r="M15" s="393" t="s">
        <v>35</v>
      </c>
      <c r="N15" s="394"/>
      <c r="O15" s="394"/>
      <c r="P15" s="395"/>
      <c r="Q15" s="111"/>
      <c r="R15" s="24"/>
      <c r="S15" s="24"/>
      <c r="T15" s="24"/>
      <c r="U15" s="24"/>
      <c r="V15" s="24"/>
      <c r="W15" s="24"/>
      <c r="X15" s="24"/>
      <c r="Y15" s="24"/>
      <c r="Z15" s="24"/>
      <c r="AA15" s="24"/>
      <c r="AB15" s="24"/>
      <c r="AC15" s="24"/>
      <c r="AD15" s="24"/>
      <c r="AE15" s="42"/>
      <c r="AG15" s="149">
        <v>1</v>
      </c>
      <c r="AH15" s="150"/>
      <c r="AI15" s="150"/>
      <c r="AJ15" s="151">
        <f t="shared" si="6"/>
        <v>1</v>
      </c>
      <c r="AK15" s="29" t="s">
        <v>86</v>
      </c>
      <c r="AO15" s="434" t="s">
        <v>78</v>
      </c>
    </row>
    <row r="16" spans="2:41" s="29" customFormat="1" ht="46.5" customHeight="1" x14ac:dyDescent="0.2">
      <c r="B16" s="24"/>
      <c r="C16" s="24"/>
      <c r="D16" s="24"/>
      <c r="E16" s="24"/>
      <c r="F16" s="424"/>
      <c r="G16" s="424"/>
      <c r="H16" s="451" t="s">
        <v>149</v>
      </c>
      <c r="I16" s="452"/>
      <c r="J16" s="26">
        <f>COUNTIF(U9:U13,"=5")</f>
        <v>0</v>
      </c>
      <c r="K16" s="27">
        <f>J16*100%/J19</f>
        <v>0</v>
      </c>
      <c r="L16" s="24"/>
      <c r="M16" s="471" t="s">
        <v>106</v>
      </c>
      <c r="N16" s="472"/>
      <c r="O16" s="472" t="s">
        <v>49</v>
      </c>
      <c r="P16" s="473"/>
      <c r="Q16" s="112"/>
      <c r="R16" s="24"/>
      <c r="S16" s="24"/>
      <c r="T16" s="24"/>
      <c r="U16" s="24"/>
      <c r="V16" s="24"/>
      <c r="W16" s="24"/>
      <c r="X16" s="24"/>
      <c r="Y16" s="24"/>
      <c r="Z16" s="24"/>
      <c r="AA16" s="24"/>
      <c r="AB16" s="24"/>
      <c r="AC16" s="24"/>
      <c r="AD16" s="24"/>
      <c r="AE16" s="42"/>
      <c r="AG16" s="149">
        <v>1</v>
      </c>
      <c r="AH16" s="150"/>
      <c r="AI16" s="150"/>
      <c r="AJ16" s="151">
        <f t="shared" si="6"/>
        <v>1</v>
      </c>
      <c r="AK16" s="29" t="s">
        <v>87</v>
      </c>
      <c r="AO16" s="435"/>
    </row>
    <row r="17" spans="2:41" s="29" customFormat="1" ht="46.5" customHeight="1" x14ac:dyDescent="0.2">
      <c r="B17" s="24"/>
      <c r="C17" s="24"/>
      <c r="D17" s="24"/>
      <c r="E17" s="24"/>
      <c r="F17" s="424"/>
      <c r="G17" s="424"/>
      <c r="H17" s="451" t="s">
        <v>150</v>
      </c>
      <c r="I17" s="452"/>
      <c r="J17" s="26">
        <f>COUNTIFS(U9:U13,"&gt;=6",U9:U13,"&lt;=30")</f>
        <v>4</v>
      </c>
      <c r="K17" s="27">
        <f>J17*100%/J19</f>
        <v>0.8</v>
      </c>
      <c r="L17" s="24"/>
      <c r="M17" s="464" t="s">
        <v>107</v>
      </c>
      <c r="N17" s="465"/>
      <c r="O17" s="466" t="s">
        <v>50</v>
      </c>
      <c r="P17" s="467"/>
      <c r="Q17" s="112"/>
      <c r="R17" s="24"/>
      <c r="S17" s="24"/>
      <c r="T17" s="24"/>
      <c r="U17" s="24"/>
      <c r="V17" s="24"/>
      <c r="W17" s="24"/>
      <c r="X17" s="24"/>
      <c r="Y17" s="24"/>
      <c r="Z17" s="24"/>
      <c r="AA17" s="24"/>
      <c r="AB17" s="24"/>
      <c r="AC17" s="24"/>
      <c r="AD17" s="24"/>
      <c r="AE17" s="42"/>
      <c r="AG17" s="149">
        <v>1</v>
      </c>
      <c r="AH17" s="150"/>
      <c r="AI17" s="150"/>
      <c r="AJ17" s="151">
        <f t="shared" si="6"/>
        <v>1</v>
      </c>
      <c r="AO17" s="435"/>
    </row>
    <row r="18" spans="2:41" s="29" customFormat="1" ht="46.5" customHeight="1" thickBot="1" x14ac:dyDescent="0.25">
      <c r="B18" s="24"/>
      <c r="C18" s="24"/>
      <c r="D18" s="24"/>
      <c r="E18" s="24"/>
      <c r="F18" s="424"/>
      <c r="G18" s="424"/>
      <c r="H18" s="451" t="s">
        <v>151</v>
      </c>
      <c r="I18" s="452"/>
      <c r="J18" s="26">
        <f>COUNTIFS(U10:U14,"&gt;=40",U10:U14,"&lt;=60")</f>
        <v>1</v>
      </c>
      <c r="K18" s="27">
        <f>J18*100%/J19</f>
        <v>0.2</v>
      </c>
      <c r="L18" s="24"/>
      <c r="M18" s="468" t="s">
        <v>108</v>
      </c>
      <c r="N18" s="469"/>
      <c r="O18" s="469" t="s">
        <v>20</v>
      </c>
      <c r="P18" s="470"/>
      <c r="Q18" s="112"/>
      <c r="R18" s="24"/>
      <c r="S18" s="24"/>
      <c r="T18" s="24"/>
      <c r="U18" s="24"/>
      <c r="V18" s="24"/>
      <c r="W18" s="24"/>
      <c r="X18" s="24"/>
      <c r="Y18" s="24"/>
      <c r="Z18" s="24"/>
      <c r="AA18" s="24"/>
      <c r="AB18" s="24"/>
      <c r="AC18" s="24"/>
      <c r="AD18" s="24"/>
      <c r="AE18" s="42"/>
      <c r="AG18" s="149">
        <v>1</v>
      </c>
      <c r="AH18" s="150"/>
      <c r="AI18" s="150"/>
      <c r="AJ18" s="151">
        <f t="shared" si="6"/>
        <v>1</v>
      </c>
      <c r="AO18" s="435"/>
    </row>
    <row r="19" spans="2:41" s="29" customFormat="1" ht="46.5" customHeight="1" thickBot="1" x14ac:dyDescent="0.25">
      <c r="B19" s="24"/>
      <c r="C19" s="24"/>
      <c r="D19" s="24"/>
      <c r="E19" s="24"/>
      <c r="F19" s="433"/>
      <c r="G19" s="433"/>
      <c r="H19" s="458" t="s">
        <v>152</v>
      </c>
      <c r="I19" s="459"/>
      <c r="J19" s="152">
        <f>+J16+J18+J17</f>
        <v>5</v>
      </c>
      <c r="K19" s="138">
        <f>K16+K17+K18</f>
        <v>1</v>
      </c>
      <c r="L19" s="24"/>
      <c r="M19" s="24"/>
      <c r="N19" s="24"/>
      <c r="O19" s="24"/>
      <c r="P19" s="24"/>
      <c r="Q19" s="24"/>
      <c r="R19" s="24"/>
      <c r="S19" s="24"/>
      <c r="T19" s="24"/>
      <c r="U19" s="24"/>
      <c r="V19" s="24"/>
      <c r="W19" s="24"/>
      <c r="X19" s="24"/>
      <c r="Y19" s="24"/>
      <c r="Z19" s="24"/>
      <c r="AA19" s="24"/>
      <c r="AB19" s="24"/>
      <c r="AC19" s="24"/>
      <c r="AD19" s="24"/>
      <c r="AE19" s="42"/>
      <c r="AG19" s="149">
        <v>1</v>
      </c>
      <c r="AH19" s="150"/>
      <c r="AI19" s="150"/>
      <c r="AJ19" s="151">
        <f t="shared" si="6"/>
        <v>1</v>
      </c>
      <c r="AO19" s="435"/>
    </row>
    <row r="20" spans="2:41" s="29" customFormat="1" ht="75" customHeight="1" thickBot="1" x14ac:dyDescent="0.25">
      <c r="B20" s="24"/>
      <c r="C20" s="24"/>
      <c r="D20" s="24"/>
      <c r="E20" s="24"/>
      <c r="F20" s="24"/>
      <c r="G20" s="24"/>
      <c r="H20" s="456" t="s">
        <v>269</v>
      </c>
      <c r="I20" s="457"/>
      <c r="J20" s="244">
        <f>COUNTIF(Q4:Q13,"N/A")</f>
        <v>0</v>
      </c>
      <c r="K20" s="245">
        <f>IF(J20&gt;=1,"100%",0)</f>
        <v>0</v>
      </c>
      <c r="L20" s="24"/>
      <c r="M20" s="24"/>
      <c r="N20" s="24"/>
      <c r="O20" s="24"/>
      <c r="P20" s="24"/>
      <c r="Q20" s="24"/>
      <c r="R20" s="24"/>
      <c r="S20" s="24"/>
      <c r="T20" s="24"/>
      <c r="U20" s="24"/>
      <c r="V20" s="24"/>
      <c r="W20" s="24"/>
      <c r="X20" s="24"/>
      <c r="Y20" s="24"/>
      <c r="Z20" s="24"/>
      <c r="AA20" s="24"/>
      <c r="AB20" s="24"/>
      <c r="AC20" s="24"/>
      <c r="AD20" s="24"/>
      <c r="AE20" s="42"/>
      <c r="AG20" s="149"/>
      <c r="AH20" s="150">
        <v>1</v>
      </c>
      <c r="AI20" s="150"/>
      <c r="AJ20" s="151">
        <f t="shared" si="6"/>
        <v>1</v>
      </c>
      <c r="AO20" s="435"/>
    </row>
    <row r="21" spans="2:41" s="29" customFormat="1" ht="97.5" customHeight="1" x14ac:dyDescent="0.2">
      <c r="B21" s="24"/>
      <c r="C21" s="83"/>
      <c r="D21" s="83"/>
      <c r="E21" s="83"/>
      <c r="F21" s="83"/>
      <c r="G21" s="84"/>
      <c r="H21" s="84"/>
      <c r="I21" s="83"/>
      <c r="J21" s="24"/>
      <c r="K21" s="24"/>
      <c r="L21" s="24"/>
      <c r="M21" s="24"/>
      <c r="N21" s="24"/>
      <c r="O21" s="24"/>
      <c r="P21" s="24"/>
      <c r="Q21" s="24"/>
      <c r="R21" s="24"/>
      <c r="S21" s="24"/>
      <c r="T21" s="24"/>
      <c r="U21" s="24"/>
      <c r="V21" s="24"/>
      <c r="W21" s="24"/>
      <c r="X21" s="24"/>
      <c r="Y21" s="24"/>
      <c r="Z21" s="24"/>
      <c r="AA21" s="24"/>
      <c r="AB21" s="24"/>
      <c r="AC21" s="24"/>
      <c r="AD21" s="24"/>
      <c r="AE21" s="42"/>
      <c r="AG21" s="149"/>
      <c r="AH21" s="150">
        <v>1</v>
      </c>
      <c r="AI21" s="150"/>
      <c r="AJ21" s="151">
        <f t="shared" si="6"/>
        <v>1</v>
      </c>
      <c r="AO21" s="435"/>
    </row>
    <row r="22" spans="2:41" s="29" customFormat="1" ht="107.25" customHeight="1" thickBot="1" x14ac:dyDescent="0.25">
      <c r="B22" s="24"/>
      <c r="C22" s="83"/>
      <c r="D22" s="83"/>
      <c r="E22" s="83"/>
      <c r="F22" s="84"/>
      <c r="G22" s="84"/>
      <c r="H22" s="84"/>
      <c r="I22" s="84"/>
      <c r="J22" s="24"/>
      <c r="K22" s="24"/>
      <c r="L22" s="24"/>
      <c r="M22" s="24"/>
      <c r="N22" s="24"/>
      <c r="O22" s="24"/>
      <c r="P22" s="24"/>
      <c r="Q22" s="24"/>
      <c r="R22" s="24"/>
      <c r="S22" s="24"/>
      <c r="T22" s="24"/>
      <c r="U22" s="24"/>
      <c r="V22" s="24"/>
      <c r="W22" s="24"/>
      <c r="X22" s="24"/>
      <c r="Y22" s="24"/>
      <c r="Z22" s="24"/>
      <c r="AA22" s="24"/>
      <c r="AB22" s="24"/>
      <c r="AC22" s="24"/>
      <c r="AD22" s="24"/>
      <c r="AE22" s="42"/>
      <c r="AG22" s="149">
        <v>1</v>
      </c>
      <c r="AH22" s="150"/>
      <c r="AI22" s="150"/>
      <c r="AJ22" s="151">
        <f t="shared" si="6"/>
        <v>1</v>
      </c>
      <c r="AO22" s="436"/>
    </row>
    <row r="23" spans="2:41" s="28" customFormat="1" ht="80.25" customHeight="1" x14ac:dyDescent="0.2">
      <c r="B23" s="24"/>
      <c r="C23" s="83"/>
      <c r="D23" s="83"/>
      <c r="E23" s="85"/>
      <c r="F23" s="85"/>
      <c r="G23" s="85"/>
      <c r="H23" s="85"/>
      <c r="I23" s="85"/>
      <c r="J23" s="24"/>
      <c r="K23" s="24"/>
      <c r="L23" s="24"/>
      <c r="M23" s="24"/>
      <c r="N23" s="24"/>
      <c r="O23" s="24"/>
      <c r="P23" s="24"/>
      <c r="Q23" s="24"/>
      <c r="R23" s="24"/>
      <c r="S23" s="24"/>
      <c r="T23" s="24"/>
      <c r="U23" s="24"/>
      <c r="V23" s="24"/>
      <c r="W23" s="24"/>
      <c r="X23" s="24"/>
      <c r="Y23" s="24"/>
      <c r="Z23" s="24"/>
      <c r="AA23" s="24"/>
      <c r="AB23" s="24"/>
      <c r="AC23" s="24"/>
      <c r="AD23" s="24"/>
      <c r="AE23" s="42"/>
      <c r="AG23" s="39"/>
      <c r="AH23" s="49"/>
      <c r="AI23" s="49"/>
      <c r="AJ23" s="40"/>
      <c r="AO23" s="434" t="s">
        <v>79</v>
      </c>
    </row>
    <row r="24" spans="2:41" s="29" customFormat="1" ht="101.25" customHeight="1" x14ac:dyDescent="0.2">
      <c r="B24" s="24"/>
      <c r="C24" s="84"/>
      <c r="D24" s="84"/>
      <c r="E24" s="48"/>
      <c r="F24" s="48"/>
      <c r="G24" s="48"/>
      <c r="H24" s="48"/>
      <c r="I24" s="48"/>
      <c r="J24" s="24"/>
      <c r="K24" s="24"/>
      <c r="L24" s="24"/>
      <c r="M24" s="24"/>
      <c r="N24" s="24"/>
      <c r="O24" s="24"/>
      <c r="P24" s="24"/>
      <c r="Q24" s="24"/>
      <c r="R24" s="24"/>
      <c r="S24" s="24"/>
      <c r="T24" s="24"/>
      <c r="U24" s="24"/>
      <c r="V24" s="24"/>
      <c r="W24" s="24"/>
      <c r="X24" s="24"/>
      <c r="Y24" s="24"/>
      <c r="Z24" s="24"/>
      <c r="AA24" s="24"/>
      <c r="AB24" s="24"/>
      <c r="AC24" s="24"/>
      <c r="AD24" s="24"/>
      <c r="AE24" s="42"/>
      <c r="AG24" s="149">
        <v>1</v>
      </c>
      <c r="AH24" s="150"/>
      <c r="AI24" s="150"/>
      <c r="AJ24" s="151">
        <f t="shared" si="6"/>
        <v>1</v>
      </c>
      <c r="AO24" s="435"/>
    </row>
    <row r="25" spans="2:41" s="29" customFormat="1" ht="109.5" customHeight="1" x14ac:dyDescent="0.2">
      <c r="B25" s="24"/>
      <c r="C25" s="84"/>
      <c r="D25" s="84"/>
      <c r="I25" s="24"/>
      <c r="J25" s="24"/>
      <c r="K25" s="24"/>
      <c r="L25" s="24"/>
      <c r="M25" s="24"/>
      <c r="N25" s="24"/>
      <c r="O25" s="24"/>
      <c r="P25" s="24"/>
      <c r="Q25" s="24"/>
      <c r="R25" s="24"/>
      <c r="S25" s="24"/>
      <c r="T25" s="24"/>
      <c r="U25" s="24"/>
      <c r="V25" s="24"/>
      <c r="W25" s="24"/>
      <c r="X25" s="24"/>
      <c r="Y25" s="24"/>
      <c r="Z25" s="24"/>
      <c r="AA25" s="24"/>
      <c r="AB25" s="24"/>
      <c r="AC25" s="24"/>
      <c r="AD25" s="24"/>
      <c r="AE25" s="42"/>
      <c r="AG25" s="149"/>
      <c r="AH25" s="150">
        <v>1</v>
      </c>
      <c r="AI25" s="150"/>
      <c r="AJ25" s="151">
        <f t="shared" si="6"/>
        <v>1</v>
      </c>
      <c r="AO25" s="435"/>
    </row>
    <row r="26" spans="2:41" s="29" customFormat="1" ht="67.5" customHeight="1" x14ac:dyDescent="0.2">
      <c r="B26" s="24"/>
      <c r="C26" s="84"/>
      <c r="D26" s="84"/>
      <c r="H26" s="24"/>
      <c r="I26" s="24"/>
      <c r="J26" s="24"/>
      <c r="K26" s="24"/>
      <c r="L26" s="24"/>
      <c r="M26" s="24"/>
      <c r="N26" s="24"/>
      <c r="O26" s="24"/>
      <c r="P26" s="24"/>
      <c r="Q26" s="24"/>
      <c r="R26" s="24"/>
      <c r="S26" s="24"/>
      <c r="T26" s="24"/>
      <c r="U26" s="24"/>
      <c r="V26" s="24"/>
      <c r="W26" s="24"/>
      <c r="X26" s="24"/>
      <c r="Y26" s="24"/>
      <c r="Z26" s="24"/>
      <c r="AA26" s="24"/>
      <c r="AB26" s="24"/>
      <c r="AC26" s="24"/>
      <c r="AD26" s="24"/>
      <c r="AE26" s="42"/>
      <c r="AG26" s="149"/>
      <c r="AH26" s="150">
        <v>1</v>
      </c>
      <c r="AI26" s="150"/>
      <c r="AJ26" s="151">
        <v>1</v>
      </c>
      <c r="AO26" s="435"/>
    </row>
    <row r="27" spans="2:41" s="29" customFormat="1" ht="83.25" customHeight="1" x14ac:dyDescent="0.2">
      <c r="B27" s="24"/>
      <c r="C27" s="83"/>
      <c r="D27" s="83"/>
      <c r="G27" s="24"/>
      <c r="H27" s="24"/>
      <c r="I27" s="24"/>
      <c r="J27" s="24"/>
      <c r="K27" s="24"/>
      <c r="L27" s="24"/>
      <c r="M27" s="24"/>
      <c r="N27" s="24"/>
      <c r="O27" s="24"/>
      <c r="P27" s="24"/>
      <c r="Q27" s="24"/>
      <c r="R27" s="24"/>
      <c r="S27" s="24"/>
      <c r="T27" s="24"/>
      <c r="U27" s="24"/>
      <c r="V27" s="24"/>
      <c r="W27" s="24"/>
      <c r="X27" s="24"/>
      <c r="Y27" s="24"/>
      <c r="Z27" s="24"/>
      <c r="AA27" s="24"/>
      <c r="AB27" s="24"/>
      <c r="AC27" s="24"/>
      <c r="AD27" s="24"/>
      <c r="AE27" s="42"/>
      <c r="AG27" s="149"/>
      <c r="AH27" s="150">
        <v>1</v>
      </c>
      <c r="AI27" s="150"/>
      <c r="AJ27" s="151">
        <v>1</v>
      </c>
      <c r="AO27" s="435"/>
    </row>
    <row r="28" spans="2:41" s="29" customFormat="1" ht="75.75" customHeight="1" thickBot="1" x14ac:dyDescent="0.25">
      <c r="B28" s="24"/>
      <c r="C28" s="83"/>
      <c r="D28" s="83"/>
      <c r="G28" s="24"/>
      <c r="H28" s="24"/>
      <c r="I28" s="24"/>
      <c r="J28" s="24"/>
      <c r="K28" s="24"/>
      <c r="L28" s="24"/>
      <c r="M28" s="24"/>
      <c r="N28" s="24"/>
      <c r="O28" s="24"/>
      <c r="P28" s="24"/>
      <c r="Q28" s="24"/>
      <c r="R28" s="24"/>
      <c r="S28" s="24"/>
      <c r="T28" s="24"/>
      <c r="U28" s="24"/>
      <c r="V28" s="24"/>
      <c r="W28" s="24"/>
      <c r="X28" s="24"/>
      <c r="Y28" s="24"/>
      <c r="Z28" s="24"/>
      <c r="AA28" s="24"/>
      <c r="AB28" s="24"/>
      <c r="AC28" s="24"/>
      <c r="AD28" s="24"/>
      <c r="AE28" s="42"/>
      <c r="AG28" s="149"/>
      <c r="AH28" s="150"/>
      <c r="AI28" s="150"/>
      <c r="AJ28" s="151"/>
      <c r="AO28" s="436"/>
    </row>
    <row r="29" spans="2:41" s="29" customFormat="1" ht="73.5" customHeight="1" x14ac:dyDescent="0.2">
      <c r="B29" s="24"/>
      <c r="C29" s="83"/>
      <c r="D29" s="83"/>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42"/>
      <c r="AG29" s="149"/>
      <c r="AH29" s="150">
        <v>1</v>
      </c>
      <c r="AI29" s="150"/>
      <c r="AJ29" s="151">
        <v>1</v>
      </c>
      <c r="AO29" s="434" t="s">
        <v>80</v>
      </c>
    </row>
    <row r="30" spans="2:41" s="29" customFormat="1" ht="58.5" customHeight="1" x14ac:dyDescent="0.2">
      <c r="B30" s="24"/>
      <c r="C30" s="84"/>
      <c r="D30" s="84"/>
      <c r="J30" s="24"/>
      <c r="K30" s="24"/>
      <c r="L30" s="24"/>
      <c r="M30" s="24"/>
      <c r="N30" s="24"/>
      <c r="O30" s="24"/>
      <c r="P30" s="24"/>
      <c r="Q30" s="24"/>
      <c r="R30" s="24"/>
      <c r="S30" s="24"/>
      <c r="T30" s="24"/>
      <c r="U30" s="24"/>
      <c r="V30" s="24"/>
      <c r="W30" s="24"/>
      <c r="X30" s="24"/>
      <c r="Y30" s="24"/>
      <c r="Z30" s="24"/>
      <c r="AA30" s="24"/>
      <c r="AB30" s="24"/>
      <c r="AC30" s="24"/>
      <c r="AD30" s="24"/>
      <c r="AE30" s="42"/>
      <c r="AG30" s="149">
        <v>1</v>
      </c>
      <c r="AH30" s="150"/>
      <c r="AI30" s="150"/>
      <c r="AJ30" s="151">
        <v>1</v>
      </c>
      <c r="AO30" s="435"/>
    </row>
    <row r="31" spans="2:41" s="29" customFormat="1" ht="73.5" customHeight="1" x14ac:dyDescent="0.2">
      <c r="B31" s="24"/>
      <c r="C31" s="84"/>
      <c r="D31" s="84"/>
      <c r="E31" s="24"/>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42"/>
      <c r="AG31" s="149"/>
      <c r="AH31" s="150">
        <v>1</v>
      </c>
      <c r="AI31" s="150"/>
      <c r="AJ31" s="151">
        <v>1</v>
      </c>
      <c r="AO31" s="435"/>
    </row>
    <row r="32" spans="2:41" s="29" customFormat="1" ht="102" customHeight="1" thickBot="1" x14ac:dyDescent="0.25">
      <c r="B32" s="24"/>
      <c r="C32" s="84"/>
      <c r="D32" s="84"/>
      <c r="E32" s="24"/>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42"/>
      <c r="AG32" s="149">
        <v>1</v>
      </c>
      <c r="AH32" s="150"/>
      <c r="AI32" s="150"/>
      <c r="AJ32" s="151">
        <v>1</v>
      </c>
      <c r="AO32" s="435"/>
    </row>
    <row r="33" spans="2:41" s="29" customFormat="1" ht="86.25" customHeight="1" x14ac:dyDescent="0.2">
      <c r="B33" s="24"/>
      <c r="C33" s="84"/>
      <c r="D33" s="84"/>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42"/>
      <c r="AG33" s="149"/>
      <c r="AH33" s="150">
        <v>1</v>
      </c>
      <c r="AI33" s="150"/>
      <c r="AJ33" s="151">
        <v>1</v>
      </c>
      <c r="AO33" s="437" t="s">
        <v>81</v>
      </c>
    </row>
    <row r="34" spans="2:41" s="29" customFormat="1" ht="70.5" customHeight="1" thickBot="1" x14ac:dyDescent="0.25">
      <c r="B34" s="24"/>
      <c r="C34" s="84"/>
      <c r="D34" s="84"/>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149">
        <v>1</v>
      </c>
      <c r="AH34" s="150"/>
      <c r="AI34" s="150"/>
      <c r="AJ34" s="151">
        <v>1</v>
      </c>
      <c r="AO34" s="438"/>
    </row>
    <row r="35" spans="2:41" s="29" customFormat="1" ht="62.25" customHeight="1" x14ac:dyDescent="0.2">
      <c r="B35" s="24"/>
      <c r="C35" s="84"/>
      <c r="D35" s="8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149">
        <v>1</v>
      </c>
      <c r="AH35" s="150"/>
      <c r="AI35" s="150"/>
      <c r="AJ35" s="151">
        <v>1</v>
      </c>
      <c r="AO35" s="437" t="s">
        <v>82</v>
      </c>
    </row>
    <row r="36" spans="2:41" s="29" customFormat="1" ht="45.75" customHeight="1" x14ac:dyDescent="0.2">
      <c r="B36" s="24"/>
      <c r="C36" s="84"/>
      <c r="D36" s="8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49"/>
      <c r="AH36" s="150"/>
      <c r="AI36" s="150">
        <v>1</v>
      </c>
      <c r="AJ36" s="151">
        <v>1</v>
      </c>
      <c r="AO36" s="439"/>
    </row>
    <row r="37" spans="2:41" s="29" customFormat="1" ht="43.5" customHeight="1" x14ac:dyDescent="0.2">
      <c r="B37" s="24"/>
      <c r="C37" s="84"/>
      <c r="D37" s="8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49">
        <v>1</v>
      </c>
      <c r="AH37" s="150"/>
      <c r="AI37" s="150"/>
      <c r="AJ37" s="151">
        <v>1</v>
      </c>
      <c r="AO37" s="439"/>
    </row>
    <row r="38" spans="2:41" s="29" customFormat="1" ht="61.5" customHeight="1" thickBot="1" x14ac:dyDescent="0.25">
      <c r="B38" s="24"/>
      <c r="C38" s="84"/>
      <c r="D38" s="84"/>
      <c r="J38" s="24"/>
      <c r="K38" s="24"/>
      <c r="L38" s="24"/>
      <c r="M38" s="24"/>
      <c r="N38" s="24"/>
      <c r="O38" s="24"/>
      <c r="P38" s="24"/>
      <c r="Q38" s="24"/>
      <c r="R38" s="24"/>
      <c r="S38" s="24"/>
      <c r="T38" s="24"/>
      <c r="U38" s="24"/>
      <c r="V38" s="24"/>
      <c r="W38" s="24"/>
      <c r="X38" s="24"/>
      <c r="Y38" s="24"/>
      <c r="Z38" s="24"/>
      <c r="AA38" s="24"/>
      <c r="AB38" s="24"/>
      <c r="AC38" s="24"/>
      <c r="AD38" s="24"/>
      <c r="AE38" s="42"/>
      <c r="AG38" s="440"/>
      <c r="AH38" s="441"/>
      <c r="AI38" s="441">
        <v>1</v>
      </c>
      <c r="AJ38" s="442">
        <v>1</v>
      </c>
      <c r="AO38" s="438"/>
    </row>
    <row r="39" spans="2:41" s="29" customFormat="1" ht="70.5" customHeight="1" x14ac:dyDescent="0.2">
      <c r="B39" s="24"/>
      <c r="C39" s="84"/>
      <c r="D39" s="8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440"/>
      <c r="AH39" s="441"/>
      <c r="AI39" s="441"/>
      <c r="AJ39" s="442"/>
      <c r="AO39" s="434" t="s">
        <v>83</v>
      </c>
    </row>
    <row r="40" spans="2:41" s="29" customFormat="1" ht="59.25" customHeight="1" x14ac:dyDescent="0.2">
      <c r="B40" s="24"/>
      <c r="C40" s="84"/>
      <c r="D40" s="8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149">
        <v>1</v>
      </c>
      <c r="AH40" s="150"/>
      <c r="AI40" s="150"/>
      <c r="AJ40" s="151">
        <v>1</v>
      </c>
      <c r="AO40" s="435"/>
    </row>
    <row r="41" spans="2:41" s="29" customFormat="1" ht="122.25" customHeight="1" x14ac:dyDescent="0.2">
      <c r="B41" s="24"/>
      <c r="C41" s="84"/>
      <c r="D41" s="8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149">
        <v>1</v>
      </c>
      <c r="AH41" s="150"/>
      <c r="AI41" s="150"/>
      <c r="AJ41" s="151">
        <v>1</v>
      </c>
      <c r="AO41" s="435"/>
    </row>
    <row r="42" spans="2:41" s="29" customFormat="1" ht="97.5" customHeight="1" x14ac:dyDescent="0.2">
      <c r="B42" s="24"/>
      <c r="C42" s="84"/>
      <c r="D42" s="8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149">
        <v>1</v>
      </c>
      <c r="AH42" s="150"/>
      <c r="AI42" s="150"/>
      <c r="AJ42" s="151">
        <v>1</v>
      </c>
      <c r="AO42" s="435"/>
    </row>
    <row r="43" spans="2:41" s="29" customFormat="1" ht="49.5" customHeight="1" thickBot="1" x14ac:dyDescent="0.25">
      <c r="B43" s="24"/>
      <c r="C43" s="84"/>
      <c r="D43" s="8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149">
        <v>1</v>
      </c>
      <c r="AH43" s="150"/>
      <c r="AI43" s="150"/>
      <c r="AJ43" s="151">
        <v>1</v>
      </c>
      <c r="AO43" s="436"/>
    </row>
    <row r="44" spans="2:41" s="29" customFormat="1" ht="61.5" customHeight="1" x14ac:dyDescent="0.2">
      <c r="B44" s="24"/>
      <c r="C44" s="84"/>
      <c r="D44" s="8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149"/>
      <c r="AH44" s="150">
        <v>1</v>
      </c>
      <c r="AI44" s="150"/>
      <c r="AJ44" s="151">
        <v>1</v>
      </c>
      <c r="AO44" s="434" t="s">
        <v>84</v>
      </c>
    </row>
    <row r="45" spans="2:41" s="29" customFormat="1" ht="44.25" customHeight="1" x14ac:dyDescent="0.2">
      <c r="B45" s="24"/>
      <c r="C45" s="84"/>
      <c r="D45" s="8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49">
        <v>1</v>
      </c>
      <c r="AH45" s="150"/>
      <c r="AI45" s="150"/>
      <c r="AJ45" s="151">
        <v>1</v>
      </c>
      <c r="AO45" s="435"/>
    </row>
    <row r="46" spans="2:41" s="29" customFormat="1" ht="97.5" customHeight="1" x14ac:dyDescent="0.2">
      <c r="B46" s="24"/>
      <c r="C46" s="84"/>
      <c r="D46" s="84"/>
      <c r="J46" s="24"/>
      <c r="K46" s="24"/>
      <c r="L46" s="24"/>
      <c r="M46" s="24"/>
      <c r="N46" s="24"/>
      <c r="O46" s="24"/>
      <c r="P46" s="24"/>
      <c r="Q46" s="24"/>
      <c r="R46" s="24"/>
      <c r="S46" s="24"/>
      <c r="T46" s="24"/>
      <c r="U46" s="24"/>
      <c r="V46" s="24"/>
      <c r="W46" s="24"/>
      <c r="X46" s="24"/>
      <c r="Y46" s="24"/>
      <c r="Z46" s="24"/>
      <c r="AA46" s="24"/>
      <c r="AB46" s="24"/>
      <c r="AC46" s="24"/>
      <c r="AD46" s="24"/>
      <c r="AE46" s="42"/>
      <c r="AG46" s="149">
        <v>1</v>
      </c>
      <c r="AH46" s="150"/>
      <c r="AI46" s="150"/>
      <c r="AJ46" s="151">
        <v>1</v>
      </c>
      <c r="AO46" s="435"/>
    </row>
    <row r="47" spans="2:41" s="29" customFormat="1" ht="54.75" customHeight="1" thickBot="1" x14ac:dyDescent="0.25">
      <c r="B47" s="24"/>
      <c r="C47" s="84"/>
      <c r="D47" s="8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149">
        <v>1</v>
      </c>
      <c r="AH47" s="150"/>
      <c r="AI47" s="150"/>
      <c r="AJ47" s="151">
        <v>1</v>
      </c>
      <c r="AO47" s="436"/>
    </row>
    <row r="48" spans="2:41" s="29" customFormat="1" ht="83.25" customHeight="1" x14ac:dyDescent="0.2">
      <c r="B48" s="24"/>
      <c r="C48" s="84"/>
      <c r="D48" s="8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149">
        <v>1</v>
      </c>
      <c r="AH48" s="150"/>
      <c r="AI48" s="150"/>
      <c r="AJ48" s="151">
        <v>1</v>
      </c>
      <c r="AO48" s="434" t="s">
        <v>75</v>
      </c>
    </row>
    <row r="49" spans="2:41" s="29" customFormat="1" ht="82.5" customHeight="1" x14ac:dyDescent="0.2">
      <c r="B49" s="24"/>
      <c r="C49" s="84"/>
      <c r="D49" s="8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149"/>
      <c r="AH49" s="150"/>
      <c r="AI49" s="150">
        <v>1</v>
      </c>
      <c r="AJ49" s="151">
        <v>1</v>
      </c>
      <c r="AO49" s="435"/>
    </row>
    <row r="50" spans="2:41" s="29" customFormat="1" ht="67.5" customHeight="1" x14ac:dyDescent="0.2">
      <c r="B50" s="24"/>
      <c r="C50" s="84"/>
      <c r="D50" s="8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149"/>
      <c r="AH50" s="150">
        <v>1</v>
      </c>
      <c r="AI50" s="150"/>
      <c r="AJ50" s="151">
        <v>1</v>
      </c>
      <c r="AO50" s="435"/>
    </row>
    <row r="51" spans="2:41" s="29" customFormat="1" ht="65.25" customHeight="1" thickBot="1" x14ac:dyDescent="0.25">
      <c r="B51" s="24"/>
      <c r="C51" s="84"/>
      <c r="D51" s="8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149">
        <v>1</v>
      </c>
      <c r="AH51" s="150"/>
      <c r="AI51" s="150"/>
      <c r="AJ51" s="151">
        <v>1</v>
      </c>
      <c r="AO51" s="436"/>
    </row>
    <row r="52" spans="2:41" s="29" customFormat="1" ht="36.75" customHeight="1" x14ac:dyDescent="0.2">
      <c r="B52" s="24"/>
      <c r="C52" s="84"/>
      <c r="D52" s="8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49"/>
      <c r="AH52" s="150"/>
      <c r="AI52" s="150"/>
      <c r="AJ52" s="151"/>
    </row>
    <row r="53" spans="2:41" s="29" customFormat="1" ht="151.5" customHeight="1" x14ac:dyDescent="0.2">
      <c r="B53" s="24"/>
      <c r="C53" s="84"/>
      <c r="D53" s="84"/>
      <c r="I53" s="24"/>
      <c r="J53" s="24"/>
      <c r="K53" s="24"/>
      <c r="L53" s="24"/>
      <c r="M53" s="24"/>
      <c r="N53" s="24"/>
      <c r="O53" s="24"/>
      <c r="P53" s="24"/>
      <c r="Q53" s="24"/>
      <c r="R53" s="24"/>
      <c r="S53" s="24"/>
      <c r="T53" s="24"/>
      <c r="U53" s="24"/>
      <c r="V53" s="24"/>
      <c r="W53" s="24"/>
      <c r="X53" s="24"/>
      <c r="Y53" s="24"/>
      <c r="Z53" s="24"/>
      <c r="AA53" s="24"/>
      <c r="AB53" s="24"/>
      <c r="AC53" s="24"/>
      <c r="AD53" s="24"/>
      <c r="AE53" s="42"/>
      <c r="AG53" s="149"/>
      <c r="AH53" s="150"/>
      <c r="AI53" s="150">
        <v>1</v>
      </c>
      <c r="AJ53" s="151">
        <v>1</v>
      </c>
    </row>
    <row r="54" spans="2:41" s="29" customFormat="1" ht="100.5" customHeight="1" x14ac:dyDescent="0.2">
      <c r="B54" s="24"/>
      <c r="C54" s="84"/>
      <c r="D54" s="8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149"/>
      <c r="AH54" s="150"/>
      <c r="AI54" s="150">
        <v>1</v>
      </c>
      <c r="AJ54" s="151">
        <v>1</v>
      </c>
    </row>
    <row r="55" spans="2:41" s="29" customFormat="1" ht="113.25" customHeight="1" x14ac:dyDescent="0.2">
      <c r="B55" s="24"/>
      <c r="C55" s="84"/>
      <c r="D55" s="8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149"/>
      <c r="AH55" s="150">
        <v>1</v>
      </c>
      <c r="AI55" s="150"/>
      <c r="AJ55" s="151">
        <v>1</v>
      </c>
    </row>
    <row r="56" spans="2:41" ht="54.75" customHeight="1" x14ac:dyDescent="0.2">
      <c r="C56" s="84"/>
      <c r="D56" s="84"/>
      <c r="AE56" s="42"/>
      <c r="AF56" s="29"/>
      <c r="AG56" s="34"/>
      <c r="AH56" s="30">
        <v>1</v>
      </c>
      <c r="AI56" s="30"/>
      <c r="AJ56" s="35">
        <v>1</v>
      </c>
    </row>
    <row r="57" spans="2:41" ht="45.75" customHeight="1" x14ac:dyDescent="0.2">
      <c r="C57" s="84"/>
      <c r="D57" s="84"/>
      <c r="AE57" s="42"/>
      <c r="AF57" s="29"/>
      <c r="AG57" s="34"/>
      <c r="AH57" s="30">
        <v>1</v>
      </c>
      <c r="AI57" s="30"/>
      <c r="AJ57" s="35">
        <v>1</v>
      </c>
    </row>
    <row r="58" spans="2:41" ht="54.75" customHeight="1" x14ac:dyDescent="0.2">
      <c r="C58" s="84"/>
      <c r="D58" s="84"/>
      <c r="AE58" s="42"/>
      <c r="AF58" s="29"/>
      <c r="AG58" s="34"/>
      <c r="AH58" s="30">
        <v>1</v>
      </c>
      <c r="AI58" s="30"/>
      <c r="AJ58" s="35">
        <v>1</v>
      </c>
    </row>
    <row r="59" spans="2:41" ht="201.75" customHeight="1" x14ac:dyDescent="0.2">
      <c r="C59" s="84"/>
      <c r="D59" s="84"/>
      <c r="AE59" s="42"/>
      <c r="AF59" s="29"/>
      <c r="AG59" s="34"/>
      <c r="AH59" s="30">
        <v>1</v>
      </c>
      <c r="AI59" s="30"/>
      <c r="AJ59" s="35">
        <v>1</v>
      </c>
    </row>
    <row r="60" spans="2:41" ht="125.25" customHeight="1" x14ac:dyDescent="0.2">
      <c r="C60" s="84"/>
      <c r="D60" s="84"/>
      <c r="AE60" s="42"/>
      <c r="AF60" s="29"/>
      <c r="AG60" s="34"/>
      <c r="AH60" s="30">
        <v>1</v>
      </c>
      <c r="AI60" s="30"/>
      <c r="AJ60" s="35">
        <v>1</v>
      </c>
    </row>
    <row r="61" spans="2:41" ht="112.5" customHeight="1" thickBot="1" x14ac:dyDescent="0.25">
      <c r="C61" s="84"/>
      <c r="D61" s="84"/>
      <c r="AE61" s="42"/>
      <c r="AG61" s="36">
        <f>SUM(AG9:AG56)</f>
        <v>23</v>
      </c>
      <c r="AH61" s="37">
        <f>SUM(AH9:AH60)</f>
        <v>18</v>
      </c>
      <c r="AI61" s="37">
        <f>SUM(AI9:AI60)</f>
        <v>5</v>
      </c>
      <c r="AJ61" s="38">
        <f>SUM(AJ9:AJ60)</f>
        <v>46</v>
      </c>
    </row>
    <row r="62" spans="2:41" ht="94.5" customHeight="1" x14ac:dyDescent="0.2">
      <c r="C62" s="84"/>
      <c r="D62" s="84"/>
      <c r="AE62" s="42"/>
    </row>
    <row r="63" spans="2:41" ht="100.5" customHeight="1" x14ac:dyDescent="0.2">
      <c r="C63" s="84"/>
      <c r="D63" s="84"/>
      <c r="AE63" s="42"/>
    </row>
    <row r="64" spans="2:41" ht="226.5" customHeight="1" x14ac:dyDescent="0.2">
      <c r="C64" s="84"/>
      <c r="D64" s="84"/>
      <c r="AE64" s="42"/>
    </row>
    <row r="65" spans="3:31" ht="67.5" customHeight="1" x14ac:dyDescent="0.2">
      <c r="C65" s="84"/>
      <c r="D65" s="84"/>
      <c r="AE65" s="42"/>
    </row>
    <row r="66" spans="3:31" ht="90.75" customHeight="1" x14ac:dyDescent="0.2">
      <c r="C66" s="84"/>
      <c r="D66" s="84"/>
      <c r="AE66" s="42"/>
    </row>
    <row r="67" spans="3:31" ht="75" customHeight="1" x14ac:dyDescent="0.2">
      <c r="C67" s="84"/>
      <c r="D67" s="84"/>
      <c r="AE67" s="42"/>
    </row>
    <row r="68" spans="3:31" x14ac:dyDescent="0.2">
      <c r="C68" s="84"/>
      <c r="D68" s="84"/>
      <c r="AE68" s="42"/>
    </row>
    <row r="69" spans="3:31" ht="43.5" customHeight="1" x14ac:dyDescent="0.2">
      <c r="C69" s="84"/>
      <c r="D69" s="84"/>
      <c r="AE69" s="42"/>
    </row>
    <row r="70" spans="3:31" ht="49.5" customHeight="1" x14ac:dyDescent="0.2">
      <c r="C70" s="84"/>
      <c r="D70" s="84"/>
      <c r="AE70" s="42"/>
    </row>
    <row r="71" spans="3:31" ht="232.5" customHeight="1" x14ac:dyDescent="0.2">
      <c r="C71" s="84"/>
      <c r="D71" s="84"/>
      <c r="H71" s="84"/>
      <c r="I71" s="84"/>
      <c r="AE71" s="42"/>
    </row>
    <row r="72" spans="3:31" x14ac:dyDescent="0.2">
      <c r="C72" s="84"/>
      <c r="D72" s="84"/>
      <c r="AE72" s="42"/>
    </row>
    <row r="73" spans="3:31" ht="241.5" customHeight="1" x14ac:dyDescent="0.2">
      <c r="C73" s="84"/>
      <c r="D73" s="84"/>
      <c r="AE73" s="42"/>
    </row>
    <row r="74" spans="3:31" x14ac:dyDescent="0.2">
      <c r="AE74" s="42"/>
    </row>
    <row r="75" spans="3:31" x14ac:dyDescent="0.2">
      <c r="AE75" s="42"/>
    </row>
    <row r="76" spans="3:31" x14ac:dyDescent="0.2">
      <c r="AE76" s="42"/>
    </row>
    <row r="77" spans="3:31" x14ac:dyDescent="0.2">
      <c r="AE77" s="42"/>
    </row>
  </sheetData>
  <autoFilter ref="B8:AC13"/>
  <mergeCells count="56">
    <mergeCell ref="B5:AE5"/>
    <mergeCell ref="B2:AE2"/>
    <mergeCell ref="B3:F3"/>
    <mergeCell ref="G3:N3"/>
    <mergeCell ref="O3:T3"/>
    <mergeCell ref="U3:AA3"/>
    <mergeCell ref="AB3:AE3"/>
    <mergeCell ref="B4:F4"/>
    <mergeCell ref="G4:N4"/>
    <mergeCell ref="O4:T4"/>
    <mergeCell ref="U4:AA4"/>
    <mergeCell ref="AB4:AE4"/>
    <mergeCell ref="B6:I6"/>
    <mergeCell ref="J6:N7"/>
    <mergeCell ref="O6:P6"/>
    <mergeCell ref="Q6:U7"/>
    <mergeCell ref="V6:AE6"/>
    <mergeCell ref="B7:B8"/>
    <mergeCell ref="C7:C8"/>
    <mergeCell ref="D7:D8"/>
    <mergeCell ref="O7:P7"/>
    <mergeCell ref="V7:Y7"/>
    <mergeCell ref="Z7:AD7"/>
    <mergeCell ref="AE7:AE8"/>
    <mergeCell ref="AG7:AJ7"/>
    <mergeCell ref="B9:B13"/>
    <mergeCell ref="AE9:AE13"/>
    <mergeCell ref="AO23:AO28"/>
    <mergeCell ref="AO15:AO22"/>
    <mergeCell ref="F16:G16"/>
    <mergeCell ref="H16:I16"/>
    <mergeCell ref="M16:N16"/>
    <mergeCell ref="O16:P16"/>
    <mergeCell ref="F17:G17"/>
    <mergeCell ref="H17:I17"/>
    <mergeCell ref="M17:N17"/>
    <mergeCell ref="O17:P17"/>
    <mergeCell ref="F18:G18"/>
    <mergeCell ref="H15:K15"/>
    <mergeCell ref="M15:P15"/>
    <mergeCell ref="H18:I18"/>
    <mergeCell ref="M18:N18"/>
    <mergeCell ref="O18:P18"/>
    <mergeCell ref="F19:G19"/>
    <mergeCell ref="H19:I19"/>
    <mergeCell ref="H20:I20"/>
    <mergeCell ref="AO44:AO47"/>
    <mergeCell ref="AO48:AO51"/>
    <mergeCell ref="AO29:AO32"/>
    <mergeCell ref="AO33:AO34"/>
    <mergeCell ref="AO35:AO38"/>
    <mergeCell ref="AG38:AG39"/>
    <mergeCell ref="AH38:AH39"/>
    <mergeCell ref="AI38:AI39"/>
    <mergeCell ref="AJ38:AJ39"/>
    <mergeCell ref="AO39:AO43"/>
  </mergeCells>
  <conditionalFormatting sqref="N9:P9 N10 P10 N11:P13">
    <cfRule type="cellIs" dxfId="83" priority="21" operator="equal">
      <formula>5</formula>
    </cfRule>
    <cfRule type="cellIs" priority="22" operator="equal">
      <formula>5</formula>
    </cfRule>
    <cfRule type="cellIs" dxfId="82" priority="23" operator="between">
      <formula>6</formula>
      <formula>30</formula>
    </cfRule>
    <cfRule type="cellIs" dxfId="81" priority="24" operator="between">
      <formula>31</formula>
      <formula>60</formula>
    </cfRule>
  </conditionalFormatting>
  <conditionalFormatting sqref="N9:P9 N10 P10 N11:P13">
    <cfRule type="containsErrors" dxfId="80" priority="20">
      <formula>ISERROR(N9)</formula>
    </cfRule>
  </conditionalFormatting>
  <conditionalFormatting sqref="J9:J13">
    <cfRule type="containsText" dxfId="79" priority="19" operator="containsText" text="N/A">
      <formula>NOT(ISERROR(SEARCH("N/A",J9)))</formula>
    </cfRule>
  </conditionalFormatting>
  <conditionalFormatting sqref="L9:L13">
    <cfRule type="containsText" dxfId="78" priority="18" operator="containsText" text="N/A">
      <formula>NOT(ISERROR(SEARCH("N/A",L9)))</formula>
    </cfRule>
  </conditionalFormatting>
  <conditionalFormatting sqref="V9:Y13">
    <cfRule type="containsErrors" dxfId="77" priority="17">
      <formula>ISERROR(V9)</formula>
    </cfRule>
  </conditionalFormatting>
  <conditionalFormatting sqref="U9:U13">
    <cfRule type="cellIs" dxfId="76" priority="13" operator="equal">
      <formula>5</formula>
    </cfRule>
    <cfRule type="cellIs" priority="14" operator="equal">
      <formula>5</formula>
    </cfRule>
    <cfRule type="cellIs" dxfId="75" priority="15" operator="between">
      <formula>6</formula>
      <formula>30</formula>
    </cfRule>
    <cfRule type="cellIs" dxfId="74" priority="16" operator="between">
      <formula>31</formula>
      <formula>60</formula>
    </cfRule>
  </conditionalFormatting>
  <conditionalFormatting sqref="U9:U13">
    <cfRule type="containsErrors" dxfId="73" priority="12">
      <formula>ISERROR(U9)</formula>
    </cfRule>
  </conditionalFormatting>
  <conditionalFormatting sqref="Q9:Q13">
    <cfRule type="containsText" dxfId="72" priority="11" operator="containsText" text="N/A">
      <formula>NOT(ISERROR(SEARCH("N/A",Q9)))</formula>
    </cfRule>
  </conditionalFormatting>
  <conditionalFormatting sqref="S9:S13">
    <cfRule type="containsText" dxfId="71" priority="10" operator="containsText" text="N/A">
      <formula>NOT(ISERROR(SEARCH("N/A",S9)))</formula>
    </cfRule>
  </conditionalFormatting>
  <conditionalFormatting sqref="M17 O17">
    <cfRule type="cellIs" dxfId="70" priority="6" operator="equal">
      <formula>5</formula>
    </cfRule>
    <cfRule type="cellIs" priority="7" operator="equal">
      <formula>5</formula>
    </cfRule>
    <cfRule type="cellIs" dxfId="69" priority="8" operator="between">
      <formula>6</formula>
      <formula>30</formula>
    </cfRule>
    <cfRule type="cellIs" dxfId="68" priority="9" operator="between">
      <formula>31</formula>
      <formula>60</formula>
    </cfRule>
  </conditionalFormatting>
  <conditionalFormatting sqref="M17 O17">
    <cfRule type="containsErrors" dxfId="67" priority="5">
      <formula>ISERROR(M17)</formula>
    </cfRule>
  </conditionalFormatting>
  <conditionalFormatting sqref="K9:K13">
    <cfRule type="containsText" dxfId="66" priority="4" operator="containsText" text="N/A">
      <formula>NOT(ISERROR(SEARCH("N/A",K9)))</formula>
    </cfRule>
  </conditionalFormatting>
  <conditionalFormatting sqref="M9:M13">
    <cfRule type="containsText" dxfId="65" priority="3" operator="containsText" text="N/A">
      <formula>NOT(ISERROR(SEARCH("N/A",M9)))</formula>
    </cfRule>
  </conditionalFormatting>
  <conditionalFormatting sqref="R9:R13">
    <cfRule type="containsText" dxfId="64" priority="2" operator="containsText" text="N/A">
      <formula>NOT(ISERROR(SEARCH("N/A",R9)))</formula>
    </cfRule>
  </conditionalFormatting>
  <conditionalFormatting sqref="T9:T13">
    <cfRule type="containsText" dxfId="63" priority="1" operator="containsText" text="N/A">
      <formula>NOT(ISERROR(SEARCH("N/A",T9)))</formula>
    </cfRule>
  </conditionalFormatting>
  <dataValidations count="4">
    <dataValidation type="list" allowBlank="1" showInputMessage="1" showErrorMessage="1" sqref="J9:J13 Q9:Q13">
      <formula1>$AK$8:$AK$11</formula1>
    </dataValidation>
    <dataValidation type="list" allowBlank="1" showInputMessage="1" showErrorMessage="1" sqref="L9:L13 S9:S13">
      <formula1>$AL$8:$AL$11</formula1>
    </dataValidation>
    <dataValidation type="list" allowBlank="1" showInputMessage="1" showErrorMessage="1" sqref="C9:C13">
      <formula1>$AM$8:$AM$9</formula1>
    </dataValidation>
    <dataValidation type="list" allowBlank="1" showInputMessage="1" showErrorMessage="1" sqref="D9:D13">
      <formula1>$AN$8:$AN$13</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B1:AO78"/>
  <sheetViews>
    <sheetView showGridLines="0" view="pageBreakPreview" topLeftCell="A12" zoomScale="50" zoomScaleNormal="25" zoomScaleSheetLayoutView="50" zoomScalePageLayoutView="75" workbookViewId="0">
      <selection activeCell="AD11" sqref="AD11"/>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72" t="s">
        <v>111</v>
      </c>
      <c r="C2" s="373"/>
      <c r="D2" s="373"/>
      <c r="E2" s="373"/>
      <c r="F2" s="373"/>
      <c r="G2" s="373"/>
      <c r="H2" s="373"/>
      <c r="I2" s="373"/>
      <c r="J2" s="373"/>
      <c r="K2" s="373"/>
      <c r="L2" s="373"/>
      <c r="M2" s="373"/>
      <c r="N2" s="373"/>
      <c r="O2" s="373"/>
      <c r="P2" s="373"/>
      <c r="Q2" s="373"/>
      <c r="R2" s="373"/>
      <c r="S2" s="373"/>
      <c r="T2" s="373"/>
      <c r="U2" s="373"/>
      <c r="V2" s="373"/>
      <c r="W2" s="373"/>
      <c r="X2" s="373"/>
      <c r="Y2" s="373"/>
      <c r="Z2" s="373"/>
      <c r="AA2" s="373"/>
      <c r="AB2" s="373"/>
      <c r="AC2" s="373"/>
      <c r="AD2" s="373"/>
      <c r="AE2" s="373"/>
      <c r="AF2" s="31"/>
    </row>
    <row r="3" spans="2:41" s="29" customFormat="1" ht="66" customHeight="1" thickBot="1" x14ac:dyDescent="0.25">
      <c r="B3" s="374" t="s">
        <v>39</v>
      </c>
      <c r="C3" s="375"/>
      <c r="D3" s="375"/>
      <c r="E3" s="375"/>
      <c r="F3" s="375"/>
      <c r="G3" s="374" t="s">
        <v>110</v>
      </c>
      <c r="H3" s="375"/>
      <c r="I3" s="375"/>
      <c r="J3" s="375"/>
      <c r="K3" s="375"/>
      <c r="L3" s="375"/>
      <c r="M3" s="375"/>
      <c r="N3" s="376"/>
      <c r="O3" s="374" t="s">
        <v>109</v>
      </c>
      <c r="P3" s="375"/>
      <c r="Q3" s="375"/>
      <c r="R3" s="375"/>
      <c r="S3" s="375"/>
      <c r="T3" s="376"/>
      <c r="U3" s="374" t="s">
        <v>40</v>
      </c>
      <c r="V3" s="375"/>
      <c r="W3" s="375"/>
      <c r="X3" s="375"/>
      <c r="Y3" s="375"/>
      <c r="Z3" s="375"/>
      <c r="AA3" s="376"/>
      <c r="AB3" s="374" t="s">
        <v>37</v>
      </c>
      <c r="AC3" s="375"/>
      <c r="AD3" s="375"/>
      <c r="AE3" s="376"/>
      <c r="AF3" s="32"/>
    </row>
    <row r="4" spans="2:41" s="29" customFormat="1" ht="72" customHeight="1" thickBot="1" x14ac:dyDescent="0.25">
      <c r="B4" s="377" t="s">
        <v>38</v>
      </c>
      <c r="C4" s="378"/>
      <c r="D4" s="378"/>
      <c r="E4" s="378"/>
      <c r="F4" s="378"/>
      <c r="G4" s="379">
        <v>42874</v>
      </c>
      <c r="H4" s="380"/>
      <c r="I4" s="380"/>
      <c r="J4" s="380"/>
      <c r="K4" s="380"/>
      <c r="L4" s="380"/>
      <c r="M4" s="380"/>
      <c r="N4" s="381"/>
      <c r="O4" s="382">
        <v>43700</v>
      </c>
      <c r="P4" s="383"/>
      <c r="Q4" s="383"/>
      <c r="R4" s="383"/>
      <c r="S4" s="383"/>
      <c r="T4" s="384"/>
      <c r="U4" s="377">
        <v>4</v>
      </c>
      <c r="V4" s="378"/>
      <c r="W4" s="378"/>
      <c r="X4" s="378"/>
      <c r="Y4" s="378"/>
      <c r="Z4" s="378"/>
      <c r="AA4" s="385"/>
      <c r="AB4" s="377" t="s">
        <v>52</v>
      </c>
      <c r="AC4" s="378"/>
      <c r="AD4" s="378"/>
      <c r="AE4" s="385"/>
      <c r="AF4" s="191"/>
    </row>
    <row r="5" spans="2:41" s="29" customFormat="1" ht="32.1" customHeight="1" thickBot="1" x14ac:dyDescent="0.25">
      <c r="B5" s="370" t="s">
        <v>687</v>
      </c>
      <c r="C5" s="371"/>
      <c r="D5" s="371"/>
      <c r="E5" s="371"/>
      <c r="F5" s="371"/>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191"/>
    </row>
    <row r="6" spans="2:41" s="29" customFormat="1" ht="54.95" customHeight="1" thickBot="1" x14ac:dyDescent="0.25">
      <c r="B6" s="396" t="s">
        <v>0</v>
      </c>
      <c r="C6" s="397"/>
      <c r="D6" s="397"/>
      <c r="E6" s="397"/>
      <c r="F6" s="397"/>
      <c r="G6" s="397"/>
      <c r="H6" s="397"/>
      <c r="I6" s="398"/>
      <c r="J6" s="399" t="s">
        <v>62</v>
      </c>
      <c r="K6" s="400"/>
      <c r="L6" s="400"/>
      <c r="M6" s="400"/>
      <c r="N6" s="401"/>
      <c r="O6" s="405" t="s">
        <v>94</v>
      </c>
      <c r="P6" s="406"/>
      <c r="Q6" s="407" t="s">
        <v>63</v>
      </c>
      <c r="R6" s="408"/>
      <c r="S6" s="408"/>
      <c r="T6" s="408"/>
      <c r="U6" s="409"/>
      <c r="V6" s="413" t="s">
        <v>58</v>
      </c>
      <c r="W6" s="414"/>
      <c r="X6" s="414"/>
      <c r="Y6" s="414"/>
      <c r="Z6" s="414"/>
      <c r="AA6" s="414"/>
      <c r="AB6" s="414"/>
      <c r="AC6" s="414"/>
      <c r="AD6" s="414"/>
      <c r="AE6" s="415"/>
    </row>
    <row r="7" spans="2:41" s="29" customFormat="1" ht="90" customHeight="1" thickBot="1" x14ac:dyDescent="0.25">
      <c r="B7" s="416" t="s">
        <v>8</v>
      </c>
      <c r="C7" s="417" t="s">
        <v>60</v>
      </c>
      <c r="D7" s="417" t="s">
        <v>91</v>
      </c>
      <c r="E7" s="77" t="s">
        <v>61</v>
      </c>
      <c r="F7" s="43" t="s">
        <v>9</v>
      </c>
      <c r="G7" s="43" t="s">
        <v>104</v>
      </c>
      <c r="H7" s="43" t="s">
        <v>10</v>
      </c>
      <c r="I7" s="96" t="s">
        <v>59</v>
      </c>
      <c r="J7" s="402"/>
      <c r="K7" s="403"/>
      <c r="L7" s="403"/>
      <c r="M7" s="403"/>
      <c r="N7" s="404"/>
      <c r="O7" s="419" t="s">
        <v>103</v>
      </c>
      <c r="P7" s="420"/>
      <c r="Q7" s="410"/>
      <c r="R7" s="411"/>
      <c r="S7" s="411"/>
      <c r="T7" s="411"/>
      <c r="U7" s="412"/>
      <c r="V7" s="421" t="s">
        <v>96</v>
      </c>
      <c r="W7" s="422"/>
      <c r="X7" s="422"/>
      <c r="Y7" s="423"/>
      <c r="Z7" s="461" t="s">
        <v>53</v>
      </c>
      <c r="AA7" s="462"/>
      <c r="AB7" s="462"/>
      <c r="AC7" s="462"/>
      <c r="AD7" s="463"/>
      <c r="AE7" s="431" t="s">
        <v>25</v>
      </c>
      <c r="AG7" s="386" t="s">
        <v>45</v>
      </c>
      <c r="AH7" s="386"/>
      <c r="AI7" s="386"/>
      <c r="AJ7" s="386"/>
      <c r="AK7" s="29" t="s">
        <v>67</v>
      </c>
      <c r="AL7" s="29" t="s">
        <v>68</v>
      </c>
    </row>
    <row r="8" spans="2:41" s="29" customFormat="1" ht="202.5" customHeight="1" thickBot="1" x14ac:dyDescent="0.25">
      <c r="B8" s="416"/>
      <c r="C8" s="418"/>
      <c r="D8" s="418"/>
      <c r="E8" s="78" t="s">
        <v>7</v>
      </c>
      <c r="F8" s="23" t="s">
        <v>64</v>
      </c>
      <c r="G8" s="23" t="s">
        <v>13</v>
      </c>
      <c r="H8" s="23" t="s">
        <v>65</v>
      </c>
      <c r="I8" s="23" t="s">
        <v>66</v>
      </c>
      <c r="J8" s="97" t="s">
        <v>11</v>
      </c>
      <c r="K8" s="103" t="s">
        <v>12</v>
      </c>
      <c r="L8" s="98" t="s">
        <v>1</v>
      </c>
      <c r="M8" s="98" t="s">
        <v>2</v>
      </c>
      <c r="N8" s="107" t="s">
        <v>95</v>
      </c>
      <c r="O8" s="105" t="s">
        <v>92</v>
      </c>
      <c r="P8" s="106" t="s">
        <v>93</v>
      </c>
      <c r="Q8" s="102" t="s">
        <v>11</v>
      </c>
      <c r="R8" s="103" t="s">
        <v>12</v>
      </c>
      <c r="S8" s="103" t="s">
        <v>1</v>
      </c>
      <c r="T8" s="103" t="s">
        <v>2</v>
      </c>
      <c r="U8" s="104" t="s">
        <v>102</v>
      </c>
      <c r="V8" s="99" t="s">
        <v>97</v>
      </c>
      <c r="W8" s="100" t="s">
        <v>98</v>
      </c>
      <c r="X8" s="100" t="s">
        <v>99</v>
      </c>
      <c r="Y8" s="101" t="s">
        <v>100</v>
      </c>
      <c r="Z8" s="53" t="s">
        <v>54</v>
      </c>
      <c r="AA8" s="54" t="s">
        <v>55</v>
      </c>
      <c r="AB8" s="55" t="s">
        <v>56</v>
      </c>
      <c r="AC8" s="54" t="s">
        <v>57</v>
      </c>
      <c r="AD8" s="109" t="s">
        <v>101</v>
      </c>
      <c r="AE8" s="432"/>
      <c r="AG8" s="74" t="s">
        <v>41</v>
      </c>
      <c r="AH8" s="75" t="s">
        <v>42</v>
      </c>
      <c r="AI8" s="75" t="s">
        <v>43</v>
      </c>
      <c r="AJ8" s="76" t="s">
        <v>44</v>
      </c>
      <c r="AK8" s="87" t="s">
        <v>85</v>
      </c>
      <c r="AL8" s="87" t="s">
        <v>85</v>
      </c>
      <c r="AM8" s="29" t="s">
        <v>71</v>
      </c>
      <c r="AN8" s="29" t="s">
        <v>72</v>
      </c>
      <c r="AO8" s="92"/>
    </row>
    <row r="9" spans="2:41" s="29" customFormat="1" ht="251.25" customHeight="1" x14ac:dyDescent="0.2">
      <c r="B9" s="387" t="s">
        <v>73</v>
      </c>
      <c r="C9" s="79" t="s">
        <v>71</v>
      </c>
      <c r="D9" s="95" t="s">
        <v>77</v>
      </c>
      <c r="E9" s="46" t="s">
        <v>420</v>
      </c>
      <c r="F9" s="117" t="s">
        <v>421</v>
      </c>
      <c r="G9" s="117" t="s">
        <v>422</v>
      </c>
      <c r="H9" s="117" t="s">
        <v>423</v>
      </c>
      <c r="I9" s="117" t="s">
        <v>424</v>
      </c>
      <c r="J9" s="88">
        <v>2</v>
      </c>
      <c r="K9" s="88" t="str">
        <f>IF(J9=3,"ALTO",IF(J9=2,"MEDIO",IF(J9="N/A","N/A","BAJO")))</f>
        <v>MEDIO</v>
      </c>
      <c r="L9" s="44">
        <v>20</v>
      </c>
      <c r="M9" s="57" t="str">
        <f>IF(L9=20,"ALTO",IF(L9=10,"MEDIO",IF(L9="N/A","N/A","BAJO")))</f>
        <v>ALTO</v>
      </c>
      <c r="N9" s="90">
        <f>J9*L9</f>
        <v>40</v>
      </c>
      <c r="O9" s="121" t="s">
        <v>425</v>
      </c>
      <c r="P9" s="121" t="s">
        <v>677</v>
      </c>
      <c r="Q9" s="88">
        <v>1</v>
      </c>
      <c r="R9" s="88" t="str">
        <f>IF(Q9=3,"ALTO",IF(Q9=2,"MEDIO",IF(Q9="N/A","N/A","BAJO")))</f>
        <v>BAJO</v>
      </c>
      <c r="S9" s="88">
        <v>20</v>
      </c>
      <c r="T9" s="44" t="str">
        <f>IF(S9=20,"ALTO",IF(S9=10,"MEDIO",IF(S9="N/A","N/A","BAJO")))</f>
        <v>ALTO</v>
      </c>
      <c r="U9" s="108">
        <f>Q9*S9</f>
        <v>20</v>
      </c>
      <c r="V9" s="59"/>
      <c r="W9" s="59" t="s">
        <v>118</v>
      </c>
      <c r="X9" s="59"/>
      <c r="Y9" s="59"/>
      <c r="Z9" s="122" t="s">
        <v>426</v>
      </c>
      <c r="AA9" s="123" t="s">
        <v>428</v>
      </c>
      <c r="AB9" s="124" t="s">
        <v>429</v>
      </c>
      <c r="AC9" s="124" t="s">
        <v>430</v>
      </c>
      <c r="AD9" s="117" t="s">
        <v>678</v>
      </c>
      <c r="AE9" s="390">
        <v>43819</v>
      </c>
      <c r="AG9" s="51">
        <v>1</v>
      </c>
      <c r="AH9" s="52"/>
      <c r="AI9" s="52"/>
      <c r="AJ9" s="50">
        <f>SUM(AG9:AI9)</f>
        <v>1</v>
      </c>
      <c r="AK9" s="29">
        <v>1</v>
      </c>
      <c r="AL9" s="29">
        <v>5</v>
      </c>
      <c r="AM9" s="29" t="s">
        <v>74</v>
      </c>
      <c r="AN9" s="29" t="s">
        <v>76</v>
      </c>
      <c r="AO9" s="93"/>
    </row>
    <row r="10" spans="2:41" s="29" customFormat="1" ht="209.25" customHeight="1" x14ac:dyDescent="0.2">
      <c r="B10" s="388"/>
      <c r="C10" s="80" t="s">
        <v>71</v>
      </c>
      <c r="D10" s="262" t="s">
        <v>77</v>
      </c>
      <c r="E10" s="285" t="s">
        <v>431</v>
      </c>
      <c r="F10" s="159" t="s">
        <v>432</v>
      </c>
      <c r="G10" s="159" t="s">
        <v>433</v>
      </c>
      <c r="H10" s="118" t="s">
        <v>434</v>
      </c>
      <c r="I10" s="159" t="s">
        <v>435</v>
      </c>
      <c r="J10" s="88">
        <v>3</v>
      </c>
      <c r="K10" s="57" t="str">
        <f t="shared" ref="K10:K14" si="0">IF(J10=3,"ALTO",IF(J10=2,"MEDIO",IF(J10="N/A","N/A","BAJO")))</f>
        <v>ALTO</v>
      </c>
      <c r="L10" s="57">
        <v>10</v>
      </c>
      <c r="M10" s="57" t="str">
        <f t="shared" ref="M10:M14" si="1">IF(L10=20,"ALTO",IF(L10=10,"MEDIO",IF(L10="N/A","N/A","BAJO")))</f>
        <v>MEDIO</v>
      </c>
      <c r="N10" s="89">
        <f t="shared" ref="N10:N14" si="2">J10*L10</f>
        <v>30</v>
      </c>
      <c r="O10" s="132" t="s">
        <v>436</v>
      </c>
      <c r="P10" s="132" t="s">
        <v>679</v>
      </c>
      <c r="Q10" s="88">
        <v>1</v>
      </c>
      <c r="R10" s="88" t="str">
        <f t="shared" ref="R10:R14" si="3">IF(Q10=3,"ALTO",IF(Q10=2,"MEDIO",IF(Q10="N/A","N/A","BAJO")))</f>
        <v>BAJO</v>
      </c>
      <c r="S10" s="57">
        <v>5</v>
      </c>
      <c r="T10" s="88" t="str">
        <f t="shared" ref="T10:T14" si="4">IF(S10=20,"ALTO",IF(S10=10,"MEDIO",IF(S10="N/A","N/A","BAJO")))</f>
        <v>BAJO</v>
      </c>
      <c r="U10" s="89">
        <f t="shared" ref="U10:U14" si="5">Q10*S10</f>
        <v>5</v>
      </c>
      <c r="V10" s="59"/>
      <c r="W10" s="59" t="s">
        <v>118</v>
      </c>
      <c r="X10" s="59"/>
      <c r="Y10" s="59"/>
      <c r="Z10" s="283" t="s">
        <v>680</v>
      </c>
      <c r="AA10" s="118" t="s">
        <v>681</v>
      </c>
      <c r="AB10" s="283" t="s">
        <v>427</v>
      </c>
      <c r="AC10" s="284" t="s">
        <v>437</v>
      </c>
      <c r="AD10" s="128" t="s">
        <v>984</v>
      </c>
      <c r="AE10" s="391"/>
      <c r="AG10" s="188"/>
      <c r="AH10" s="189">
        <v>1</v>
      </c>
      <c r="AI10" s="189"/>
      <c r="AJ10" s="190">
        <f t="shared" ref="AJ10:AJ26" si="6">SUM(AG10:AI10)</f>
        <v>1</v>
      </c>
      <c r="AK10" s="29">
        <v>2</v>
      </c>
      <c r="AL10" s="29">
        <v>10</v>
      </c>
      <c r="AN10" s="29" t="s">
        <v>77</v>
      </c>
      <c r="AO10" s="93"/>
    </row>
    <row r="11" spans="2:41" s="29" customFormat="1" ht="161.25" customHeight="1" x14ac:dyDescent="0.2">
      <c r="B11" s="388"/>
      <c r="C11" s="80" t="s">
        <v>71</v>
      </c>
      <c r="D11" s="253" t="s">
        <v>77</v>
      </c>
      <c r="E11" s="289" t="s">
        <v>438</v>
      </c>
      <c r="F11" s="128" t="s">
        <v>439</v>
      </c>
      <c r="G11" s="128" t="s">
        <v>440</v>
      </c>
      <c r="H11" s="118" t="s">
        <v>441</v>
      </c>
      <c r="I11" s="128" t="s">
        <v>442</v>
      </c>
      <c r="J11" s="88">
        <v>2</v>
      </c>
      <c r="K11" s="57" t="str">
        <f t="shared" si="0"/>
        <v>MEDIO</v>
      </c>
      <c r="L11" s="57">
        <v>10</v>
      </c>
      <c r="M11" s="57" t="str">
        <f t="shared" si="1"/>
        <v>MEDIO</v>
      </c>
      <c r="N11" s="89">
        <f t="shared" si="2"/>
        <v>20</v>
      </c>
      <c r="O11" s="132" t="s">
        <v>443</v>
      </c>
      <c r="P11" s="132" t="s">
        <v>682</v>
      </c>
      <c r="Q11" s="88">
        <v>2</v>
      </c>
      <c r="R11" s="88" t="str">
        <f t="shared" si="3"/>
        <v>MEDIO</v>
      </c>
      <c r="S11" s="57">
        <v>5</v>
      </c>
      <c r="T11" s="88" t="str">
        <f t="shared" si="4"/>
        <v>BAJO</v>
      </c>
      <c r="U11" s="89">
        <f t="shared" si="5"/>
        <v>10</v>
      </c>
      <c r="V11" s="59"/>
      <c r="W11" s="59" t="s">
        <v>118</v>
      </c>
      <c r="X11" s="59"/>
      <c r="Y11" s="59"/>
      <c r="Z11" s="125" t="s">
        <v>444</v>
      </c>
      <c r="AA11" s="286" t="s">
        <v>445</v>
      </c>
      <c r="AB11" s="287" t="s">
        <v>427</v>
      </c>
      <c r="AC11" s="288" t="s">
        <v>446</v>
      </c>
      <c r="AD11" s="128" t="s">
        <v>447</v>
      </c>
      <c r="AE11" s="391"/>
      <c r="AG11" s="188">
        <v>1</v>
      </c>
      <c r="AH11" s="189"/>
      <c r="AI11" s="189"/>
      <c r="AJ11" s="190">
        <f t="shared" si="6"/>
        <v>1</v>
      </c>
      <c r="AK11" s="29">
        <v>3</v>
      </c>
      <c r="AL11" s="29">
        <v>20</v>
      </c>
      <c r="AN11" s="29" t="s">
        <v>88</v>
      </c>
      <c r="AO11" s="93"/>
    </row>
    <row r="12" spans="2:41" s="29" customFormat="1" ht="161.25" customHeight="1" x14ac:dyDescent="0.2">
      <c r="B12" s="388"/>
      <c r="C12" s="156" t="s">
        <v>71</v>
      </c>
      <c r="D12" s="262" t="s">
        <v>77</v>
      </c>
      <c r="E12" s="295" t="s">
        <v>448</v>
      </c>
      <c r="F12" s="128" t="s">
        <v>449</v>
      </c>
      <c r="G12" s="128" t="s">
        <v>450</v>
      </c>
      <c r="H12" s="118" t="s">
        <v>441</v>
      </c>
      <c r="I12" s="164" t="s">
        <v>451</v>
      </c>
      <c r="J12" s="57">
        <v>2</v>
      </c>
      <c r="K12" s="57" t="str">
        <f t="shared" si="0"/>
        <v>MEDIO</v>
      </c>
      <c r="L12" s="57">
        <v>20</v>
      </c>
      <c r="M12" s="57" t="str">
        <f t="shared" si="1"/>
        <v>ALTO</v>
      </c>
      <c r="N12" s="89">
        <f t="shared" si="2"/>
        <v>40</v>
      </c>
      <c r="O12" s="132" t="s">
        <v>443</v>
      </c>
      <c r="P12" s="132" t="s">
        <v>683</v>
      </c>
      <c r="Q12" s="57">
        <v>1</v>
      </c>
      <c r="R12" s="88" t="str">
        <f t="shared" si="3"/>
        <v>BAJO</v>
      </c>
      <c r="S12" s="57">
        <v>20</v>
      </c>
      <c r="T12" s="88" t="str">
        <f t="shared" si="4"/>
        <v>ALTO</v>
      </c>
      <c r="U12" s="89">
        <f t="shared" si="5"/>
        <v>20</v>
      </c>
      <c r="V12" s="165" t="s">
        <v>118</v>
      </c>
      <c r="W12" s="165"/>
      <c r="X12" s="165"/>
      <c r="Y12" s="165"/>
      <c r="Z12" s="125" t="s">
        <v>452</v>
      </c>
      <c r="AA12" s="286" t="s">
        <v>453</v>
      </c>
      <c r="AB12" s="287" t="s">
        <v>359</v>
      </c>
      <c r="AC12" s="288" t="s">
        <v>454</v>
      </c>
      <c r="AD12" s="164" t="s">
        <v>455</v>
      </c>
      <c r="AE12" s="391"/>
      <c r="AG12" s="261"/>
      <c r="AH12" s="262"/>
      <c r="AI12" s="262"/>
      <c r="AJ12" s="263"/>
      <c r="AN12" s="29" t="s">
        <v>89</v>
      </c>
      <c r="AO12" s="93"/>
    </row>
    <row r="13" spans="2:41" s="29" customFormat="1" ht="161.25" customHeight="1" x14ac:dyDescent="0.2">
      <c r="B13" s="388"/>
      <c r="C13" s="156" t="s">
        <v>71</v>
      </c>
      <c r="D13" s="290" t="s">
        <v>88</v>
      </c>
      <c r="E13" s="291" t="s">
        <v>456</v>
      </c>
      <c r="F13" s="164" t="s">
        <v>457</v>
      </c>
      <c r="G13" s="164" t="s">
        <v>458</v>
      </c>
      <c r="H13" s="159" t="s">
        <v>459</v>
      </c>
      <c r="I13" s="164" t="s">
        <v>460</v>
      </c>
      <c r="J13" s="178">
        <v>2</v>
      </c>
      <c r="K13" s="57" t="str">
        <f t="shared" si="0"/>
        <v>MEDIO</v>
      </c>
      <c r="L13" s="178">
        <v>10</v>
      </c>
      <c r="M13" s="57" t="str">
        <f t="shared" si="1"/>
        <v>MEDIO</v>
      </c>
      <c r="N13" s="89">
        <f t="shared" si="2"/>
        <v>20</v>
      </c>
      <c r="O13" s="161" t="s">
        <v>461</v>
      </c>
      <c r="P13" s="161" t="s">
        <v>684</v>
      </c>
      <c r="Q13" s="178">
        <v>1</v>
      </c>
      <c r="R13" s="88" t="str">
        <f t="shared" si="3"/>
        <v>BAJO</v>
      </c>
      <c r="S13" s="178">
        <v>5</v>
      </c>
      <c r="T13" s="88" t="str">
        <f t="shared" si="4"/>
        <v>BAJO</v>
      </c>
      <c r="U13" s="89">
        <f t="shared" si="5"/>
        <v>5</v>
      </c>
      <c r="V13" s="179" t="s">
        <v>118</v>
      </c>
      <c r="W13" s="179"/>
      <c r="X13" s="179"/>
      <c r="Y13" s="179"/>
      <c r="Z13" s="202" t="s">
        <v>462</v>
      </c>
      <c r="AA13" s="292" t="s">
        <v>463</v>
      </c>
      <c r="AB13" s="293" t="s">
        <v>359</v>
      </c>
      <c r="AC13" s="294" t="s">
        <v>85</v>
      </c>
      <c r="AD13" s="164" t="s">
        <v>685</v>
      </c>
      <c r="AE13" s="391"/>
      <c r="AG13" s="261"/>
      <c r="AH13" s="262"/>
      <c r="AI13" s="262"/>
      <c r="AJ13" s="263"/>
      <c r="AN13" s="29" t="s">
        <v>90</v>
      </c>
      <c r="AO13" s="93"/>
    </row>
    <row r="14" spans="2:41" s="29" customFormat="1" ht="176.25" customHeight="1" thickBot="1" x14ac:dyDescent="0.25">
      <c r="B14" s="389"/>
      <c r="C14" s="81" t="s">
        <v>71</v>
      </c>
      <c r="D14" s="82" t="s">
        <v>77</v>
      </c>
      <c r="E14" s="299" t="s">
        <v>464</v>
      </c>
      <c r="F14" s="119" t="s">
        <v>468</v>
      </c>
      <c r="G14" s="274" t="s">
        <v>465</v>
      </c>
      <c r="H14" s="119" t="s">
        <v>466</v>
      </c>
      <c r="I14" s="296" t="s">
        <v>467</v>
      </c>
      <c r="J14" s="58">
        <v>2</v>
      </c>
      <c r="K14" s="58" t="str">
        <f t="shared" si="0"/>
        <v>MEDIO</v>
      </c>
      <c r="L14" s="58">
        <v>10</v>
      </c>
      <c r="M14" s="58" t="str">
        <f t="shared" si="1"/>
        <v>MEDIO</v>
      </c>
      <c r="N14" s="91">
        <f t="shared" si="2"/>
        <v>20</v>
      </c>
      <c r="O14" s="272" t="s">
        <v>469</v>
      </c>
      <c r="P14" s="272" t="s">
        <v>686</v>
      </c>
      <c r="Q14" s="58">
        <v>1</v>
      </c>
      <c r="R14" s="58" t="str">
        <f t="shared" si="3"/>
        <v>BAJO</v>
      </c>
      <c r="S14" s="58">
        <v>10</v>
      </c>
      <c r="T14" s="226" t="str">
        <f t="shared" si="4"/>
        <v>MEDIO</v>
      </c>
      <c r="U14" s="91">
        <f t="shared" si="5"/>
        <v>10</v>
      </c>
      <c r="V14" s="60"/>
      <c r="W14" s="60" t="s">
        <v>118</v>
      </c>
      <c r="X14" s="60"/>
      <c r="Y14" s="60"/>
      <c r="Z14" s="297" t="s">
        <v>470</v>
      </c>
      <c r="AA14" s="130" t="s">
        <v>471</v>
      </c>
      <c r="AB14" s="298" t="s">
        <v>427</v>
      </c>
      <c r="AC14" s="131" t="s">
        <v>437</v>
      </c>
      <c r="AD14" s="129" t="s">
        <v>472</v>
      </c>
      <c r="AE14" s="392"/>
      <c r="AG14" s="188">
        <v>1</v>
      </c>
      <c r="AH14" s="189"/>
      <c r="AI14" s="189"/>
      <c r="AJ14" s="190">
        <f t="shared" si="6"/>
        <v>1</v>
      </c>
      <c r="AK14" s="29">
        <v>4</v>
      </c>
      <c r="AO14" s="93"/>
    </row>
    <row r="15" spans="2:41" s="29" customFormat="1" ht="31.5" customHeight="1" thickBot="1" x14ac:dyDescent="0.25">
      <c r="B15" s="24"/>
      <c r="C15" s="24"/>
      <c r="D15" s="24"/>
      <c r="E15" s="24"/>
      <c r="F15" s="24"/>
      <c r="G15" s="24"/>
      <c r="H15" s="24"/>
      <c r="I15" s="24"/>
      <c r="J15" s="24"/>
      <c r="K15" s="24"/>
      <c r="L15" s="24"/>
      <c r="M15" s="24"/>
      <c r="N15" s="24"/>
      <c r="O15" s="24"/>
      <c r="P15" s="24"/>
      <c r="Q15" s="24"/>
      <c r="R15" s="24"/>
      <c r="S15" s="24"/>
      <c r="T15" s="24"/>
      <c r="U15" s="24"/>
      <c r="V15" s="24"/>
      <c r="W15" s="24"/>
      <c r="X15" s="24"/>
      <c r="Y15" s="24"/>
      <c r="Z15" s="24"/>
      <c r="AA15" s="24"/>
      <c r="AB15" s="24"/>
      <c r="AC15" s="24"/>
      <c r="AD15" s="86"/>
      <c r="AE15" s="47"/>
      <c r="AG15" s="188"/>
      <c r="AH15" s="189">
        <v>1</v>
      </c>
      <c r="AI15" s="189"/>
      <c r="AJ15" s="190">
        <f t="shared" si="6"/>
        <v>1</v>
      </c>
      <c r="AO15" s="94"/>
    </row>
    <row r="16" spans="2:41" s="29" customFormat="1" ht="129" customHeight="1" thickBot="1" x14ac:dyDescent="0.25">
      <c r="B16" s="24"/>
      <c r="C16" s="24"/>
      <c r="D16" s="24"/>
      <c r="E16" s="24"/>
      <c r="F16" s="110"/>
      <c r="G16" s="110"/>
      <c r="H16" s="448" t="s">
        <v>270</v>
      </c>
      <c r="I16" s="449"/>
      <c r="J16" s="449"/>
      <c r="K16" s="450"/>
      <c r="L16" s="24"/>
      <c r="M16" s="393" t="s">
        <v>35</v>
      </c>
      <c r="N16" s="394"/>
      <c r="O16" s="394"/>
      <c r="P16" s="395"/>
      <c r="Q16" s="111"/>
      <c r="R16" s="24"/>
      <c r="S16" s="24"/>
      <c r="T16" s="24"/>
      <c r="U16" s="24"/>
      <c r="V16" s="24"/>
      <c r="W16" s="24"/>
      <c r="X16" s="24"/>
      <c r="Y16" s="24"/>
      <c r="Z16" s="24"/>
      <c r="AA16" s="24"/>
      <c r="AB16" s="24"/>
      <c r="AC16" s="24"/>
      <c r="AD16" s="24"/>
      <c r="AE16" s="42"/>
      <c r="AG16" s="188">
        <v>1</v>
      </c>
      <c r="AH16" s="189"/>
      <c r="AI16" s="189"/>
      <c r="AJ16" s="190">
        <f t="shared" si="6"/>
        <v>1</v>
      </c>
      <c r="AK16" s="29" t="s">
        <v>86</v>
      </c>
      <c r="AO16" s="434" t="s">
        <v>78</v>
      </c>
    </row>
    <row r="17" spans="2:41" s="29" customFormat="1" ht="46.5" customHeight="1" x14ac:dyDescent="0.2">
      <c r="B17" s="24"/>
      <c r="C17" s="24"/>
      <c r="D17" s="24"/>
      <c r="E17" s="24"/>
      <c r="F17" s="424"/>
      <c r="G17" s="424"/>
      <c r="H17" s="451" t="s">
        <v>149</v>
      </c>
      <c r="I17" s="452"/>
      <c r="J17" s="26">
        <f>COUNTIF(U9:U14,"=5")</f>
        <v>2</v>
      </c>
      <c r="K17" s="27">
        <f>J17*100%/J20</f>
        <v>0.33333333333333331</v>
      </c>
      <c r="L17" s="24"/>
      <c r="M17" s="471" t="s">
        <v>106</v>
      </c>
      <c r="N17" s="472"/>
      <c r="O17" s="472" t="s">
        <v>49</v>
      </c>
      <c r="P17" s="473"/>
      <c r="Q17" s="112"/>
      <c r="R17" s="24"/>
      <c r="S17" s="24"/>
      <c r="T17" s="24"/>
      <c r="U17" s="24"/>
      <c r="V17" s="24"/>
      <c r="W17" s="24"/>
      <c r="X17" s="24"/>
      <c r="Y17" s="24"/>
      <c r="Z17" s="24"/>
      <c r="AA17" s="24"/>
      <c r="AB17" s="24"/>
      <c r="AC17" s="24"/>
      <c r="AD17" s="24"/>
      <c r="AE17" s="42"/>
      <c r="AG17" s="188">
        <v>1</v>
      </c>
      <c r="AH17" s="189"/>
      <c r="AI17" s="189"/>
      <c r="AJ17" s="190">
        <f t="shared" si="6"/>
        <v>1</v>
      </c>
      <c r="AK17" s="29" t="s">
        <v>87</v>
      </c>
      <c r="AO17" s="435"/>
    </row>
    <row r="18" spans="2:41" s="29" customFormat="1" ht="46.5" customHeight="1" x14ac:dyDescent="0.2">
      <c r="B18" s="24"/>
      <c r="C18" s="24"/>
      <c r="D18" s="24"/>
      <c r="E18" s="24"/>
      <c r="F18" s="424"/>
      <c r="G18" s="424"/>
      <c r="H18" s="451" t="s">
        <v>150</v>
      </c>
      <c r="I18" s="452"/>
      <c r="J18" s="26">
        <f>COUNTIFS(U9:U14,"&gt;=6",U9:U14,"&lt;=30")</f>
        <v>4</v>
      </c>
      <c r="K18" s="27">
        <f>J18*100%/J20</f>
        <v>0.66666666666666663</v>
      </c>
      <c r="L18" s="24"/>
      <c r="M18" s="474" t="s">
        <v>107</v>
      </c>
      <c r="N18" s="475"/>
      <c r="O18" s="476" t="s">
        <v>50</v>
      </c>
      <c r="P18" s="477"/>
      <c r="Q18" s="112"/>
      <c r="R18" s="24"/>
      <c r="S18" s="24"/>
      <c r="T18" s="24"/>
      <c r="U18" s="24"/>
      <c r="V18" s="24"/>
      <c r="W18" s="24"/>
      <c r="X18" s="24"/>
      <c r="Y18" s="24"/>
      <c r="Z18" s="24"/>
      <c r="AA18" s="24"/>
      <c r="AB18" s="24"/>
      <c r="AC18" s="24"/>
      <c r="AD18" s="24"/>
      <c r="AE18" s="42"/>
      <c r="AG18" s="188">
        <v>1</v>
      </c>
      <c r="AH18" s="189"/>
      <c r="AI18" s="189"/>
      <c r="AJ18" s="190">
        <f t="shared" si="6"/>
        <v>1</v>
      </c>
      <c r="AO18" s="435"/>
    </row>
    <row r="19" spans="2:41" s="29" customFormat="1" ht="46.5" customHeight="1" thickBot="1" x14ac:dyDescent="0.25">
      <c r="B19" s="24"/>
      <c r="C19" s="24"/>
      <c r="D19" s="24"/>
      <c r="E19" s="24"/>
      <c r="F19" s="424"/>
      <c r="G19" s="424"/>
      <c r="H19" s="451" t="s">
        <v>151</v>
      </c>
      <c r="I19" s="452"/>
      <c r="J19" s="26">
        <f>COUNTIFS(U10:U15,"&gt;=40",U10:U15,"&lt;=60")</f>
        <v>0</v>
      </c>
      <c r="K19" s="27">
        <f>J19*100%/J20</f>
        <v>0</v>
      </c>
      <c r="L19" s="24"/>
      <c r="M19" s="468" t="s">
        <v>108</v>
      </c>
      <c r="N19" s="469"/>
      <c r="O19" s="469" t="s">
        <v>20</v>
      </c>
      <c r="P19" s="470"/>
      <c r="Q19" s="112"/>
      <c r="R19" s="24"/>
      <c r="S19" s="24"/>
      <c r="T19" s="24"/>
      <c r="U19" s="24"/>
      <c r="V19" s="24"/>
      <c r="W19" s="24"/>
      <c r="X19" s="24"/>
      <c r="Y19" s="24"/>
      <c r="Z19" s="24"/>
      <c r="AA19" s="24"/>
      <c r="AB19" s="24"/>
      <c r="AC19" s="24"/>
      <c r="AD19" s="24"/>
      <c r="AE19" s="42"/>
      <c r="AG19" s="188">
        <v>1</v>
      </c>
      <c r="AH19" s="189"/>
      <c r="AI19" s="189"/>
      <c r="AJ19" s="190">
        <f t="shared" si="6"/>
        <v>1</v>
      </c>
      <c r="AO19" s="435"/>
    </row>
    <row r="20" spans="2:41" s="29" customFormat="1" ht="46.5" customHeight="1" thickBot="1" x14ac:dyDescent="0.25">
      <c r="B20" s="24"/>
      <c r="C20" s="24"/>
      <c r="D20" s="24"/>
      <c r="E20" s="24"/>
      <c r="F20" s="433"/>
      <c r="G20" s="433"/>
      <c r="H20" s="458" t="s">
        <v>152</v>
      </c>
      <c r="I20" s="459"/>
      <c r="J20" s="187">
        <f>+J17+J19+J18</f>
        <v>6</v>
      </c>
      <c r="K20" s="138">
        <f>K17+K18+K19</f>
        <v>1</v>
      </c>
      <c r="L20" s="24"/>
      <c r="M20" s="24"/>
      <c r="N20" s="24"/>
      <c r="O20" s="24"/>
      <c r="P20" s="24"/>
      <c r="Q20" s="24"/>
      <c r="R20" s="24"/>
      <c r="S20" s="24"/>
      <c r="T20" s="24"/>
      <c r="U20" s="24"/>
      <c r="V20" s="24"/>
      <c r="W20" s="24"/>
      <c r="X20" s="24"/>
      <c r="Y20" s="24"/>
      <c r="Z20" s="24"/>
      <c r="AA20" s="24"/>
      <c r="AB20" s="24"/>
      <c r="AC20" s="24"/>
      <c r="AD20" s="24"/>
      <c r="AE20" s="42"/>
      <c r="AG20" s="188">
        <v>1</v>
      </c>
      <c r="AH20" s="189"/>
      <c r="AI20" s="189"/>
      <c r="AJ20" s="190">
        <f t="shared" si="6"/>
        <v>1</v>
      </c>
      <c r="AO20" s="435"/>
    </row>
    <row r="21" spans="2:41" s="29" customFormat="1" ht="75" customHeight="1" thickBot="1" x14ac:dyDescent="0.25">
      <c r="B21" s="24"/>
      <c r="C21" s="24"/>
      <c r="D21" s="24"/>
      <c r="E21" s="24"/>
      <c r="F21" s="24"/>
      <c r="G21" s="24"/>
      <c r="H21" s="456" t="s">
        <v>269</v>
      </c>
      <c r="I21" s="457"/>
      <c r="J21" s="244">
        <f>COUNTIF(Q4:Q14,"N/A")</f>
        <v>0</v>
      </c>
      <c r="K21" s="245">
        <f>IF(J21&gt;=1,"100%",0)</f>
        <v>0</v>
      </c>
      <c r="L21" s="24"/>
      <c r="M21" s="24"/>
      <c r="N21" s="24"/>
      <c r="O21" s="24"/>
      <c r="P21" s="24"/>
      <c r="Q21" s="24"/>
      <c r="R21" s="24"/>
      <c r="S21" s="24"/>
      <c r="T21" s="24"/>
      <c r="U21" s="24"/>
      <c r="V21" s="24"/>
      <c r="W21" s="24"/>
      <c r="X21" s="24"/>
      <c r="Y21" s="24"/>
      <c r="Z21" s="24"/>
      <c r="AA21" s="24"/>
      <c r="AB21" s="24"/>
      <c r="AC21" s="24"/>
      <c r="AD21" s="24"/>
      <c r="AE21" s="42"/>
      <c r="AG21" s="188"/>
      <c r="AH21" s="189">
        <v>1</v>
      </c>
      <c r="AI21" s="189"/>
      <c r="AJ21" s="190">
        <f t="shared" si="6"/>
        <v>1</v>
      </c>
      <c r="AO21" s="435"/>
    </row>
    <row r="22" spans="2:41" s="29" customFormat="1" ht="97.5" customHeight="1" x14ac:dyDescent="0.2">
      <c r="B22" s="24"/>
      <c r="C22" s="83"/>
      <c r="D22" s="83"/>
      <c r="E22" s="83"/>
      <c r="F22" s="83"/>
      <c r="G22" s="84"/>
      <c r="H22" s="84"/>
      <c r="I22" s="83"/>
      <c r="J22" s="24"/>
      <c r="K22" s="24"/>
      <c r="L22" s="24"/>
      <c r="M22" s="24"/>
      <c r="N22" s="24"/>
      <c r="O22" s="24"/>
      <c r="P22" s="24"/>
      <c r="Q22" s="24"/>
      <c r="R22" s="24"/>
      <c r="S22" s="24"/>
      <c r="T22" s="24"/>
      <c r="U22" s="24"/>
      <c r="V22" s="24"/>
      <c r="W22" s="24"/>
      <c r="X22" s="24"/>
      <c r="Y22" s="24"/>
      <c r="Z22" s="24"/>
      <c r="AA22" s="24"/>
      <c r="AB22" s="24"/>
      <c r="AC22" s="24"/>
      <c r="AD22" s="24"/>
      <c r="AE22" s="42"/>
      <c r="AG22" s="188"/>
      <c r="AH22" s="189">
        <v>1</v>
      </c>
      <c r="AI22" s="189"/>
      <c r="AJ22" s="190">
        <f t="shared" si="6"/>
        <v>1</v>
      </c>
      <c r="AO22" s="435"/>
    </row>
    <row r="23" spans="2:41" s="29" customFormat="1" ht="107.25" customHeight="1" thickBot="1" x14ac:dyDescent="0.25">
      <c r="B23" s="24"/>
      <c r="C23" s="83"/>
      <c r="D23" s="83"/>
      <c r="E23" s="83"/>
      <c r="F23" s="84"/>
      <c r="G23" s="84"/>
      <c r="H23" s="84"/>
      <c r="I23" s="84"/>
      <c r="J23" s="24"/>
      <c r="K23" s="24"/>
      <c r="L23" s="24"/>
      <c r="M23" s="24"/>
      <c r="N23" s="24"/>
      <c r="O23" s="24"/>
      <c r="P23" s="24"/>
      <c r="Q23" s="24"/>
      <c r="R23" s="24"/>
      <c r="S23" s="24"/>
      <c r="T23" s="24"/>
      <c r="U23" s="24"/>
      <c r="V23" s="24"/>
      <c r="W23" s="24"/>
      <c r="X23" s="24"/>
      <c r="Y23" s="24"/>
      <c r="Z23" s="24"/>
      <c r="AA23" s="24"/>
      <c r="AB23" s="24"/>
      <c r="AC23" s="24"/>
      <c r="AD23" s="24"/>
      <c r="AE23" s="42"/>
      <c r="AG23" s="188">
        <v>1</v>
      </c>
      <c r="AH23" s="189"/>
      <c r="AI23" s="189"/>
      <c r="AJ23" s="190">
        <f t="shared" si="6"/>
        <v>1</v>
      </c>
      <c r="AO23" s="436"/>
    </row>
    <row r="24" spans="2:41" s="28" customFormat="1" ht="80.25" customHeight="1" x14ac:dyDescent="0.2">
      <c r="B24" s="24"/>
      <c r="C24" s="83"/>
      <c r="D24" s="83"/>
      <c r="E24" s="85"/>
      <c r="F24" s="85"/>
      <c r="G24" s="85"/>
      <c r="H24" s="85"/>
      <c r="I24" s="85"/>
      <c r="J24" s="24"/>
      <c r="K24" s="24"/>
      <c r="L24" s="24"/>
      <c r="M24" s="24"/>
      <c r="N24" s="24"/>
      <c r="O24" s="24"/>
      <c r="P24" s="24"/>
      <c r="Q24" s="24"/>
      <c r="R24" s="24"/>
      <c r="S24" s="24"/>
      <c r="T24" s="24"/>
      <c r="U24" s="24"/>
      <c r="V24" s="24"/>
      <c r="W24" s="24"/>
      <c r="X24" s="24"/>
      <c r="Y24" s="24"/>
      <c r="Z24" s="24"/>
      <c r="AA24" s="24"/>
      <c r="AB24" s="24"/>
      <c r="AC24" s="24"/>
      <c r="AD24" s="24"/>
      <c r="AE24" s="42"/>
      <c r="AG24" s="39"/>
      <c r="AH24" s="49"/>
      <c r="AI24" s="49"/>
      <c r="AJ24" s="40"/>
      <c r="AO24" s="434" t="s">
        <v>79</v>
      </c>
    </row>
    <row r="25" spans="2:41" s="29" customFormat="1" ht="101.25" customHeight="1" x14ac:dyDescent="0.2">
      <c r="B25" s="24"/>
      <c r="C25" s="84"/>
      <c r="D25" s="84"/>
      <c r="E25" s="48"/>
      <c r="F25" s="48"/>
      <c r="G25" s="48"/>
      <c r="H25" s="48"/>
      <c r="I25" s="48"/>
      <c r="J25" s="24"/>
      <c r="K25" s="24"/>
      <c r="L25" s="24"/>
      <c r="M25" s="24"/>
      <c r="N25" s="24"/>
      <c r="O25" s="24"/>
      <c r="P25" s="24"/>
      <c r="Q25" s="24"/>
      <c r="R25" s="24"/>
      <c r="S25" s="24"/>
      <c r="T25" s="24"/>
      <c r="U25" s="24"/>
      <c r="V25" s="24"/>
      <c r="W25" s="24"/>
      <c r="X25" s="24"/>
      <c r="Y25" s="24"/>
      <c r="Z25" s="24"/>
      <c r="AA25" s="24"/>
      <c r="AB25" s="24"/>
      <c r="AC25" s="24"/>
      <c r="AD25" s="24"/>
      <c r="AE25" s="42"/>
      <c r="AG25" s="188">
        <v>1</v>
      </c>
      <c r="AH25" s="189"/>
      <c r="AI25" s="189"/>
      <c r="AJ25" s="190">
        <f t="shared" si="6"/>
        <v>1</v>
      </c>
      <c r="AO25" s="435"/>
    </row>
    <row r="26" spans="2:41" s="29" customFormat="1" ht="109.5" customHeight="1" x14ac:dyDescent="0.2">
      <c r="B26" s="24"/>
      <c r="C26" s="84"/>
      <c r="D26" s="84"/>
      <c r="I26" s="24"/>
      <c r="J26" s="24"/>
      <c r="K26" s="24"/>
      <c r="L26" s="24"/>
      <c r="M26" s="24"/>
      <c r="N26" s="24"/>
      <c r="O26" s="24"/>
      <c r="P26" s="24"/>
      <c r="Q26" s="24"/>
      <c r="R26" s="24"/>
      <c r="S26" s="24"/>
      <c r="T26" s="24"/>
      <c r="U26" s="24"/>
      <c r="V26" s="24"/>
      <c r="W26" s="24"/>
      <c r="X26" s="24"/>
      <c r="Y26" s="24"/>
      <c r="Z26" s="24"/>
      <c r="AA26" s="24"/>
      <c r="AB26" s="24"/>
      <c r="AC26" s="24"/>
      <c r="AD26" s="24"/>
      <c r="AE26" s="42"/>
      <c r="AG26" s="188"/>
      <c r="AH26" s="189">
        <v>1</v>
      </c>
      <c r="AI26" s="189"/>
      <c r="AJ26" s="190">
        <f t="shared" si="6"/>
        <v>1</v>
      </c>
      <c r="AO26" s="435"/>
    </row>
    <row r="27" spans="2:41" s="29" customFormat="1" ht="67.5" customHeight="1" x14ac:dyDescent="0.2">
      <c r="B27" s="24"/>
      <c r="C27" s="84"/>
      <c r="D27" s="84"/>
      <c r="H27" s="24"/>
      <c r="I27" s="24"/>
      <c r="J27" s="24"/>
      <c r="K27" s="24"/>
      <c r="L27" s="24"/>
      <c r="M27" s="24"/>
      <c r="N27" s="24"/>
      <c r="O27" s="24"/>
      <c r="P27" s="24"/>
      <c r="Q27" s="24"/>
      <c r="R27" s="24"/>
      <c r="S27" s="24"/>
      <c r="T27" s="24"/>
      <c r="U27" s="24"/>
      <c r="V27" s="24"/>
      <c r="W27" s="24"/>
      <c r="X27" s="24"/>
      <c r="Y27" s="24"/>
      <c r="Z27" s="24"/>
      <c r="AA27" s="24"/>
      <c r="AB27" s="24"/>
      <c r="AC27" s="24"/>
      <c r="AD27" s="24"/>
      <c r="AE27" s="42"/>
      <c r="AG27" s="188"/>
      <c r="AH27" s="189">
        <v>1</v>
      </c>
      <c r="AI27" s="189"/>
      <c r="AJ27" s="190">
        <v>1</v>
      </c>
      <c r="AO27" s="435"/>
    </row>
    <row r="28" spans="2:41" s="29" customFormat="1" ht="83.25" customHeight="1" x14ac:dyDescent="0.2">
      <c r="B28" s="24"/>
      <c r="C28" s="83"/>
      <c r="D28" s="83"/>
      <c r="G28" s="24"/>
      <c r="H28" s="24"/>
      <c r="I28" s="24"/>
      <c r="J28" s="24"/>
      <c r="K28" s="24"/>
      <c r="L28" s="24"/>
      <c r="M28" s="24"/>
      <c r="N28" s="24"/>
      <c r="O28" s="24"/>
      <c r="P28" s="24"/>
      <c r="Q28" s="24"/>
      <c r="R28" s="24"/>
      <c r="S28" s="24"/>
      <c r="T28" s="24"/>
      <c r="U28" s="24"/>
      <c r="V28" s="24"/>
      <c r="W28" s="24"/>
      <c r="X28" s="24"/>
      <c r="Y28" s="24"/>
      <c r="Z28" s="24"/>
      <c r="AA28" s="24"/>
      <c r="AB28" s="24"/>
      <c r="AC28" s="24"/>
      <c r="AD28" s="24"/>
      <c r="AE28" s="42"/>
      <c r="AG28" s="188"/>
      <c r="AH28" s="189">
        <v>1</v>
      </c>
      <c r="AI28" s="189"/>
      <c r="AJ28" s="190">
        <v>1</v>
      </c>
      <c r="AO28" s="435"/>
    </row>
    <row r="29" spans="2:41" s="29" customFormat="1" ht="75.75" customHeight="1" thickBot="1" x14ac:dyDescent="0.25">
      <c r="B29" s="24"/>
      <c r="C29" s="83"/>
      <c r="D29" s="83"/>
      <c r="G29" s="24"/>
      <c r="H29" s="24"/>
      <c r="I29" s="24"/>
      <c r="J29" s="24"/>
      <c r="K29" s="24"/>
      <c r="L29" s="24"/>
      <c r="M29" s="24"/>
      <c r="N29" s="24"/>
      <c r="O29" s="24"/>
      <c r="P29" s="24"/>
      <c r="Q29" s="24"/>
      <c r="R29" s="24"/>
      <c r="S29" s="24"/>
      <c r="T29" s="24"/>
      <c r="U29" s="24"/>
      <c r="V29" s="24"/>
      <c r="W29" s="24"/>
      <c r="X29" s="24"/>
      <c r="Y29" s="24"/>
      <c r="Z29" s="24"/>
      <c r="AA29" s="24"/>
      <c r="AB29" s="24"/>
      <c r="AC29" s="24"/>
      <c r="AD29" s="24"/>
      <c r="AE29" s="42"/>
      <c r="AG29" s="188"/>
      <c r="AH29" s="189"/>
      <c r="AI29" s="189"/>
      <c r="AJ29" s="190"/>
      <c r="AO29" s="436"/>
    </row>
    <row r="30" spans="2:41" s="29" customFormat="1" ht="73.5" customHeight="1" x14ac:dyDescent="0.2">
      <c r="B30" s="24"/>
      <c r="C30" s="83"/>
      <c r="D30" s="83"/>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42"/>
      <c r="AG30" s="188"/>
      <c r="AH30" s="189">
        <v>1</v>
      </c>
      <c r="AI30" s="189"/>
      <c r="AJ30" s="190">
        <v>1</v>
      </c>
      <c r="AO30" s="434" t="s">
        <v>80</v>
      </c>
    </row>
    <row r="31" spans="2:41" s="29" customFormat="1" ht="58.5" customHeight="1" x14ac:dyDescent="0.2">
      <c r="B31" s="24"/>
      <c r="C31" s="84"/>
      <c r="D31" s="84"/>
      <c r="J31" s="24"/>
      <c r="K31" s="24"/>
      <c r="L31" s="24"/>
      <c r="M31" s="24"/>
      <c r="N31" s="24"/>
      <c r="O31" s="24"/>
      <c r="P31" s="24"/>
      <c r="Q31" s="24"/>
      <c r="R31" s="24"/>
      <c r="S31" s="24"/>
      <c r="T31" s="24"/>
      <c r="U31" s="24"/>
      <c r="V31" s="24"/>
      <c r="W31" s="24"/>
      <c r="X31" s="24"/>
      <c r="Y31" s="24"/>
      <c r="Z31" s="24"/>
      <c r="AA31" s="24"/>
      <c r="AB31" s="24"/>
      <c r="AC31" s="24"/>
      <c r="AD31" s="24"/>
      <c r="AE31" s="42"/>
      <c r="AG31" s="188">
        <v>1</v>
      </c>
      <c r="AH31" s="189"/>
      <c r="AI31" s="189"/>
      <c r="AJ31" s="190">
        <v>1</v>
      </c>
      <c r="AO31" s="435"/>
    </row>
    <row r="32" spans="2:41" s="29" customFormat="1" ht="73.5" customHeight="1" x14ac:dyDescent="0.2">
      <c r="B32" s="24"/>
      <c r="C32" s="84"/>
      <c r="D32" s="84"/>
      <c r="E32" s="24"/>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42"/>
      <c r="AG32" s="188"/>
      <c r="AH32" s="189">
        <v>1</v>
      </c>
      <c r="AI32" s="189"/>
      <c r="AJ32" s="190">
        <v>1</v>
      </c>
      <c r="AO32" s="435"/>
    </row>
    <row r="33" spans="2:41" s="29" customFormat="1" ht="102" customHeight="1" thickBot="1" x14ac:dyDescent="0.25">
      <c r="B33" s="24"/>
      <c r="C33" s="84"/>
      <c r="D33" s="84"/>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42"/>
      <c r="AG33" s="188">
        <v>1</v>
      </c>
      <c r="AH33" s="189"/>
      <c r="AI33" s="189"/>
      <c r="AJ33" s="190">
        <v>1</v>
      </c>
      <c r="AO33" s="435"/>
    </row>
    <row r="34" spans="2:41" s="29" customFormat="1" ht="86.25" customHeight="1" x14ac:dyDescent="0.2">
      <c r="B34" s="24"/>
      <c r="C34" s="84"/>
      <c r="D34" s="84"/>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188"/>
      <c r="AH34" s="189">
        <v>1</v>
      </c>
      <c r="AI34" s="189"/>
      <c r="AJ34" s="190">
        <v>1</v>
      </c>
      <c r="AO34" s="437" t="s">
        <v>81</v>
      </c>
    </row>
    <row r="35" spans="2:41" s="29" customFormat="1" ht="70.5" customHeight="1" thickBot="1" x14ac:dyDescent="0.25">
      <c r="B35" s="24"/>
      <c r="C35" s="84"/>
      <c r="D35" s="8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188">
        <v>1</v>
      </c>
      <c r="AH35" s="189"/>
      <c r="AI35" s="189"/>
      <c r="AJ35" s="190">
        <v>1</v>
      </c>
      <c r="AO35" s="438"/>
    </row>
    <row r="36" spans="2:41" s="29" customFormat="1" ht="62.25" customHeight="1" x14ac:dyDescent="0.2">
      <c r="B36" s="24"/>
      <c r="C36" s="84"/>
      <c r="D36" s="8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88">
        <v>1</v>
      </c>
      <c r="AH36" s="189"/>
      <c r="AI36" s="189"/>
      <c r="AJ36" s="190">
        <v>1</v>
      </c>
      <c r="AO36" s="437" t="s">
        <v>82</v>
      </c>
    </row>
    <row r="37" spans="2:41" s="29" customFormat="1" ht="45.75" customHeight="1" x14ac:dyDescent="0.2">
      <c r="B37" s="24"/>
      <c r="C37" s="84"/>
      <c r="D37" s="8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88"/>
      <c r="AH37" s="189"/>
      <c r="AI37" s="189">
        <v>1</v>
      </c>
      <c r="AJ37" s="190">
        <v>1</v>
      </c>
      <c r="AO37" s="439"/>
    </row>
    <row r="38" spans="2:41" s="29" customFormat="1" ht="43.5" customHeight="1" x14ac:dyDescent="0.2">
      <c r="B38" s="24"/>
      <c r="C38" s="84"/>
      <c r="D38" s="8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188">
        <v>1</v>
      </c>
      <c r="AH38" s="189"/>
      <c r="AI38" s="189"/>
      <c r="AJ38" s="190">
        <v>1</v>
      </c>
      <c r="AO38" s="439"/>
    </row>
    <row r="39" spans="2:41" s="29" customFormat="1" ht="61.5" customHeight="1" thickBot="1" x14ac:dyDescent="0.25">
      <c r="B39" s="24"/>
      <c r="C39" s="84"/>
      <c r="D39" s="84"/>
      <c r="J39" s="24"/>
      <c r="K39" s="24"/>
      <c r="L39" s="24"/>
      <c r="M39" s="24"/>
      <c r="N39" s="24"/>
      <c r="O39" s="24"/>
      <c r="P39" s="24"/>
      <c r="Q39" s="24"/>
      <c r="R39" s="24"/>
      <c r="S39" s="24"/>
      <c r="T39" s="24"/>
      <c r="U39" s="24"/>
      <c r="V39" s="24"/>
      <c r="W39" s="24"/>
      <c r="X39" s="24"/>
      <c r="Y39" s="24"/>
      <c r="Z39" s="24"/>
      <c r="AA39" s="24"/>
      <c r="AB39" s="24"/>
      <c r="AC39" s="24"/>
      <c r="AD39" s="24"/>
      <c r="AE39" s="42"/>
      <c r="AG39" s="440"/>
      <c r="AH39" s="441"/>
      <c r="AI39" s="441">
        <v>1</v>
      </c>
      <c r="AJ39" s="442">
        <v>1</v>
      </c>
      <c r="AO39" s="438"/>
    </row>
    <row r="40" spans="2:41" s="29" customFormat="1" ht="70.5" customHeight="1" x14ac:dyDescent="0.2">
      <c r="B40" s="24"/>
      <c r="C40" s="84"/>
      <c r="D40" s="8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440"/>
      <c r="AH40" s="441"/>
      <c r="AI40" s="441"/>
      <c r="AJ40" s="442"/>
      <c r="AO40" s="434" t="s">
        <v>83</v>
      </c>
    </row>
    <row r="41" spans="2:41" s="29" customFormat="1" ht="59.25" customHeight="1" x14ac:dyDescent="0.2">
      <c r="B41" s="24"/>
      <c r="C41" s="84"/>
      <c r="D41" s="8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188">
        <v>1</v>
      </c>
      <c r="AH41" s="189"/>
      <c r="AI41" s="189"/>
      <c r="AJ41" s="190">
        <v>1</v>
      </c>
      <c r="AO41" s="435"/>
    </row>
    <row r="42" spans="2:41" s="29" customFormat="1" ht="122.25" customHeight="1" x14ac:dyDescent="0.2">
      <c r="B42" s="24"/>
      <c r="C42" s="84"/>
      <c r="D42" s="8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188">
        <v>1</v>
      </c>
      <c r="AH42" s="189"/>
      <c r="AI42" s="189"/>
      <c r="AJ42" s="190">
        <v>1</v>
      </c>
      <c r="AO42" s="435"/>
    </row>
    <row r="43" spans="2:41" s="29" customFormat="1" ht="97.5" customHeight="1" x14ac:dyDescent="0.2">
      <c r="B43" s="24"/>
      <c r="C43" s="84"/>
      <c r="D43" s="8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188">
        <v>1</v>
      </c>
      <c r="AH43" s="189"/>
      <c r="AI43" s="189"/>
      <c r="AJ43" s="190">
        <v>1</v>
      </c>
      <c r="AO43" s="435"/>
    </row>
    <row r="44" spans="2:41" s="29" customFormat="1" ht="49.5" customHeight="1" thickBot="1" x14ac:dyDescent="0.25">
      <c r="B44" s="24"/>
      <c r="C44" s="84"/>
      <c r="D44" s="8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188">
        <v>1</v>
      </c>
      <c r="AH44" s="189"/>
      <c r="AI44" s="189"/>
      <c r="AJ44" s="190">
        <v>1</v>
      </c>
      <c r="AO44" s="436"/>
    </row>
    <row r="45" spans="2:41" s="29" customFormat="1" ht="61.5" customHeight="1" x14ac:dyDescent="0.2">
      <c r="B45" s="24"/>
      <c r="C45" s="84"/>
      <c r="D45" s="8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88"/>
      <c r="AH45" s="189">
        <v>1</v>
      </c>
      <c r="AI45" s="189"/>
      <c r="AJ45" s="190">
        <v>1</v>
      </c>
      <c r="AO45" s="434" t="s">
        <v>84</v>
      </c>
    </row>
    <row r="46" spans="2:41" s="29" customFormat="1" ht="44.25" customHeight="1" x14ac:dyDescent="0.2">
      <c r="B46" s="24"/>
      <c r="C46" s="84"/>
      <c r="D46" s="8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188">
        <v>1</v>
      </c>
      <c r="AH46" s="189"/>
      <c r="AI46" s="189"/>
      <c r="AJ46" s="190">
        <v>1</v>
      </c>
      <c r="AO46" s="435"/>
    </row>
    <row r="47" spans="2:41" s="29" customFormat="1" ht="97.5" customHeight="1" x14ac:dyDescent="0.2">
      <c r="B47" s="24"/>
      <c r="C47" s="84"/>
      <c r="D47" s="84"/>
      <c r="J47" s="24"/>
      <c r="K47" s="24"/>
      <c r="L47" s="24"/>
      <c r="M47" s="24"/>
      <c r="N47" s="24"/>
      <c r="O47" s="24"/>
      <c r="P47" s="24"/>
      <c r="Q47" s="24"/>
      <c r="R47" s="24"/>
      <c r="S47" s="24"/>
      <c r="T47" s="24"/>
      <c r="U47" s="24"/>
      <c r="V47" s="24"/>
      <c r="W47" s="24"/>
      <c r="X47" s="24"/>
      <c r="Y47" s="24"/>
      <c r="Z47" s="24"/>
      <c r="AA47" s="24"/>
      <c r="AB47" s="24"/>
      <c r="AC47" s="24"/>
      <c r="AD47" s="24"/>
      <c r="AE47" s="42"/>
      <c r="AG47" s="188">
        <v>1</v>
      </c>
      <c r="AH47" s="189"/>
      <c r="AI47" s="189"/>
      <c r="AJ47" s="190">
        <v>1</v>
      </c>
      <c r="AO47" s="435"/>
    </row>
    <row r="48" spans="2:41" s="29" customFormat="1" ht="54.75" customHeight="1" thickBot="1" x14ac:dyDescent="0.25">
      <c r="B48" s="24"/>
      <c r="C48" s="84"/>
      <c r="D48" s="8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188">
        <v>1</v>
      </c>
      <c r="AH48" s="189"/>
      <c r="AI48" s="189"/>
      <c r="AJ48" s="190">
        <v>1</v>
      </c>
      <c r="AO48" s="436"/>
    </row>
    <row r="49" spans="2:41" s="29" customFormat="1" ht="83.25" customHeight="1" x14ac:dyDescent="0.2">
      <c r="B49" s="24"/>
      <c r="C49" s="84"/>
      <c r="D49" s="8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188">
        <v>1</v>
      </c>
      <c r="AH49" s="189"/>
      <c r="AI49" s="189"/>
      <c r="AJ49" s="190">
        <v>1</v>
      </c>
      <c r="AO49" s="434" t="s">
        <v>75</v>
      </c>
    </row>
    <row r="50" spans="2:41" s="29" customFormat="1" ht="82.5" customHeight="1" x14ac:dyDescent="0.2">
      <c r="B50" s="24"/>
      <c r="C50" s="84"/>
      <c r="D50" s="8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188"/>
      <c r="AH50" s="189"/>
      <c r="AI50" s="189">
        <v>1</v>
      </c>
      <c r="AJ50" s="190">
        <v>1</v>
      </c>
      <c r="AO50" s="435"/>
    </row>
    <row r="51" spans="2:41" s="29" customFormat="1" ht="67.5" customHeight="1" x14ac:dyDescent="0.2">
      <c r="B51" s="24"/>
      <c r="C51" s="84"/>
      <c r="D51" s="8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188"/>
      <c r="AH51" s="189">
        <v>1</v>
      </c>
      <c r="AI51" s="189"/>
      <c r="AJ51" s="190">
        <v>1</v>
      </c>
      <c r="AO51" s="435"/>
    </row>
    <row r="52" spans="2:41" s="29" customFormat="1" ht="65.25" customHeight="1" thickBot="1" x14ac:dyDescent="0.25">
      <c r="B52" s="24"/>
      <c r="C52" s="84"/>
      <c r="D52" s="8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88">
        <v>1</v>
      </c>
      <c r="AH52" s="189"/>
      <c r="AI52" s="189"/>
      <c r="AJ52" s="190">
        <v>1</v>
      </c>
      <c r="AO52" s="436"/>
    </row>
    <row r="53" spans="2:41" s="29" customFormat="1" ht="36.75" customHeight="1" x14ac:dyDescent="0.2">
      <c r="B53" s="24"/>
      <c r="C53" s="84"/>
      <c r="D53" s="8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88"/>
      <c r="AH53" s="189"/>
      <c r="AI53" s="189"/>
      <c r="AJ53" s="190"/>
    </row>
    <row r="54" spans="2:41" s="29" customFormat="1" ht="151.5" customHeight="1" x14ac:dyDescent="0.2">
      <c r="B54" s="24"/>
      <c r="C54" s="84"/>
      <c r="D54" s="84"/>
      <c r="I54" s="24"/>
      <c r="J54" s="24"/>
      <c r="K54" s="24"/>
      <c r="L54" s="24"/>
      <c r="M54" s="24"/>
      <c r="N54" s="24"/>
      <c r="O54" s="24"/>
      <c r="P54" s="24"/>
      <c r="Q54" s="24"/>
      <c r="R54" s="24"/>
      <c r="S54" s="24"/>
      <c r="T54" s="24"/>
      <c r="U54" s="24"/>
      <c r="V54" s="24"/>
      <c r="W54" s="24"/>
      <c r="X54" s="24"/>
      <c r="Y54" s="24"/>
      <c r="Z54" s="24"/>
      <c r="AA54" s="24"/>
      <c r="AB54" s="24"/>
      <c r="AC54" s="24"/>
      <c r="AD54" s="24"/>
      <c r="AE54" s="42"/>
      <c r="AG54" s="188"/>
      <c r="AH54" s="189"/>
      <c r="AI54" s="189">
        <v>1</v>
      </c>
      <c r="AJ54" s="190">
        <v>1</v>
      </c>
    </row>
    <row r="55" spans="2:41" s="29" customFormat="1" ht="100.5" customHeight="1" x14ac:dyDescent="0.2">
      <c r="B55" s="24"/>
      <c r="C55" s="84"/>
      <c r="D55" s="8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188"/>
      <c r="AH55" s="189"/>
      <c r="AI55" s="189">
        <v>1</v>
      </c>
      <c r="AJ55" s="190">
        <v>1</v>
      </c>
    </row>
    <row r="56" spans="2:41" s="29" customFormat="1" ht="113.25" customHeight="1" x14ac:dyDescent="0.2">
      <c r="B56" s="24"/>
      <c r="C56" s="84"/>
      <c r="D56" s="8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188"/>
      <c r="AH56" s="189">
        <v>1</v>
      </c>
      <c r="AI56" s="189"/>
      <c r="AJ56" s="190">
        <v>1</v>
      </c>
    </row>
    <row r="57" spans="2:41" ht="54.75" customHeight="1" x14ac:dyDescent="0.2">
      <c r="C57" s="84"/>
      <c r="D57" s="84"/>
      <c r="AE57" s="42"/>
      <c r="AF57" s="29"/>
      <c r="AG57" s="34"/>
      <c r="AH57" s="30">
        <v>1</v>
      </c>
      <c r="AI57" s="30"/>
      <c r="AJ57" s="35">
        <v>1</v>
      </c>
    </row>
    <row r="58" spans="2:41" ht="45.75" customHeight="1" x14ac:dyDescent="0.2">
      <c r="C58" s="84"/>
      <c r="D58" s="84"/>
      <c r="AE58" s="42"/>
      <c r="AF58" s="29"/>
      <c r="AG58" s="34"/>
      <c r="AH58" s="30">
        <v>1</v>
      </c>
      <c r="AI58" s="30"/>
      <c r="AJ58" s="35">
        <v>1</v>
      </c>
    </row>
    <row r="59" spans="2:41" ht="54.75" customHeight="1" x14ac:dyDescent="0.2">
      <c r="C59" s="84"/>
      <c r="D59" s="84"/>
      <c r="AE59" s="42"/>
      <c r="AF59" s="29"/>
      <c r="AG59" s="34"/>
      <c r="AH59" s="30">
        <v>1</v>
      </c>
      <c r="AI59" s="30"/>
      <c r="AJ59" s="35">
        <v>1</v>
      </c>
    </row>
    <row r="60" spans="2:41" ht="201.75" customHeight="1" x14ac:dyDescent="0.2">
      <c r="C60" s="84"/>
      <c r="D60" s="84"/>
      <c r="AE60" s="42"/>
      <c r="AF60" s="29"/>
      <c r="AG60" s="34"/>
      <c r="AH60" s="30">
        <v>1</v>
      </c>
      <c r="AI60" s="30"/>
      <c r="AJ60" s="35">
        <v>1</v>
      </c>
    </row>
    <row r="61" spans="2:41" ht="125.25" customHeight="1" x14ac:dyDescent="0.2">
      <c r="C61" s="84"/>
      <c r="D61" s="84"/>
      <c r="AE61" s="42"/>
      <c r="AF61" s="29"/>
      <c r="AG61" s="34"/>
      <c r="AH61" s="30">
        <v>1</v>
      </c>
      <c r="AI61" s="30"/>
      <c r="AJ61" s="35">
        <v>1</v>
      </c>
    </row>
    <row r="62" spans="2:41" ht="112.5" customHeight="1" thickBot="1" x14ac:dyDescent="0.25">
      <c r="C62" s="84"/>
      <c r="D62" s="84"/>
      <c r="AE62" s="42"/>
      <c r="AG62" s="36">
        <f>SUM(AG9:AG57)</f>
        <v>24</v>
      </c>
      <c r="AH62" s="37">
        <f>SUM(AH9:AH61)</f>
        <v>18</v>
      </c>
      <c r="AI62" s="37">
        <f>SUM(AI9:AI61)</f>
        <v>5</v>
      </c>
      <c r="AJ62" s="38">
        <f>SUM(AJ9:AJ61)</f>
        <v>47</v>
      </c>
    </row>
    <row r="63" spans="2:41" ht="94.5" customHeight="1" x14ac:dyDescent="0.2">
      <c r="C63" s="84"/>
      <c r="D63" s="84"/>
      <c r="AE63" s="42"/>
    </row>
    <row r="64" spans="2:41" ht="100.5" customHeight="1" x14ac:dyDescent="0.2">
      <c r="C64" s="84"/>
      <c r="D64" s="84"/>
      <c r="AE64" s="42"/>
    </row>
    <row r="65" spans="3:31" ht="226.5" customHeight="1" x14ac:dyDescent="0.2">
      <c r="C65" s="84"/>
      <c r="D65" s="84"/>
      <c r="AE65" s="42"/>
    </row>
    <row r="66" spans="3:31" ht="67.5" customHeight="1" x14ac:dyDescent="0.2">
      <c r="C66" s="84"/>
      <c r="D66" s="84"/>
      <c r="AE66" s="42"/>
    </row>
    <row r="67" spans="3:31" ht="90.75" customHeight="1" x14ac:dyDescent="0.2">
      <c r="C67" s="84"/>
      <c r="D67" s="84"/>
      <c r="AE67" s="42"/>
    </row>
    <row r="68" spans="3:31" ht="75" customHeight="1" x14ac:dyDescent="0.2">
      <c r="C68" s="84"/>
      <c r="D68" s="84"/>
      <c r="AE68" s="42"/>
    </row>
    <row r="69" spans="3:31" x14ac:dyDescent="0.2">
      <c r="C69" s="84"/>
      <c r="D69" s="84"/>
      <c r="AE69" s="42"/>
    </row>
    <row r="70" spans="3:31" ht="43.5" customHeight="1" x14ac:dyDescent="0.2">
      <c r="C70" s="84"/>
      <c r="D70" s="84"/>
      <c r="AE70" s="42"/>
    </row>
    <row r="71" spans="3:31" ht="49.5" customHeight="1" x14ac:dyDescent="0.2">
      <c r="C71" s="84"/>
      <c r="D71" s="84"/>
      <c r="AE71" s="42"/>
    </row>
    <row r="72" spans="3:31" ht="232.5" customHeight="1" x14ac:dyDescent="0.2">
      <c r="C72" s="84"/>
      <c r="D72" s="84"/>
      <c r="H72" s="84"/>
      <c r="I72" s="84"/>
      <c r="AE72" s="42"/>
    </row>
    <row r="73" spans="3:31" x14ac:dyDescent="0.2">
      <c r="C73" s="84"/>
      <c r="D73" s="84"/>
      <c r="AE73" s="42"/>
    </row>
    <row r="74" spans="3:31" ht="241.5" customHeight="1" x14ac:dyDescent="0.2">
      <c r="C74" s="84"/>
      <c r="D74" s="84"/>
      <c r="AE74" s="42"/>
    </row>
    <row r="75" spans="3:31" x14ac:dyDescent="0.2">
      <c r="AE75" s="42"/>
    </row>
    <row r="76" spans="3:31" x14ac:dyDescent="0.2">
      <c r="AE76" s="42"/>
    </row>
    <row r="77" spans="3:31" x14ac:dyDescent="0.2">
      <c r="AE77" s="42"/>
    </row>
    <row r="78" spans="3:31" x14ac:dyDescent="0.2">
      <c r="AE78" s="42"/>
    </row>
  </sheetData>
  <autoFilter ref="B8:AC14"/>
  <mergeCells count="56">
    <mergeCell ref="AO45:AO48"/>
    <mergeCell ref="AO49:AO52"/>
    <mergeCell ref="AO24:AO29"/>
    <mergeCell ref="AO30:AO33"/>
    <mergeCell ref="AO34:AO35"/>
    <mergeCell ref="AO36:AO39"/>
    <mergeCell ref="AG39:AG40"/>
    <mergeCell ref="AH39:AH40"/>
    <mergeCell ref="AI39:AI40"/>
    <mergeCell ref="AJ39:AJ40"/>
    <mergeCell ref="AO40:AO44"/>
    <mergeCell ref="H19:I19"/>
    <mergeCell ref="M19:N19"/>
    <mergeCell ref="O19:P19"/>
    <mergeCell ref="F20:G20"/>
    <mergeCell ref="H20:I20"/>
    <mergeCell ref="AG7:AJ7"/>
    <mergeCell ref="B9:B14"/>
    <mergeCell ref="AE9:AE14"/>
    <mergeCell ref="H21:I21"/>
    <mergeCell ref="AO16:AO23"/>
    <mergeCell ref="F17:G17"/>
    <mergeCell ref="H17:I17"/>
    <mergeCell ref="M17:N17"/>
    <mergeCell ref="O17:P17"/>
    <mergeCell ref="F18:G18"/>
    <mergeCell ref="H18:I18"/>
    <mergeCell ref="M18:N18"/>
    <mergeCell ref="O18:P18"/>
    <mergeCell ref="F19:G19"/>
    <mergeCell ref="H16:K16"/>
    <mergeCell ref="M16:P16"/>
    <mergeCell ref="B6:I6"/>
    <mergeCell ref="J6:N7"/>
    <mergeCell ref="O6:P6"/>
    <mergeCell ref="Q6:U7"/>
    <mergeCell ref="V6:AE6"/>
    <mergeCell ref="B7:B8"/>
    <mergeCell ref="C7:C8"/>
    <mergeCell ref="D7:D8"/>
    <mergeCell ref="O7:P7"/>
    <mergeCell ref="V7:Y7"/>
    <mergeCell ref="Z7:AD7"/>
    <mergeCell ref="AE7:AE8"/>
    <mergeCell ref="B5:AE5"/>
    <mergeCell ref="B2:AE2"/>
    <mergeCell ref="B3:F3"/>
    <mergeCell ref="G3:N3"/>
    <mergeCell ref="O3:T3"/>
    <mergeCell ref="U3:AA3"/>
    <mergeCell ref="AB3:AE3"/>
    <mergeCell ref="B4:F4"/>
    <mergeCell ref="G4:N4"/>
    <mergeCell ref="O4:T4"/>
    <mergeCell ref="U4:AA4"/>
    <mergeCell ref="AB4:AE4"/>
  </mergeCells>
  <conditionalFormatting sqref="N9:P14">
    <cfRule type="cellIs" dxfId="62" priority="21" operator="equal">
      <formula>5</formula>
    </cfRule>
    <cfRule type="cellIs" priority="22" operator="equal">
      <formula>5</formula>
    </cfRule>
    <cfRule type="cellIs" dxfId="61" priority="23" operator="between">
      <formula>6</formula>
      <formula>30</formula>
    </cfRule>
    <cfRule type="cellIs" dxfId="60" priority="24" operator="between">
      <formula>31</formula>
      <formula>60</formula>
    </cfRule>
  </conditionalFormatting>
  <conditionalFormatting sqref="N9:P14">
    <cfRule type="containsErrors" dxfId="59" priority="20">
      <formula>ISERROR(N9)</formula>
    </cfRule>
  </conditionalFormatting>
  <conditionalFormatting sqref="J9:J14">
    <cfRule type="containsText" dxfId="58" priority="19" operator="containsText" text="N/A">
      <formula>NOT(ISERROR(SEARCH("N/A",J9)))</formula>
    </cfRule>
  </conditionalFormatting>
  <conditionalFormatting sqref="L9:L14">
    <cfRule type="containsText" dxfId="57" priority="18" operator="containsText" text="N/A">
      <formula>NOT(ISERROR(SEARCH("N/A",L9)))</formula>
    </cfRule>
  </conditionalFormatting>
  <conditionalFormatting sqref="V9:Y14">
    <cfRule type="containsErrors" dxfId="56" priority="17">
      <formula>ISERROR(V9)</formula>
    </cfRule>
  </conditionalFormatting>
  <conditionalFormatting sqref="U9:U14">
    <cfRule type="cellIs" dxfId="55" priority="13" operator="equal">
      <formula>5</formula>
    </cfRule>
    <cfRule type="cellIs" priority="14" operator="equal">
      <formula>5</formula>
    </cfRule>
    <cfRule type="cellIs" dxfId="54" priority="15" operator="between">
      <formula>6</formula>
      <formula>30</formula>
    </cfRule>
    <cfRule type="cellIs" dxfId="53" priority="16" operator="between">
      <formula>31</formula>
      <formula>60</formula>
    </cfRule>
  </conditionalFormatting>
  <conditionalFormatting sqref="U9:U14">
    <cfRule type="containsErrors" dxfId="52" priority="12">
      <formula>ISERROR(U9)</formula>
    </cfRule>
  </conditionalFormatting>
  <conditionalFormatting sqref="Q9:Q14">
    <cfRule type="containsText" dxfId="51" priority="11" operator="containsText" text="N/A">
      <formula>NOT(ISERROR(SEARCH("N/A",Q9)))</formula>
    </cfRule>
  </conditionalFormatting>
  <conditionalFormatting sqref="S9:S14">
    <cfRule type="containsText" dxfId="50" priority="10" operator="containsText" text="N/A">
      <formula>NOT(ISERROR(SEARCH("N/A",S9)))</formula>
    </cfRule>
  </conditionalFormatting>
  <conditionalFormatting sqref="M18 O18">
    <cfRule type="cellIs" dxfId="49" priority="6" operator="equal">
      <formula>5</formula>
    </cfRule>
    <cfRule type="cellIs" priority="7" operator="equal">
      <formula>5</formula>
    </cfRule>
    <cfRule type="cellIs" dxfId="48" priority="8" operator="between">
      <formula>6</formula>
      <formula>30</formula>
    </cfRule>
    <cfRule type="cellIs" dxfId="47" priority="9" operator="between">
      <formula>31</formula>
      <formula>60</formula>
    </cfRule>
  </conditionalFormatting>
  <conditionalFormatting sqref="M18 O18">
    <cfRule type="containsErrors" dxfId="46" priority="5">
      <formula>ISERROR(M18)</formula>
    </cfRule>
  </conditionalFormatting>
  <conditionalFormatting sqref="K9:K14">
    <cfRule type="containsText" dxfId="45" priority="4" operator="containsText" text="N/A">
      <formula>NOT(ISERROR(SEARCH("N/A",K9)))</formula>
    </cfRule>
  </conditionalFormatting>
  <conditionalFormatting sqref="M9:M14">
    <cfRule type="containsText" dxfId="44" priority="3" operator="containsText" text="N/A">
      <formula>NOT(ISERROR(SEARCH("N/A",M9)))</formula>
    </cfRule>
  </conditionalFormatting>
  <conditionalFormatting sqref="R9:R14">
    <cfRule type="containsText" dxfId="43" priority="2" operator="containsText" text="N/A">
      <formula>NOT(ISERROR(SEARCH("N/A",R9)))</formula>
    </cfRule>
  </conditionalFormatting>
  <conditionalFormatting sqref="T9:T14">
    <cfRule type="containsText" dxfId="42" priority="1" operator="containsText" text="N/A">
      <formula>NOT(ISERROR(SEARCH("N/A",T9)))</formula>
    </cfRule>
  </conditionalFormatting>
  <dataValidations count="4">
    <dataValidation type="list" allowBlank="1" showInputMessage="1" showErrorMessage="1" sqref="C9:C14">
      <formula1>$AM$8:$AM$9</formula1>
    </dataValidation>
    <dataValidation type="list" allowBlank="1" showInputMessage="1" showErrorMessage="1" sqref="L9:L14 S9:S14">
      <formula1>$AL$8:$AL$11</formula1>
    </dataValidation>
    <dataValidation type="list" allowBlank="1" showInputMessage="1" showErrorMessage="1" sqref="J9:J14 Q9:Q14">
      <formula1>$AK$8:$AK$11</formula1>
    </dataValidation>
    <dataValidation type="list" allowBlank="1" showInputMessage="1" showErrorMessage="1" sqref="D9:D14">
      <formula1>$AN$8:$AN$13</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pageSetUpPr fitToPage="1"/>
  </sheetPr>
  <dimension ref="B1:AO79"/>
  <sheetViews>
    <sheetView showGridLines="0" view="pageBreakPreview" topLeftCell="A8" zoomScale="50" zoomScaleNormal="25" zoomScaleSheetLayoutView="50" zoomScalePageLayoutView="75" workbookViewId="0">
      <selection activeCell="E15" sqref="E15"/>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72" t="s">
        <v>111</v>
      </c>
      <c r="C2" s="373"/>
      <c r="D2" s="373"/>
      <c r="E2" s="373"/>
      <c r="F2" s="373"/>
      <c r="G2" s="373"/>
      <c r="H2" s="373"/>
      <c r="I2" s="373"/>
      <c r="J2" s="373"/>
      <c r="K2" s="373"/>
      <c r="L2" s="373"/>
      <c r="M2" s="373"/>
      <c r="N2" s="373"/>
      <c r="O2" s="373"/>
      <c r="P2" s="373"/>
      <c r="Q2" s="373"/>
      <c r="R2" s="373"/>
      <c r="S2" s="373"/>
      <c r="T2" s="373"/>
      <c r="U2" s="373"/>
      <c r="V2" s="373"/>
      <c r="W2" s="373"/>
      <c r="X2" s="373"/>
      <c r="Y2" s="373"/>
      <c r="Z2" s="373"/>
      <c r="AA2" s="373"/>
      <c r="AB2" s="373"/>
      <c r="AC2" s="373"/>
      <c r="AD2" s="373"/>
      <c r="AE2" s="373"/>
      <c r="AF2" s="31"/>
    </row>
    <row r="3" spans="2:41" s="29" customFormat="1" ht="66" customHeight="1" thickBot="1" x14ac:dyDescent="0.25">
      <c r="B3" s="374" t="s">
        <v>39</v>
      </c>
      <c r="C3" s="375"/>
      <c r="D3" s="375"/>
      <c r="E3" s="375"/>
      <c r="F3" s="375"/>
      <c r="G3" s="374" t="s">
        <v>110</v>
      </c>
      <c r="H3" s="375"/>
      <c r="I3" s="375"/>
      <c r="J3" s="375"/>
      <c r="K3" s="375"/>
      <c r="L3" s="375"/>
      <c r="M3" s="375"/>
      <c r="N3" s="376"/>
      <c r="O3" s="374" t="s">
        <v>109</v>
      </c>
      <c r="P3" s="375"/>
      <c r="Q3" s="375"/>
      <c r="R3" s="375"/>
      <c r="S3" s="375"/>
      <c r="T3" s="376"/>
      <c r="U3" s="374" t="s">
        <v>40</v>
      </c>
      <c r="V3" s="375"/>
      <c r="W3" s="375"/>
      <c r="X3" s="375"/>
      <c r="Y3" s="375"/>
      <c r="Z3" s="375"/>
      <c r="AA3" s="376"/>
      <c r="AB3" s="374" t="s">
        <v>37</v>
      </c>
      <c r="AC3" s="375"/>
      <c r="AD3" s="375"/>
      <c r="AE3" s="376"/>
      <c r="AF3" s="32"/>
    </row>
    <row r="4" spans="2:41" s="29" customFormat="1" ht="72" customHeight="1" thickBot="1" x14ac:dyDescent="0.25">
      <c r="B4" s="377" t="s">
        <v>38</v>
      </c>
      <c r="C4" s="378"/>
      <c r="D4" s="378"/>
      <c r="E4" s="378"/>
      <c r="F4" s="378"/>
      <c r="G4" s="379">
        <v>42874</v>
      </c>
      <c r="H4" s="380"/>
      <c r="I4" s="380"/>
      <c r="J4" s="380"/>
      <c r="K4" s="380"/>
      <c r="L4" s="380"/>
      <c r="M4" s="380"/>
      <c r="N4" s="381"/>
      <c r="O4" s="382">
        <v>43700</v>
      </c>
      <c r="P4" s="383"/>
      <c r="Q4" s="383"/>
      <c r="R4" s="383"/>
      <c r="S4" s="383"/>
      <c r="T4" s="384"/>
      <c r="U4" s="377">
        <v>4</v>
      </c>
      <c r="V4" s="378"/>
      <c r="W4" s="378"/>
      <c r="X4" s="378"/>
      <c r="Y4" s="378"/>
      <c r="Z4" s="378"/>
      <c r="AA4" s="385"/>
      <c r="AB4" s="377" t="s">
        <v>52</v>
      </c>
      <c r="AC4" s="378"/>
      <c r="AD4" s="378"/>
      <c r="AE4" s="385"/>
      <c r="AF4" s="264"/>
    </row>
    <row r="5" spans="2:41" s="29" customFormat="1" ht="32.1" customHeight="1" thickBot="1" x14ac:dyDescent="0.25">
      <c r="B5" s="370" t="s">
        <v>688</v>
      </c>
      <c r="C5" s="371"/>
      <c r="D5" s="371"/>
      <c r="E5" s="371"/>
      <c r="F5" s="371"/>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264"/>
    </row>
    <row r="6" spans="2:41" s="29" customFormat="1" ht="54.95" customHeight="1" thickBot="1" x14ac:dyDescent="0.25">
      <c r="B6" s="396" t="s">
        <v>0</v>
      </c>
      <c r="C6" s="397"/>
      <c r="D6" s="397"/>
      <c r="E6" s="397"/>
      <c r="F6" s="397"/>
      <c r="G6" s="397"/>
      <c r="H6" s="397"/>
      <c r="I6" s="398"/>
      <c r="J6" s="399" t="s">
        <v>62</v>
      </c>
      <c r="K6" s="400"/>
      <c r="L6" s="400"/>
      <c r="M6" s="400"/>
      <c r="N6" s="401"/>
      <c r="O6" s="405" t="s">
        <v>94</v>
      </c>
      <c r="P6" s="406"/>
      <c r="Q6" s="407" t="s">
        <v>63</v>
      </c>
      <c r="R6" s="408"/>
      <c r="S6" s="408"/>
      <c r="T6" s="408"/>
      <c r="U6" s="409"/>
      <c r="V6" s="413" t="s">
        <v>58</v>
      </c>
      <c r="W6" s="414"/>
      <c r="X6" s="414"/>
      <c r="Y6" s="414"/>
      <c r="Z6" s="414"/>
      <c r="AA6" s="414"/>
      <c r="AB6" s="414"/>
      <c r="AC6" s="414"/>
      <c r="AD6" s="414"/>
      <c r="AE6" s="415"/>
    </row>
    <row r="7" spans="2:41" s="29" customFormat="1" ht="90" customHeight="1" thickBot="1" x14ac:dyDescent="0.25">
      <c r="B7" s="416" t="s">
        <v>8</v>
      </c>
      <c r="C7" s="417" t="s">
        <v>60</v>
      </c>
      <c r="D7" s="417" t="s">
        <v>91</v>
      </c>
      <c r="E7" s="77" t="s">
        <v>61</v>
      </c>
      <c r="F7" s="43" t="s">
        <v>9</v>
      </c>
      <c r="G7" s="43" t="s">
        <v>104</v>
      </c>
      <c r="H7" s="43" t="s">
        <v>10</v>
      </c>
      <c r="I7" s="96" t="s">
        <v>59</v>
      </c>
      <c r="J7" s="402"/>
      <c r="K7" s="403"/>
      <c r="L7" s="403"/>
      <c r="M7" s="403"/>
      <c r="N7" s="404"/>
      <c r="O7" s="419" t="s">
        <v>103</v>
      </c>
      <c r="P7" s="420"/>
      <c r="Q7" s="410"/>
      <c r="R7" s="411"/>
      <c r="S7" s="411"/>
      <c r="T7" s="411"/>
      <c r="U7" s="412"/>
      <c r="V7" s="421" t="s">
        <v>96</v>
      </c>
      <c r="W7" s="422"/>
      <c r="X7" s="422"/>
      <c r="Y7" s="423"/>
      <c r="Z7" s="461" t="s">
        <v>53</v>
      </c>
      <c r="AA7" s="462"/>
      <c r="AB7" s="462"/>
      <c r="AC7" s="462"/>
      <c r="AD7" s="463"/>
      <c r="AE7" s="431" t="s">
        <v>25</v>
      </c>
      <c r="AG7" s="386" t="s">
        <v>45</v>
      </c>
      <c r="AH7" s="386"/>
      <c r="AI7" s="386"/>
      <c r="AJ7" s="386"/>
      <c r="AK7" s="29" t="s">
        <v>67</v>
      </c>
      <c r="AL7" s="29" t="s">
        <v>68</v>
      </c>
    </row>
    <row r="8" spans="2:41" s="29" customFormat="1" ht="202.5" customHeight="1" thickBot="1" x14ac:dyDescent="0.25">
      <c r="B8" s="416"/>
      <c r="C8" s="418"/>
      <c r="D8" s="418"/>
      <c r="E8" s="78" t="s">
        <v>7</v>
      </c>
      <c r="F8" s="23" t="s">
        <v>64</v>
      </c>
      <c r="G8" s="23" t="s">
        <v>13</v>
      </c>
      <c r="H8" s="23" t="s">
        <v>65</v>
      </c>
      <c r="I8" s="23" t="s">
        <v>66</v>
      </c>
      <c r="J8" s="97" t="s">
        <v>11</v>
      </c>
      <c r="K8" s="103" t="s">
        <v>12</v>
      </c>
      <c r="L8" s="98" t="s">
        <v>1</v>
      </c>
      <c r="M8" s="103" t="s">
        <v>2</v>
      </c>
      <c r="N8" s="107" t="s">
        <v>95</v>
      </c>
      <c r="O8" s="105" t="s">
        <v>92</v>
      </c>
      <c r="P8" s="106" t="s">
        <v>93</v>
      </c>
      <c r="Q8" s="102" t="s">
        <v>11</v>
      </c>
      <c r="R8" s="103" t="s">
        <v>12</v>
      </c>
      <c r="S8" s="103" t="s">
        <v>1</v>
      </c>
      <c r="T8" s="103" t="s">
        <v>2</v>
      </c>
      <c r="U8" s="104" t="s">
        <v>102</v>
      </c>
      <c r="V8" s="99" t="s">
        <v>97</v>
      </c>
      <c r="W8" s="100" t="s">
        <v>98</v>
      </c>
      <c r="X8" s="100" t="s">
        <v>99</v>
      </c>
      <c r="Y8" s="101" t="s">
        <v>100</v>
      </c>
      <c r="Z8" s="53" t="s">
        <v>54</v>
      </c>
      <c r="AA8" s="54" t="s">
        <v>55</v>
      </c>
      <c r="AB8" s="55" t="s">
        <v>56</v>
      </c>
      <c r="AC8" s="54" t="s">
        <v>57</v>
      </c>
      <c r="AD8" s="109" t="s">
        <v>101</v>
      </c>
      <c r="AE8" s="432"/>
      <c r="AG8" s="74" t="s">
        <v>41</v>
      </c>
      <c r="AH8" s="75" t="s">
        <v>42</v>
      </c>
      <c r="AI8" s="75" t="s">
        <v>43</v>
      </c>
      <c r="AJ8" s="76" t="s">
        <v>44</v>
      </c>
      <c r="AK8" s="87" t="s">
        <v>85</v>
      </c>
      <c r="AL8" s="87" t="s">
        <v>85</v>
      </c>
      <c r="AM8" s="29" t="s">
        <v>71</v>
      </c>
      <c r="AN8" s="29" t="s">
        <v>72</v>
      </c>
      <c r="AO8" s="92"/>
    </row>
    <row r="9" spans="2:41" s="29" customFormat="1" ht="251.25" customHeight="1" x14ac:dyDescent="0.2">
      <c r="B9" s="387" t="s">
        <v>73</v>
      </c>
      <c r="C9" s="79" t="s">
        <v>71</v>
      </c>
      <c r="D9" s="95" t="s">
        <v>77</v>
      </c>
      <c r="E9" s="300" t="s">
        <v>473</v>
      </c>
      <c r="F9" s="301" t="s">
        <v>474</v>
      </c>
      <c r="G9" s="301" t="s">
        <v>475</v>
      </c>
      <c r="H9" s="301" t="s">
        <v>476</v>
      </c>
      <c r="I9" s="301" t="s">
        <v>477</v>
      </c>
      <c r="J9" s="88">
        <v>2</v>
      </c>
      <c r="K9" s="88" t="str">
        <f>IF(J9=3,"ALTO",IF(J9=2,"MEDIO",IF(J9="N/A","N/A","BAJO")))</f>
        <v>MEDIO</v>
      </c>
      <c r="L9" s="44">
        <v>20</v>
      </c>
      <c r="M9" s="88" t="str">
        <f>IF(L9=20,"ALTO",IF(L9=10,"MEDIO",IF(L9="N/A","N/A","BAJO")))</f>
        <v>ALTO</v>
      </c>
      <c r="N9" s="90">
        <f>J9*L9</f>
        <v>40</v>
      </c>
      <c r="O9" s="301" t="s">
        <v>478</v>
      </c>
      <c r="P9" s="121" t="s">
        <v>689</v>
      </c>
      <c r="Q9" s="88">
        <v>1</v>
      </c>
      <c r="R9" s="88" t="str">
        <f>IF(Q9=3,"ALTO",IF(Q9=2,"MEDIO",IF(Q9="N/A","N/A","BAJO")))</f>
        <v>BAJO</v>
      </c>
      <c r="S9" s="88">
        <v>20</v>
      </c>
      <c r="T9" s="44" t="str">
        <f>IF(S9=20,"ALTO",IF(S9=10,"MEDIO",IF(S9="N/A","N/A","BAJO")))</f>
        <v>ALTO</v>
      </c>
      <c r="U9" s="108">
        <f>Q9*S9</f>
        <v>20</v>
      </c>
      <c r="V9" s="59"/>
      <c r="W9" s="59" t="s">
        <v>118</v>
      </c>
      <c r="X9" s="59"/>
      <c r="Y9" s="59"/>
      <c r="Z9" s="117" t="s">
        <v>690</v>
      </c>
      <c r="AA9" s="117" t="s">
        <v>479</v>
      </c>
      <c r="AB9" s="302" t="s">
        <v>480</v>
      </c>
      <c r="AC9" s="304" t="s">
        <v>691</v>
      </c>
      <c r="AD9" s="117" t="s">
        <v>481</v>
      </c>
      <c r="AE9" s="390">
        <v>43732</v>
      </c>
      <c r="AG9" s="51">
        <v>1</v>
      </c>
      <c r="AH9" s="52"/>
      <c r="AI9" s="52"/>
      <c r="AJ9" s="50">
        <f>SUM(AG9:AI9)</f>
        <v>1</v>
      </c>
      <c r="AK9" s="29">
        <v>1</v>
      </c>
      <c r="AL9" s="29">
        <v>5</v>
      </c>
      <c r="AM9" s="29" t="s">
        <v>74</v>
      </c>
      <c r="AN9" s="29" t="s">
        <v>76</v>
      </c>
      <c r="AO9" s="93"/>
    </row>
    <row r="10" spans="2:41" s="29" customFormat="1" ht="287.25" customHeight="1" x14ac:dyDescent="0.2">
      <c r="B10" s="388"/>
      <c r="C10" s="80" t="s">
        <v>71</v>
      </c>
      <c r="D10" s="262" t="s">
        <v>89</v>
      </c>
      <c r="E10" s="45" t="s">
        <v>483</v>
      </c>
      <c r="F10" s="118" t="s">
        <v>482</v>
      </c>
      <c r="G10" s="118" t="s">
        <v>484</v>
      </c>
      <c r="H10" s="118" t="s">
        <v>485</v>
      </c>
      <c r="I10" s="118" t="s">
        <v>486</v>
      </c>
      <c r="J10" s="88">
        <v>2</v>
      </c>
      <c r="K10" s="57" t="str">
        <f t="shared" ref="K10:K15" si="0">IF(J10=3,"ALTO",IF(J10=2,"MEDIO",IF(J10="N/A","N/A","BAJO")))</f>
        <v>MEDIO</v>
      </c>
      <c r="L10" s="57">
        <v>20</v>
      </c>
      <c r="M10" s="57" t="str">
        <f t="shared" ref="M10:M15" si="1">IF(L10=20,"ALTO",IF(L10=10,"MEDIO",IF(L10="N/A","N/A","BAJO")))</f>
        <v>ALTO</v>
      </c>
      <c r="N10" s="89">
        <f t="shared" ref="N10:N15" si="2">J10*L10</f>
        <v>40</v>
      </c>
      <c r="O10" s="132" t="s">
        <v>723</v>
      </c>
      <c r="P10" s="132" t="s">
        <v>692</v>
      </c>
      <c r="Q10" s="88">
        <v>1</v>
      </c>
      <c r="R10" s="88" t="str">
        <f t="shared" ref="R10:R15" si="3">IF(Q10=3,"ALTO",IF(Q10=2,"MEDIO",IF(Q10="N/A","N/A","BAJO")))</f>
        <v>BAJO</v>
      </c>
      <c r="S10" s="57">
        <v>20</v>
      </c>
      <c r="T10" s="88" t="str">
        <f t="shared" ref="T10:T15" si="4">IF(S10=20,"ALTO",IF(S10=10,"MEDIO",IF(S10="N/A","N/A","BAJO")))</f>
        <v>ALTO</v>
      </c>
      <c r="U10" s="89">
        <f t="shared" ref="U10:U15" si="5">Q10*S10</f>
        <v>20</v>
      </c>
      <c r="V10" s="59"/>
      <c r="W10" s="59" t="s">
        <v>118</v>
      </c>
      <c r="X10" s="59"/>
      <c r="Y10" s="59"/>
      <c r="Z10" s="125" t="s">
        <v>487</v>
      </c>
      <c r="AA10" s="126" t="s">
        <v>488</v>
      </c>
      <c r="AB10" s="127" t="s">
        <v>480</v>
      </c>
      <c r="AC10" s="303" t="s">
        <v>121</v>
      </c>
      <c r="AD10" s="118" t="s">
        <v>693</v>
      </c>
      <c r="AE10" s="391"/>
      <c r="AG10" s="261"/>
      <c r="AH10" s="262">
        <v>1</v>
      </c>
      <c r="AI10" s="262"/>
      <c r="AJ10" s="263">
        <f t="shared" ref="AJ10:AJ27" si="6">SUM(AG10:AI10)</f>
        <v>1</v>
      </c>
      <c r="AK10" s="29">
        <v>2</v>
      </c>
      <c r="AL10" s="29">
        <v>10</v>
      </c>
      <c r="AN10" s="29" t="s">
        <v>77</v>
      </c>
      <c r="AO10" s="93"/>
    </row>
    <row r="11" spans="2:41" s="29" customFormat="1" ht="318.75" customHeight="1" x14ac:dyDescent="0.2">
      <c r="B11" s="388"/>
      <c r="C11" s="80" t="s">
        <v>71</v>
      </c>
      <c r="D11" s="262" t="s">
        <v>77</v>
      </c>
      <c r="E11" s="289" t="s">
        <v>489</v>
      </c>
      <c r="F11" s="182" t="s">
        <v>490</v>
      </c>
      <c r="G11" s="182" t="s">
        <v>491</v>
      </c>
      <c r="H11" s="182" t="s">
        <v>492</v>
      </c>
      <c r="I11" s="182" t="s">
        <v>493</v>
      </c>
      <c r="J11" s="88">
        <v>2</v>
      </c>
      <c r="K11" s="57" t="str">
        <f t="shared" si="0"/>
        <v>MEDIO</v>
      </c>
      <c r="L11" s="57">
        <v>20</v>
      </c>
      <c r="M11" s="57" t="str">
        <f t="shared" si="1"/>
        <v>ALTO</v>
      </c>
      <c r="N11" s="89">
        <f t="shared" si="2"/>
        <v>40</v>
      </c>
      <c r="O11" s="182" t="s">
        <v>494</v>
      </c>
      <c r="P11" s="132" t="s">
        <v>694</v>
      </c>
      <c r="Q11" s="88">
        <v>1</v>
      </c>
      <c r="R11" s="88" t="str">
        <f t="shared" si="3"/>
        <v>BAJO</v>
      </c>
      <c r="S11" s="57">
        <v>10</v>
      </c>
      <c r="T11" s="88" t="str">
        <f t="shared" si="4"/>
        <v>MEDIO</v>
      </c>
      <c r="U11" s="89">
        <f t="shared" si="5"/>
        <v>10</v>
      </c>
      <c r="V11" s="59"/>
      <c r="W11" s="59" t="s">
        <v>118</v>
      </c>
      <c r="X11" s="59"/>
      <c r="Y11" s="59"/>
      <c r="Z11" s="118" t="s">
        <v>495</v>
      </c>
      <c r="AA11" s="118" t="s">
        <v>496</v>
      </c>
      <c r="AB11" s="284" t="s">
        <v>497</v>
      </c>
      <c r="AC11" s="284" t="s">
        <v>121</v>
      </c>
      <c r="AD11" s="128" t="s">
        <v>498</v>
      </c>
      <c r="AE11" s="391"/>
      <c r="AG11" s="261">
        <v>1</v>
      </c>
      <c r="AH11" s="262"/>
      <c r="AI11" s="262"/>
      <c r="AJ11" s="263">
        <f t="shared" si="6"/>
        <v>1</v>
      </c>
      <c r="AK11" s="29">
        <v>3</v>
      </c>
      <c r="AL11" s="29">
        <v>20</v>
      </c>
      <c r="AN11" s="29" t="s">
        <v>88</v>
      </c>
      <c r="AO11" s="93"/>
    </row>
    <row r="12" spans="2:41" s="29" customFormat="1" ht="318.75" customHeight="1" x14ac:dyDescent="0.2">
      <c r="B12" s="388"/>
      <c r="C12" s="156" t="s">
        <v>71</v>
      </c>
      <c r="D12" s="157" t="s">
        <v>89</v>
      </c>
      <c r="E12" s="158" t="s">
        <v>499</v>
      </c>
      <c r="F12" s="159" t="s">
        <v>500</v>
      </c>
      <c r="G12" s="159" t="s">
        <v>501</v>
      </c>
      <c r="H12" s="159" t="s">
        <v>502</v>
      </c>
      <c r="I12" s="159" t="s">
        <v>503</v>
      </c>
      <c r="J12" s="57">
        <v>2</v>
      </c>
      <c r="K12" s="57" t="str">
        <f t="shared" si="0"/>
        <v>MEDIO</v>
      </c>
      <c r="L12" s="160">
        <v>20</v>
      </c>
      <c r="M12" s="57" t="str">
        <f t="shared" si="1"/>
        <v>ALTO</v>
      </c>
      <c r="N12" s="89">
        <f t="shared" si="2"/>
        <v>40</v>
      </c>
      <c r="O12" s="161" t="s">
        <v>504</v>
      </c>
      <c r="P12" s="161" t="s">
        <v>695</v>
      </c>
      <c r="Q12" s="57">
        <v>1</v>
      </c>
      <c r="R12" s="88" t="str">
        <f t="shared" si="3"/>
        <v>BAJO</v>
      </c>
      <c r="S12" s="160">
        <v>20</v>
      </c>
      <c r="T12" s="88" t="str">
        <f t="shared" si="4"/>
        <v>ALTO</v>
      </c>
      <c r="U12" s="89">
        <f t="shared" si="5"/>
        <v>20</v>
      </c>
      <c r="V12" s="165"/>
      <c r="W12" s="165" t="s">
        <v>118</v>
      </c>
      <c r="X12" s="165"/>
      <c r="Y12" s="165"/>
      <c r="Z12" s="118" t="s">
        <v>507</v>
      </c>
      <c r="AA12" s="159" t="s">
        <v>508</v>
      </c>
      <c r="AB12" s="306" t="s">
        <v>505</v>
      </c>
      <c r="AC12" s="306" t="s">
        <v>506</v>
      </c>
      <c r="AD12" s="164" t="s">
        <v>696</v>
      </c>
      <c r="AE12" s="391"/>
      <c r="AG12" s="261"/>
      <c r="AH12" s="262"/>
      <c r="AI12" s="262"/>
      <c r="AJ12" s="263"/>
      <c r="AN12" s="29" t="s">
        <v>89</v>
      </c>
      <c r="AO12" s="93"/>
    </row>
    <row r="13" spans="2:41" s="29" customFormat="1" ht="318.75" customHeight="1" x14ac:dyDescent="0.2">
      <c r="B13" s="388"/>
      <c r="C13" s="156" t="s">
        <v>71</v>
      </c>
      <c r="D13" s="157" t="s">
        <v>77</v>
      </c>
      <c r="E13" s="289" t="s">
        <v>509</v>
      </c>
      <c r="F13" s="182" t="s">
        <v>510</v>
      </c>
      <c r="G13" s="182" t="s">
        <v>511</v>
      </c>
      <c r="H13" s="182" t="s">
        <v>512</v>
      </c>
      <c r="I13" s="182" t="s">
        <v>513</v>
      </c>
      <c r="J13" s="57">
        <v>2</v>
      </c>
      <c r="K13" s="57" t="str">
        <f t="shared" si="0"/>
        <v>MEDIO</v>
      </c>
      <c r="L13" s="57">
        <v>20</v>
      </c>
      <c r="M13" s="57" t="str">
        <f t="shared" si="1"/>
        <v>ALTO</v>
      </c>
      <c r="N13" s="89">
        <f t="shared" si="2"/>
        <v>40</v>
      </c>
      <c r="O13" s="182" t="s">
        <v>514</v>
      </c>
      <c r="P13" s="132" t="s">
        <v>697</v>
      </c>
      <c r="Q13" s="57">
        <v>1</v>
      </c>
      <c r="R13" s="88" t="str">
        <f t="shared" si="3"/>
        <v>BAJO</v>
      </c>
      <c r="S13" s="160">
        <v>10</v>
      </c>
      <c r="T13" s="88" t="str">
        <f t="shared" si="4"/>
        <v>MEDIO</v>
      </c>
      <c r="U13" s="89">
        <f t="shared" si="5"/>
        <v>10</v>
      </c>
      <c r="V13" s="165"/>
      <c r="W13" s="165" t="s">
        <v>118</v>
      </c>
      <c r="X13" s="165"/>
      <c r="Y13" s="165"/>
      <c r="Z13" s="182" t="s">
        <v>515</v>
      </c>
      <c r="AA13" s="311" t="s">
        <v>516</v>
      </c>
      <c r="AB13" s="312" t="s">
        <v>698</v>
      </c>
      <c r="AC13" s="284" t="s">
        <v>517</v>
      </c>
      <c r="AD13" s="125" t="s">
        <v>699</v>
      </c>
      <c r="AE13" s="391"/>
      <c r="AG13" s="261"/>
      <c r="AH13" s="262"/>
      <c r="AI13" s="262"/>
      <c r="AJ13" s="263"/>
      <c r="AN13" s="29" t="s">
        <v>90</v>
      </c>
      <c r="AO13" s="93"/>
    </row>
    <row r="14" spans="2:41" s="29" customFormat="1" ht="318.75" customHeight="1" x14ac:dyDescent="0.2">
      <c r="B14" s="388"/>
      <c r="C14" s="156" t="s">
        <v>71</v>
      </c>
      <c r="D14" s="157" t="s">
        <v>76</v>
      </c>
      <c r="E14" s="314" t="s">
        <v>967</v>
      </c>
      <c r="F14" s="315" t="s">
        <v>700</v>
      </c>
      <c r="G14" s="315" t="s">
        <v>701</v>
      </c>
      <c r="H14" s="315" t="s">
        <v>702</v>
      </c>
      <c r="I14" s="315" t="s">
        <v>703</v>
      </c>
      <c r="J14" s="88">
        <v>3</v>
      </c>
      <c r="K14" s="57" t="str">
        <f t="shared" si="0"/>
        <v>ALTO</v>
      </c>
      <c r="L14" s="88">
        <v>10</v>
      </c>
      <c r="M14" s="57" t="str">
        <f t="shared" si="1"/>
        <v>MEDIO</v>
      </c>
      <c r="N14" s="89">
        <f t="shared" si="2"/>
        <v>30</v>
      </c>
      <c r="O14" s="316" t="s">
        <v>704</v>
      </c>
      <c r="P14" s="277" t="s">
        <v>705</v>
      </c>
      <c r="Q14" s="88">
        <v>1</v>
      </c>
      <c r="R14" s="88" t="str">
        <f t="shared" si="3"/>
        <v>BAJO</v>
      </c>
      <c r="S14" s="57">
        <v>10</v>
      </c>
      <c r="T14" s="88" t="str">
        <f t="shared" si="4"/>
        <v>MEDIO</v>
      </c>
      <c r="U14" s="89">
        <f t="shared" si="5"/>
        <v>10</v>
      </c>
      <c r="V14" s="59"/>
      <c r="W14" s="59" t="s">
        <v>118</v>
      </c>
      <c r="X14" s="59"/>
      <c r="Y14" s="59"/>
      <c r="Z14" s="315" t="s">
        <v>706</v>
      </c>
      <c r="AA14" s="317" t="s">
        <v>496</v>
      </c>
      <c r="AB14" s="318" t="s">
        <v>707</v>
      </c>
      <c r="AC14" s="319" t="s">
        <v>121</v>
      </c>
      <c r="AD14" s="122" t="s">
        <v>708</v>
      </c>
      <c r="AE14" s="391"/>
      <c r="AG14" s="267"/>
      <c r="AH14" s="268"/>
      <c r="AI14" s="268"/>
      <c r="AJ14" s="269"/>
      <c r="AO14" s="93"/>
    </row>
    <row r="15" spans="2:41" s="29" customFormat="1" ht="176.25" customHeight="1" thickBot="1" x14ac:dyDescent="0.25">
      <c r="B15" s="389"/>
      <c r="C15" s="81" t="s">
        <v>74</v>
      </c>
      <c r="D15" s="82" t="s">
        <v>76</v>
      </c>
      <c r="E15" s="224" t="s">
        <v>711</v>
      </c>
      <c r="F15" s="225" t="s">
        <v>709</v>
      </c>
      <c r="G15" s="225" t="s">
        <v>710</v>
      </c>
      <c r="H15" s="225" t="s">
        <v>712</v>
      </c>
      <c r="I15" s="225" t="s">
        <v>713</v>
      </c>
      <c r="J15" s="226" t="s">
        <v>85</v>
      </c>
      <c r="K15" s="226" t="str">
        <f t="shared" si="0"/>
        <v>N/A</v>
      </c>
      <c r="L15" s="226" t="s">
        <v>85</v>
      </c>
      <c r="M15" s="226" t="str">
        <f t="shared" si="1"/>
        <v>N/A</v>
      </c>
      <c r="N15" s="227" t="e">
        <f t="shared" si="2"/>
        <v>#VALUE!</v>
      </c>
      <c r="O15" s="242"/>
      <c r="P15" s="242"/>
      <c r="Q15" s="226" t="s">
        <v>85</v>
      </c>
      <c r="R15" s="226" t="str">
        <f t="shared" si="3"/>
        <v>N/A</v>
      </c>
      <c r="S15" s="226" t="s">
        <v>85</v>
      </c>
      <c r="T15" s="226" t="str">
        <f t="shared" si="4"/>
        <v>N/A</v>
      </c>
      <c r="U15" s="227" t="e">
        <f t="shared" si="5"/>
        <v>#VALUE!</v>
      </c>
      <c r="V15" s="247"/>
      <c r="W15" s="247"/>
      <c r="X15" s="247"/>
      <c r="Y15" s="247"/>
      <c r="Z15" s="307" t="s">
        <v>714</v>
      </c>
      <c r="AA15" s="308" t="s">
        <v>715</v>
      </c>
      <c r="AB15" s="309" t="s">
        <v>707</v>
      </c>
      <c r="AC15" s="310" t="s">
        <v>121</v>
      </c>
      <c r="AD15" s="231" t="s">
        <v>716</v>
      </c>
      <c r="AE15" s="392"/>
      <c r="AG15" s="261">
        <v>1</v>
      </c>
      <c r="AH15" s="262"/>
      <c r="AI15" s="262"/>
      <c r="AJ15" s="263">
        <f t="shared" si="6"/>
        <v>1</v>
      </c>
      <c r="AK15" s="29">
        <v>4</v>
      </c>
      <c r="AO15" s="93"/>
    </row>
    <row r="16" spans="2:41" s="29" customFormat="1" ht="31.5" customHeight="1" thickBot="1" x14ac:dyDescent="0.25">
      <c r="B16" s="24"/>
      <c r="C16" s="2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86"/>
      <c r="AE16" s="47"/>
      <c r="AG16" s="261"/>
      <c r="AH16" s="262">
        <v>1</v>
      </c>
      <c r="AI16" s="262"/>
      <c r="AJ16" s="263">
        <f t="shared" si="6"/>
        <v>1</v>
      </c>
      <c r="AO16" s="94"/>
    </row>
    <row r="17" spans="2:41" s="29" customFormat="1" ht="129" customHeight="1" thickBot="1" x14ac:dyDescent="0.25">
      <c r="B17" s="24"/>
      <c r="C17" s="24"/>
      <c r="D17" s="24"/>
      <c r="E17" s="24"/>
      <c r="F17" s="110"/>
      <c r="G17" s="110"/>
      <c r="H17" s="448" t="s">
        <v>270</v>
      </c>
      <c r="I17" s="449"/>
      <c r="J17" s="449"/>
      <c r="K17" s="450"/>
      <c r="L17" s="24"/>
      <c r="M17" s="393" t="s">
        <v>35</v>
      </c>
      <c r="N17" s="394"/>
      <c r="O17" s="394"/>
      <c r="P17" s="395"/>
      <c r="Q17" s="111"/>
      <c r="R17" s="24"/>
      <c r="S17" s="24"/>
      <c r="T17" s="24"/>
      <c r="U17" s="24"/>
      <c r="V17" s="24"/>
      <c r="W17" s="24"/>
      <c r="X17" s="24"/>
      <c r="Y17" s="24"/>
      <c r="Z17" s="24"/>
      <c r="AA17" s="24"/>
      <c r="AB17" s="24"/>
      <c r="AC17" s="24"/>
      <c r="AD17" s="24"/>
      <c r="AE17" s="42"/>
      <c r="AG17" s="261">
        <v>1</v>
      </c>
      <c r="AH17" s="262"/>
      <c r="AI17" s="262"/>
      <c r="AJ17" s="263">
        <f t="shared" si="6"/>
        <v>1</v>
      </c>
      <c r="AK17" s="29" t="s">
        <v>86</v>
      </c>
      <c r="AO17" s="434" t="s">
        <v>78</v>
      </c>
    </row>
    <row r="18" spans="2:41" s="29" customFormat="1" ht="46.5" customHeight="1" x14ac:dyDescent="0.2">
      <c r="B18" s="24"/>
      <c r="C18" s="24"/>
      <c r="D18" s="24"/>
      <c r="E18" s="24"/>
      <c r="F18" s="424"/>
      <c r="G18" s="424"/>
      <c r="H18" s="451" t="s">
        <v>149</v>
      </c>
      <c r="I18" s="452"/>
      <c r="J18" s="26">
        <f>COUNTIF(U9:U15,"=5")</f>
        <v>0</v>
      </c>
      <c r="K18" s="27">
        <f>J18*100%/J21</f>
        <v>0</v>
      </c>
      <c r="L18" s="24"/>
      <c r="M18" s="471" t="s">
        <v>106</v>
      </c>
      <c r="N18" s="472"/>
      <c r="O18" s="472" t="s">
        <v>49</v>
      </c>
      <c r="P18" s="473"/>
      <c r="Q18" s="112"/>
      <c r="R18" s="24"/>
      <c r="S18" s="24"/>
      <c r="T18" s="24"/>
      <c r="U18" s="24"/>
      <c r="V18" s="24"/>
      <c r="W18" s="24"/>
      <c r="X18" s="24"/>
      <c r="Y18" s="24"/>
      <c r="Z18" s="24"/>
      <c r="AA18" s="24"/>
      <c r="AB18" s="24"/>
      <c r="AC18" s="24"/>
      <c r="AD18" s="24"/>
      <c r="AE18" s="42"/>
      <c r="AG18" s="261">
        <v>1</v>
      </c>
      <c r="AH18" s="262"/>
      <c r="AI18" s="262"/>
      <c r="AJ18" s="263">
        <f t="shared" si="6"/>
        <v>1</v>
      </c>
      <c r="AK18" s="29" t="s">
        <v>87</v>
      </c>
      <c r="AO18" s="435"/>
    </row>
    <row r="19" spans="2:41" s="29" customFormat="1" ht="46.5" customHeight="1" x14ac:dyDescent="0.2">
      <c r="B19" s="24"/>
      <c r="C19" s="24"/>
      <c r="D19" s="24"/>
      <c r="E19" s="24"/>
      <c r="F19" s="424"/>
      <c r="G19" s="424"/>
      <c r="H19" s="451" t="s">
        <v>150</v>
      </c>
      <c r="I19" s="452"/>
      <c r="J19" s="26">
        <f>COUNTIFS(U9:U15,"&gt;=6",U9:U15,"&lt;=30")</f>
        <v>6</v>
      </c>
      <c r="K19" s="27">
        <f>J19*100%/J21</f>
        <v>1</v>
      </c>
      <c r="L19" s="24"/>
      <c r="M19" s="464" t="s">
        <v>107</v>
      </c>
      <c r="N19" s="465"/>
      <c r="O19" s="466" t="s">
        <v>50</v>
      </c>
      <c r="P19" s="467"/>
      <c r="Q19" s="112"/>
      <c r="R19" s="24"/>
      <c r="S19" s="24"/>
      <c r="T19" s="24"/>
      <c r="U19" s="24"/>
      <c r="V19" s="24"/>
      <c r="W19" s="24"/>
      <c r="X19" s="24"/>
      <c r="Y19" s="24"/>
      <c r="Z19" s="24"/>
      <c r="AA19" s="24"/>
      <c r="AB19" s="24"/>
      <c r="AC19" s="24"/>
      <c r="AD19" s="24"/>
      <c r="AE19" s="42"/>
      <c r="AG19" s="261">
        <v>1</v>
      </c>
      <c r="AH19" s="262"/>
      <c r="AI19" s="262"/>
      <c r="AJ19" s="263">
        <f t="shared" si="6"/>
        <v>1</v>
      </c>
      <c r="AO19" s="435"/>
    </row>
    <row r="20" spans="2:41" s="29" customFormat="1" ht="46.5" customHeight="1" thickBot="1" x14ac:dyDescent="0.25">
      <c r="B20" s="24"/>
      <c r="C20" s="24"/>
      <c r="D20" s="24"/>
      <c r="E20" s="24"/>
      <c r="F20" s="424"/>
      <c r="G20" s="424"/>
      <c r="H20" s="451" t="s">
        <v>151</v>
      </c>
      <c r="I20" s="452"/>
      <c r="J20" s="26">
        <f>COUNTIFS(U10:U16,"&gt;=40",U10:U16,"&lt;=60")</f>
        <v>0</v>
      </c>
      <c r="K20" s="27">
        <f>J20*100%/J21</f>
        <v>0</v>
      </c>
      <c r="L20" s="24"/>
      <c r="M20" s="468" t="s">
        <v>108</v>
      </c>
      <c r="N20" s="469"/>
      <c r="O20" s="469" t="s">
        <v>20</v>
      </c>
      <c r="P20" s="470"/>
      <c r="Q20" s="112"/>
      <c r="R20" s="24"/>
      <c r="S20" s="24"/>
      <c r="T20" s="24"/>
      <c r="U20" s="24"/>
      <c r="V20" s="24"/>
      <c r="W20" s="24"/>
      <c r="X20" s="24"/>
      <c r="Y20" s="24"/>
      <c r="Z20" s="24"/>
      <c r="AA20" s="24"/>
      <c r="AB20" s="24"/>
      <c r="AC20" s="24"/>
      <c r="AD20" s="24"/>
      <c r="AE20" s="42"/>
      <c r="AG20" s="261">
        <v>1</v>
      </c>
      <c r="AH20" s="262"/>
      <c r="AI20" s="262"/>
      <c r="AJ20" s="263">
        <f t="shared" si="6"/>
        <v>1</v>
      </c>
      <c r="AO20" s="435"/>
    </row>
    <row r="21" spans="2:41" s="29" customFormat="1" ht="46.5" customHeight="1" thickBot="1" x14ac:dyDescent="0.25">
      <c r="B21" s="24"/>
      <c r="C21" s="24"/>
      <c r="D21" s="24"/>
      <c r="E21" s="24"/>
      <c r="F21" s="433"/>
      <c r="G21" s="433"/>
      <c r="H21" s="458" t="s">
        <v>152</v>
      </c>
      <c r="I21" s="459"/>
      <c r="J21" s="265">
        <f>+J18+J20+J19</f>
        <v>6</v>
      </c>
      <c r="K21" s="138">
        <f>K18+K19+K20</f>
        <v>1</v>
      </c>
      <c r="L21" s="24"/>
      <c r="M21" s="24"/>
      <c r="N21" s="24"/>
      <c r="O21" s="24"/>
      <c r="P21" s="24"/>
      <c r="Q21" s="24"/>
      <c r="R21" s="24"/>
      <c r="S21" s="24"/>
      <c r="T21" s="24"/>
      <c r="U21" s="24"/>
      <c r="V21" s="24"/>
      <c r="W21" s="24"/>
      <c r="X21" s="24"/>
      <c r="Y21" s="24"/>
      <c r="Z21" s="24"/>
      <c r="AA21" s="24"/>
      <c r="AB21" s="24"/>
      <c r="AC21" s="24"/>
      <c r="AD21" s="24"/>
      <c r="AE21" s="42"/>
      <c r="AG21" s="261">
        <v>1</v>
      </c>
      <c r="AH21" s="262"/>
      <c r="AI21" s="262"/>
      <c r="AJ21" s="263">
        <f t="shared" si="6"/>
        <v>1</v>
      </c>
      <c r="AO21" s="435"/>
    </row>
    <row r="22" spans="2:41" s="29" customFormat="1" ht="75" customHeight="1" thickBot="1" x14ac:dyDescent="0.25">
      <c r="B22" s="24"/>
      <c r="C22" s="24"/>
      <c r="D22" s="24"/>
      <c r="E22" s="24"/>
      <c r="F22" s="24"/>
      <c r="G22" s="24"/>
      <c r="H22" s="456" t="s">
        <v>269</v>
      </c>
      <c r="I22" s="457"/>
      <c r="J22" s="244">
        <f>COUNTIF(Q4:Q15,"N/A")</f>
        <v>1</v>
      </c>
      <c r="K22" s="245" t="str">
        <f>IF(J22&gt;=1,"100%",0)</f>
        <v>100%</v>
      </c>
      <c r="L22" s="24"/>
      <c r="M22" s="24"/>
      <c r="N22" s="24"/>
      <c r="O22" s="24"/>
      <c r="P22" s="24"/>
      <c r="Q22" s="24"/>
      <c r="R22" s="24"/>
      <c r="S22" s="24"/>
      <c r="T22" s="24"/>
      <c r="U22" s="24"/>
      <c r="V22" s="24"/>
      <c r="W22" s="24"/>
      <c r="X22" s="24"/>
      <c r="Y22" s="24"/>
      <c r="Z22" s="24"/>
      <c r="AA22" s="24"/>
      <c r="AB22" s="24"/>
      <c r="AC22" s="24"/>
      <c r="AD22" s="24"/>
      <c r="AE22" s="42"/>
      <c r="AG22" s="261"/>
      <c r="AH22" s="262">
        <v>1</v>
      </c>
      <c r="AI22" s="262"/>
      <c r="AJ22" s="263">
        <f t="shared" si="6"/>
        <v>1</v>
      </c>
      <c r="AO22" s="435"/>
    </row>
    <row r="23" spans="2:41" s="29" customFormat="1" ht="97.5" customHeight="1" x14ac:dyDescent="0.2">
      <c r="B23" s="24"/>
      <c r="C23" s="83"/>
      <c r="D23" s="83"/>
      <c r="E23" s="83"/>
      <c r="F23" s="83"/>
      <c r="G23" s="84"/>
      <c r="H23" s="84"/>
      <c r="I23" s="83"/>
      <c r="J23" s="24"/>
      <c r="K23" s="24"/>
      <c r="L23" s="24"/>
      <c r="M23" s="24"/>
      <c r="N23" s="24"/>
      <c r="O23" s="24"/>
      <c r="P23" s="24"/>
      <c r="Q23" s="24"/>
      <c r="R23" s="24"/>
      <c r="S23" s="24"/>
      <c r="T23" s="24"/>
      <c r="U23" s="24"/>
      <c r="V23" s="24"/>
      <c r="W23" s="24"/>
      <c r="X23" s="24"/>
      <c r="Y23" s="24"/>
      <c r="Z23" s="24"/>
      <c r="AA23" s="24"/>
      <c r="AB23" s="24"/>
      <c r="AC23" s="24"/>
      <c r="AD23" s="24"/>
      <c r="AE23" s="42"/>
      <c r="AG23" s="261"/>
      <c r="AH23" s="262">
        <v>1</v>
      </c>
      <c r="AI23" s="262"/>
      <c r="AJ23" s="263">
        <f t="shared" si="6"/>
        <v>1</v>
      </c>
      <c r="AO23" s="435"/>
    </row>
    <row r="24" spans="2:41" s="29" customFormat="1" ht="107.25" customHeight="1" thickBot="1" x14ac:dyDescent="0.25">
      <c r="B24" s="24"/>
      <c r="C24" s="83"/>
      <c r="D24" s="83"/>
      <c r="E24" s="83"/>
      <c r="F24" s="84"/>
      <c r="G24" s="84"/>
      <c r="H24" s="84"/>
      <c r="I24" s="84"/>
      <c r="J24" s="24"/>
      <c r="K24" s="24"/>
      <c r="L24" s="24"/>
      <c r="M24" s="24"/>
      <c r="N24" s="24"/>
      <c r="O24" s="24"/>
      <c r="P24" s="24"/>
      <c r="Q24" s="24"/>
      <c r="R24" s="24"/>
      <c r="S24" s="24"/>
      <c r="T24" s="24"/>
      <c r="U24" s="24"/>
      <c r="V24" s="24"/>
      <c r="W24" s="24"/>
      <c r="X24" s="24"/>
      <c r="Y24" s="24"/>
      <c r="Z24" s="24"/>
      <c r="AA24" s="24"/>
      <c r="AB24" s="24"/>
      <c r="AC24" s="24"/>
      <c r="AD24" s="24"/>
      <c r="AE24" s="42"/>
      <c r="AG24" s="261">
        <v>1</v>
      </c>
      <c r="AH24" s="262"/>
      <c r="AI24" s="262"/>
      <c r="AJ24" s="263">
        <f t="shared" si="6"/>
        <v>1</v>
      </c>
      <c r="AO24" s="436"/>
    </row>
    <row r="25" spans="2:41" s="28" customFormat="1" ht="80.25" customHeight="1" x14ac:dyDescent="0.2">
      <c r="B25" s="24"/>
      <c r="C25" s="83"/>
      <c r="D25" s="83"/>
      <c r="E25" s="85"/>
      <c r="F25" s="85"/>
      <c r="G25" s="85"/>
      <c r="H25" s="85"/>
      <c r="I25" s="85"/>
      <c r="J25" s="24"/>
      <c r="K25" s="24"/>
      <c r="L25" s="24"/>
      <c r="M25" s="24"/>
      <c r="N25" s="24"/>
      <c r="O25" s="24"/>
      <c r="P25" s="24"/>
      <c r="Q25" s="24"/>
      <c r="R25" s="24"/>
      <c r="S25" s="24"/>
      <c r="T25" s="24"/>
      <c r="U25" s="24"/>
      <c r="V25" s="24"/>
      <c r="W25" s="24"/>
      <c r="X25" s="24"/>
      <c r="Y25" s="24"/>
      <c r="Z25" s="24"/>
      <c r="AA25" s="24"/>
      <c r="AB25" s="24"/>
      <c r="AC25" s="24"/>
      <c r="AD25" s="24"/>
      <c r="AE25" s="42"/>
      <c r="AG25" s="39"/>
      <c r="AH25" s="49"/>
      <c r="AI25" s="49"/>
      <c r="AJ25" s="40"/>
      <c r="AO25" s="434" t="s">
        <v>79</v>
      </c>
    </row>
    <row r="26" spans="2:41" s="29" customFormat="1" ht="101.25" customHeight="1" x14ac:dyDescent="0.2">
      <c r="B26" s="24"/>
      <c r="C26" s="84"/>
      <c r="D26" s="84"/>
      <c r="E26" s="48"/>
      <c r="F26" s="48"/>
      <c r="G26" s="48"/>
      <c r="H26" s="48"/>
      <c r="I26" s="48"/>
      <c r="J26" s="24"/>
      <c r="K26" s="24"/>
      <c r="L26" s="24"/>
      <c r="M26" s="24"/>
      <c r="N26" s="24"/>
      <c r="O26" s="24"/>
      <c r="P26" s="24"/>
      <c r="Q26" s="24"/>
      <c r="R26" s="24"/>
      <c r="S26" s="24"/>
      <c r="T26" s="24"/>
      <c r="U26" s="24"/>
      <c r="V26" s="24"/>
      <c r="W26" s="24"/>
      <c r="X26" s="24"/>
      <c r="Y26" s="24"/>
      <c r="Z26" s="24"/>
      <c r="AA26" s="24"/>
      <c r="AB26" s="24"/>
      <c r="AC26" s="24"/>
      <c r="AD26" s="24"/>
      <c r="AE26" s="42"/>
      <c r="AG26" s="261">
        <v>1</v>
      </c>
      <c r="AH26" s="262"/>
      <c r="AI26" s="262"/>
      <c r="AJ26" s="263">
        <f t="shared" si="6"/>
        <v>1</v>
      </c>
      <c r="AO26" s="435"/>
    </row>
    <row r="27" spans="2:41" s="29" customFormat="1" ht="109.5" customHeight="1" x14ac:dyDescent="0.2">
      <c r="B27" s="24"/>
      <c r="C27" s="84"/>
      <c r="D27" s="84"/>
      <c r="I27" s="24"/>
      <c r="J27" s="24"/>
      <c r="K27" s="24"/>
      <c r="L27" s="24"/>
      <c r="M27" s="24"/>
      <c r="N27" s="24"/>
      <c r="O27" s="24"/>
      <c r="P27" s="24"/>
      <c r="Q27" s="24"/>
      <c r="R27" s="24"/>
      <c r="S27" s="24"/>
      <c r="T27" s="24"/>
      <c r="U27" s="24"/>
      <c r="V27" s="24"/>
      <c r="W27" s="24"/>
      <c r="X27" s="24"/>
      <c r="Y27" s="24"/>
      <c r="Z27" s="24"/>
      <c r="AA27" s="24"/>
      <c r="AB27" s="24"/>
      <c r="AC27" s="24"/>
      <c r="AD27" s="24"/>
      <c r="AE27" s="42"/>
      <c r="AG27" s="261"/>
      <c r="AH27" s="262">
        <v>1</v>
      </c>
      <c r="AI27" s="262"/>
      <c r="AJ27" s="263">
        <f t="shared" si="6"/>
        <v>1</v>
      </c>
      <c r="AO27" s="435"/>
    </row>
    <row r="28" spans="2:41" s="29" customFormat="1" ht="67.5" customHeight="1" x14ac:dyDescent="0.2">
      <c r="B28" s="24"/>
      <c r="C28" s="84"/>
      <c r="D28" s="84"/>
      <c r="H28" s="24"/>
      <c r="I28" s="24"/>
      <c r="J28" s="24"/>
      <c r="K28" s="24"/>
      <c r="L28" s="24"/>
      <c r="M28" s="24"/>
      <c r="N28" s="24"/>
      <c r="O28" s="24"/>
      <c r="P28" s="24"/>
      <c r="Q28" s="24"/>
      <c r="R28" s="24"/>
      <c r="S28" s="24"/>
      <c r="T28" s="24"/>
      <c r="U28" s="24"/>
      <c r="V28" s="24"/>
      <c r="W28" s="24"/>
      <c r="X28" s="24"/>
      <c r="Y28" s="24"/>
      <c r="Z28" s="24"/>
      <c r="AA28" s="24"/>
      <c r="AB28" s="24"/>
      <c r="AC28" s="24"/>
      <c r="AD28" s="24"/>
      <c r="AE28" s="42"/>
      <c r="AG28" s="261"/>
      <c r="AH28" s="262">
        <v>1</v>
      </c>
      <c r="AI28" s="262"/>
      <c r="AJ28" s="263">
        <v>1</v>
      </c>
      <c r="AO28" s="435"/>
    </row>
    <row r="29" spans="2:41" s="29" customFormat="1" ht="83.25" customHeight="1" x14ac:dyDescent="0.2">
      <c r="B29" s="24"/>
      <c r="C29" s="83"/>
      <c r="D29" s="83"/>
      <c r="G29" s="24"/>
      <c r="H29" s="24"/>
      <c r="I29" s="24"/>
      <c r="J29" s="24"/>
      <c r="K29" s="24"/>
      <c r="L29" s="24"/>
      <c r="M29" s="24"/>
      <c r="N29" s="24"/>
      <c r="O29" s="24"/>
      <c r="P29" s="24"/>
      <c r="Q29" s="24"/>
      <c r="R29" s="24"/>
      <c r="S29" s="24"/>
      <c r="T29" s="24"/>
      <c r="U29" s="24"/>
      <c r="V29" s="24"/>
      <c r="W29" s="24"/>
      <c r="X29" s="24"/>
      <c r="Y29" s="24"/>
      <c r="Z29" s="24"/>
      <c r="AA29" s="24"/>
      <c r="AB29" s="24"/>
      <c r="AC29" s="24"/>
      <c r="AD29" s="24"/>
      <c r="AE29" s="42"/>
      <c r="AG29" s="261"/>
      <c r="AH29" s="262">
        <v>1</v>
      </c>
      <c r="AI29" s="262"/>
      <c r="AJ29" s="263">
        <v>1</v>
      </c>
      <c r="AO29" s="435"/>
    </row>
    <row r="30" spans="2:41" s="29" customFormat="1" ht="75.75" customHeight="1" thickBot="1" x14ac:dyDescent="0.25">
      <c r="B30" s="24"/>
      <c r="C30" s="83"/>
      <c r="D30" s="83"/>
      <c r="G30" s="24"/>
      <c r="H30" s="24"/>
      <c r="I30" s="24"/>
      <c r="J30" s="24"/>
      <c r="K30" s="24"/>
      <c r="L30" s="24"/>
      <c r="M30" s="24"/>
      <c r="N30" s="24"/>
      <c r="O30" s="24"/>
      <c r="P30" s="24"/>
      <c r="Q30" s="24"/>
      <c r="R30" s="24"/>
      <c r="S30" s="24"/>
      <c r="T30" s="24"/>
      <c r="U30" s="24"/>
      <c r="V30" s="24"/>
      <c r="W30" s="24"/>
      <c r="X30" s="24"/>
      <c r="Y30" s="24"/>
      <c r="Z30" s="24"/>
      <c r="AA30" s="24"/>
      <c r="AB30" s="24"/>
      <c r="AC30" s="24"/>
      <c r="AD30" s="24"/>
      <c r="AE30" s="42"/>
      <c r="AG30" s="261"/>
      <c r="AH30" s="262"/>
      <c r="AI30" s="262"/>
      <c r="AJ30" s="263"/>
      <c r="AO30" s="436"/>
    </row>
    <row r="31" spans="2:41" s="29" customFormat="1" ht="73.5" customHeight="1" x14ac:dyDescent="0.2">
      <c r="B31" s="24"/>
      <c r="C31" s="83"/>
      <c r="D31" s="83"/>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42"/>
      <c r="AG31" s="261"/>
      <c r="AH31" s="262">
        <v>1</v>
      </c>
      <c r="AI31" s="262"/>
      <c r="AJ31" s="263">
        <v>1</v>
      </c>
      <c r="AO31" s="434" t="s">
        <v>80</v>
      </c>
    </row>
    <row r="32" spans="2:41" s="29" customFormat="1" ht="58.5" customHeight="1" x14ac:dyDescent="0.2">
      <c r="B32" s="24"/>
      <c r="C32" s="84"/>
      <c r="D32" s="84"/>
      <c r="J32" s="24"/>
      <c r="K32" s="24"/>
      <c r="L32" s="24"/>
      <c r="M32" s="24"/>
      <c r="N32" s="24"/>
      <c r="O32" s="24"/>
      <c r="P32" s="24"/>
      <c r="Q32" s="24"/>
      <c r="R32" s="24"/>
      <c r="S32" s="24"/>
      <c r="T32" s="24"/>
      <c r="U32" s="24"/>
      <c r="V32" s="24"/>
      <c r="W32" s="24"/>
      <c r="X32" s="24"/>
      <c r="Y32" s="24"/>
      <c r="Z32" s="24"/>
      <c r="AA32" s="24"/>
      <c r="AB32" s="24"/>
      <c r="AC32" s="24"/>
      <c r="AD32" s="24"/>
      <c r="AE32" s="42"/>
      <c r="AG32" s="261">
        <v>1</v>
      </c>
      <c r="AH32" s="262"/>
      <c r="AI32" s="262"/>
      <c r="AJ32" s="263">
        <v>1</v>
      </c>
      <c r="AO32" s="435"/>
    </row>
    <row r="33" spans="2:41" s="29" customFormat="1" ht="73.5" customHeight="1" x14ac:dyDescent="0.2">
      <c r="B33" s="24"/>
      <c r="C33" s="84"/>
      <c r="D33" s="84"/>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42"/>
      <c r="AG33" s="261"/>
      <c r="AH33" s="262">
        <v>1</v>
      </c>
      <c r="AI33" s="262"/>
      <c r="AJ33" s="263">
        <v>1</v>
      </c>
      <c r="AO33" s="435"/>
    </row>
    <row r="34" spans="2:41" s="29" customFormat="1" ht="102" customHeight="1" thickBot="1" x14ac:dyDescent="0.25">
      <c r="B34" s="24"/>
      <c r="C34" s="84"/>
      <c r="D34" s="84"/>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261">
        <v>1</v>
      </c>
      <c r="AH34" s="262"/>
      <c r="AI34" s="262"/>
      <c r="AJ34" s="263">
        <v>1</v>
      </c>
      <c r="AO34" s="435"/>
    </row>
    <row r="35" spans="2:41" s="29" customFormat="1" ht="86.25" customHeight="1" x14ac:dyDescent="0.2">
      <c r="B35" s="24"/>
      <c r="C35" s="84"/>
      <c r="D35" s="8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261"/>
      <c r="AH35" s="262">
        <v>1</v>
      </c>
      <c r="AI35" s="262"/>
      <c r="AJ35" s="263">
        <v>1</v>
      </c>
      <c r="AO35" s="437" t="s">
        <v>81</v>
      </c>
    </row>
    <row r="36" spans="2:41" s="29" customFormat="1" ht="70.5" customHeight="1" thickBot="1" x14ac:dyDescent="0.25">
      <c r="B36" s="24"/>
      <c r="C36" s="84"/>
      <c r="D36" s="8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261">
        <v>1</v>
      </c>
      <c r="AH36" s="262"/>
      <c r="AI36" s="262"/>
      <c r="AJ36" s="263">
        <v>1</v>
      </c>
      <c r="AO36" s="438"/>
    </row>
    <row r="37" spans="2:41" s="29" customFormat="1" ht="62.25" customHeight="1" x14ac:dyDescent="0.2">
      <c r="B37" s="24"/>
      <c r="C37" s="84"/>
      <c r="D37" s="8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261">
        <v>1</v>
      </c>
      <c r="AH37" s="262"/>
      <c r="AI37" s="262"/>
      <c r="AJ37" s="263">
        <v>1</v>
      </c>
      <c r="AO37" s="437" t="s">
        <v>82</v>
      </c>
    </row>
    <row r="38" spans="2:41" s="29" customFormat="1" ht="45.75" customHeight="1" x14ac:dyDescent="0.2">
      <c r="B38" s="24"/>
      <c r="C38" s="84"/>
      <c r="D38" s="8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261"/>
      <c r="AH38" s="262"/>
      <c r="AI38" s="262">
        <v>1</v>
      </c>
      <c r="AJ38" s="263">
        <v>1</v>
      </c>
      <c r="AO38" s="439"/>
    </row>
    <row r="39" spans="2:41" s="29" customFormat="1" ht="43.5" customHeight="1" x14ac:dyDescent="0.2">
      <c r="B39" s="24"/>
      <c r="C39" s="84"/>
      <c r="D39" s="8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261">
        <v>1</v>
      </c>
      <c r="AH39" s="262"/>
      <c r="AI39" s="262"/>
      <c r="AJ39" s="263">
        <v>1</v>
      </c>
      <c r="AO39" s="439"/>
    </row>
    <row r="40" spans="2:41" s="29" customFormat="1" ht="61.5" customHeight="1" thickBot="1" x14ac:dyDescent="0.25">
      <c r="B40" s="24"/>
      <c r="C40" s="84"/>
      <c r="D40" s="84"/>
      <c r="J40" s="24"/>
      <c r="K40" s="24"/>
      <c r="L40" s="24"/>
      <c r="M40" s="24"/>
      <c r="N40" s="24"/>
      <c r="O40" s="24"/>
      <c r="P40" s="24"/>
      <c r="Q40" s="24"/>
      <c r="R40" s="24"/>
      <c r="S40" s="24"/>
      <c r="T40" s="24"/>
      <c r="U40" s="24"/>
      <c r="V40" s="24"/>
      <c r="W40" s="24"/>
      <c r="X40" s="24"/>
      <c r="Y40" s="24"/>
      <c r="Z40" s="24"/>
      <c r="AA40" s="24"/>
      <c r="AB40" s="24"/>
      <c r="AC40" s="24"/>
      <c r="AD40" s="24"/>
      <c r="AE40" s="42"/>
      <c r="AG40" s="440"/>
      <c r="AH40" s="441"/>
      <c r="AI40" s="441">
        <v>1</v>
      </c>
      <c r="AJ40" s="442">
        <v>1</v>
      </c>
      <c r="AO40" s="438"/>
    </row>
    <row r="41" spans="2:41" s="29" customFormat="1" ht="70.5" customHeight="1" x14ac:dyDescent="0.2">
      <c r="B41" s="24"/>
      <c r="C41" s="84"/>
      <c r="D41" s="8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440"/>
      <c r="AH41" s="441"/>
      <c r="AI41" s="441"/>
      <c r="AJ41" s="442"/>
      <c r="AO41" s="434" t="s">
        <v>83</v>
      </c>
    </row>
    <row r="42" spans="2:41" s="29" customFormat="1" ht="59.25" customHeight="1" x14ac:dyDescent="0.2">
      <c r="B42" s="24"/>
      <c r="C42" s="84"/>
      <c r="D42" s="8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261">
        <v>1</v>
      </c>
      <c r="AH42" s="262"/>
      <c r="AI42" s="262"/>
      <c r="AJ42" s="263">
        <v>1</v>
      </c>
      <c r="AO42" s="435"/>
    </row>
    <row r="43" spans="2:41" s="29" customFormat="1" ht="122.25" customHeight="1" x14ac:dyDescent="0.2">
      <c r="B43" s="24"/>
      <c r="C43" s="84"/>
      <c r="D43" s="8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261">
        <v>1</v>
      </c>
      <c r="AH43" s="262"/>
      <c r="AI43" s="262"/>
      <c r="AJ43" s="263">
        <v>1</v>
      </c>
      <c r="AO43" s="435"/>
    </row>
    <row r="44" spans="2:41" s="29" customFormat="1" ht="97.5" customHeight="1" x14ac:dyDescent="0.2">
      <c r="B44" s="24"/>
      <c r="C44" s="84"/>
      <c r="D44" s="8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261">
        <v>1</v>
      </c>
      <c r="AH44" s="262"/>
      <c r="AI44" s="262"/>
      <c r="AJ44" s="263">
        <v>1</v>
      </c>
      <c r="AO44" s="435"/>
    </row>
    <row r="45" spans="2:41" s="29" customFormat="1" ht="49.5" customHeight="1" thickBot="1" x14ac:dyDescent="0.25">
      <c r="B45" s="24"/>
      <c r="C45" s="84"/>
      <c r="D45" s="8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261">
        <v>1</v>
      </c>
      <c r="AH45" s="262"/>
      <c r="AI45" s="262"/>
      <c r="AJ45" s="263">
        <v>1</v>
      </c>
      <c r="AO45" s="436"/>
    </row>
    <row r="46" spans="2:41" s="29" customFormat="1" ht="61.5" customHeight="1" x14ac:dyDescent="0.2">
      <c r="B46" s="24"/>
      <c r="C46" s="84"/>
      <c r="D46" s="8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261"/>
      <c r="AH46" s="262">
        <v>1</v>
      </c>
      <c r="AI46" s="262"/>
      <c r="AJ46" s="263">
        <v>1</v>
      </c>
      <c r="AO46" s="434" t="s">
        <v>84</v>
      </c>
    </row>
    <row r="47" spans="2:41" s="29" customFormat="1" ht="44.25" customHeight="1" x14ac:dyDescent="0.2">
      <c r="B47" s="24"/>
      <c r="C47" s="84"/>
      <c r="D47" s="8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261">
        <v>1</v>
      </c>
      <c r="AH47" s="262"/>
      <c r="AI47" s="262"/>
      <c r="AJ47" s="263">
        <v>1</v>
      </c>
      <c r="AO47" s="435"/>
    </row>
    <row r="48" spans="2:41" s="29" customFormat="1" ht="97.5" customHeight="1" x14ac:dyDescent="0.2">
      <c r="B48" s="24"/>
      <c r="C48" s="84"/>
      <c r="D48" s="84"/>
      <c r="J48" s="24"/>
      <c r="K48" s="24"/>
      <c r="L48" s="24"/>
      <c r="M48" s="24"/>
      <c r="N48" s="24"/>
      <c r="O48" s="24"/>
      <c r="P48" s="24"/>
      <c r="Q48" s="24"/>
      <c r="R48" s="24"/>
      <c r="S48" s="24"/>
      <c r="T48" s="24"/>
      <c r="U48" s="24"/>
      <c r="V48" s="24"/>
      <c r="W48" s="24"/>
      <c r="X48" s="24"/>
      <c r="Y48" s="24"/>
      <c r="Z48" s="24"/>
      <c r="AA48" s="24"/>
      <c r="AB48" s="24"/>
      <c r="AC48" s="24"/>
      <c r="AD48" s="24"/>
      <c r="AE48" s="42"/>
      <c r="AG48" s="261">
        <v>1</v>
      </c>
      <c r="AH48" s="262"/>
      <c r="AI48" s="262"/>
      <c r="AJ48" s="263">
        <v>1</v>
      </c>
      <c r="AO48" s="435"/>
    </row>
    <row r="49" spans="2:41" s="29" customFormat="1" ht="54.75" customHeight="1" thickBot="1" x14ac:dyDescent="0.25">
      <c r="B49" s="24"/>
      <c r="C49" s="84"/>
      <c r="D49" s="8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261">
        <v>1</v>
      </c>
      <c r="AH49" s="262"/>
      <c r="AI49" s="262"/>
      <c r="AJ49" s="263">
        <v>1</v>
      </c>
      <c r="AO49" s="436"/>
    </row>
    <row r="50" spans="2:41" s="29" customFormat="1" ht="83.25" customHeight="1" x14ac:dyDescent="0.2">
      <c r="B50" s="24"/>
      <c r="C50" s="84"/>
      <c r="D50" s="8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261">
        <v>1</v>
      </c>
      <c r="AH50" s="262"/>
      <c r="AI50" s="262"/>
      <c r="AJ50" s="263">
        <v>1</v>
      </c>
      <c r="AO50" s="434" t="s">
        <v>75</v>
      </c>
    </row>
    <row r="51" spans="2:41" s="29" customFormat="1" ht="82.5" customHeight="1" x14ac:dyDescent="0.2">
      <c r="B51" s="24"/>
      <c r="C51" s="84"/>
      <c r="D51" s="8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261"/>
      <c r="AH51" s="262"/>
      <c r="AI51" s="262">
        <v>1</v>
      </c>
      <c r="AJ51" s="263">
        <v>1</v>
      </c>
      <c r="AO51" s="435"/>
    </row>
    <row r="52" spans="2:41" s="29" customFormat="1" ht="67.5" customHeight="1" x14ac:dyDescent="0.2">
      <c r="B52" s="24"/>
      <c r="C52" s="84"/>
      <c r="D52" s="8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261"/>
      <c r="AH52" s="262">
        <v>1</v>
      </c>
      <c r="AI52" s="262"/>
      <c r="AJ52" s="263">
        <v>1</v>
      </c>
      <c r="AO52" s="435"/>
    </row>
    <row r="53" spans="2:41" s="29" customFormat="1" ht="65.25" customHeight="1" thickBot="1" x14ac:dyDescent="0.25">
      <c r="B53" s="24"/>
      <c r="C53" s="84"/>
      <c r="D53" s="8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261">
        <v>1</v>
      </c>
      <c r="AH53" s="262"/>
      <c r="AI53" s="262"/>
      <c r="AJ53" s="263">
        <v>1</v>
      </c>
      <c r="AO53" s="436"/>
    </row>
    <row r="54" spans="2:41" s="29" customFormat="1" ht="36.75" customHeight="1" x14ac:dyDescent="0.2">
      <c r="B54" s="24"/>
      <c r="C54" s="84"/>
      <c r="D54" s="8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261"/>
      <c r="AH54" s="262"/>
      <c r="AI54" s="262"/>
      <c r="AJ54" s="263"/>
    </row>
    <row r="55" spans="2:41" s="29" customFormat="1" ht="151.5" customHeight="1" x14ac:dyDescent="0.2">
      <c r="B55" s="24"/>
      <c r="C55" s="84"/>
      <c r="D55" s="84"/>
      <c r="I55" s="24"/>
      <c r="J55" s="24"/>
      <c r="K55" s="24"/>
      <c r="L55" s="24"/>
      <c r="M55" s="24"/>
      <c r="N55" s="24"/>
      <c r="O55" s="24"/>
      <c r="P55" s="24"/>
      <c r="Q55" s="24"/>
      <c r="R55" s="24"/>
      <c r="S55" s="24"/>
      <c r="T55" s="24"/>
      <c r="U55" s="24"/>
      <c r="V55" s="24"/>
      <c r="W55" s="24"/>
      <c r="X55" s="24"/>
      <c r="Y55" s="24"/>
      <c r="Z55" s="24"/>
      <c r="AA55" s="24"/>
      <c r="AB55" s="24"/>
      <c r="AC55" s="24"/>
      <c r="AD55" s="24"/>
      <c r="AE55" s="42"/>
      <c r="AG55" s="261"/>
      <c r="AH55" s="262"/>
      <c r="AI55" s="262">
        <v>1</v>
      </c>
      <c r="AJ55" s="263">
        <v>1</v>
      </c>
    </row>
    <row r="56" spans="2:41" s="29" customFormat="1" ht="100.5" customHeight="1" x14ac:dyDescent="0.2">
      <c r="B56" s="24"/>
      <c r="C56" s="84"/>
      <c r="D56" s="8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261"/>
      <c r="AH56" s="262"/>
      <c r="AI56" s="262">
        <v>1</v>
      </c>
      <c r="AJ56" s="263">
        <v>1</v>
      </c>
    </row>
    <row r="57" spans="2:41" s="29" customFormat="1" ht="113.25" customHeight="1" x14ac:dyDescent="0.2">
      <c r="B57" s="24"/>
      <c r="C57" s="84"/>
      <c r="D57" s="8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261"/>
      <c r="AH57" s="262">
        <v>1</v>
      </c>
      <c r="AI57" s="262"/>
      <c r="AJ57" s="263">
        <v>1</v>
      </c>
    </row>
    <row r="58" spans="2:41" ht="54.75" customHeight="1" x14ac:dyDescent="0.2">
      <c r="C58" s="84"/>
      <c r="D58" s="84"/>
      <c r="AE58" s="42"/>
      <c r="AF58" s="29"/>
      <c r="AG58" s="34"/>
      <c r="AH58" s="30">
        <v>1</v>
      </c>
      <c r="AI58" s="30"/>
      <c r="AJ58" s="35">
        <v>1</v>
      </c>
    </row>
    <row r="59" spans="2:41" ht="45.75" customHeight="1" x14ac:dyDescent="0.2">
      <c r="C59" s="84"/>
      <c r="D59" s="84"/>
      <c r="AE59" s="42"/>
      <c r="AF59" s="29"/>
      <c r="AG59" s="34"/>
      <c r="AH59" s="30">
        <v>1</v>
      </c>
      <c r="AI59" s="30"/>
      <c r="AJ59" s="35">
        <v>1</v>
      </c>
    </row>
    <row r="60" spans="2:41" ht="54.75" customHeight="1" x14ac:dyDescent="0.2">
      <c r="C60" s="84"/>
      <c r="D60" s="84"/>
      <c r="AE60" s="42"/>
      <c r="AF60" s="29"/>
      <c r="AG60" s="34"/>
      <c r="AH60" s="30">
        <v>1</v>
      </c>
      <c r="AI60" s="30"/>
      <c r="AJ60" s="35">
        <v>1</v>
      </c>
    </row>
    <row r="61" spans="2:41" ht="201.75" customHeight="1" x14ac:dyDescent="0.2">
      <c r="C61" s="84"/>
      <c r="D61" s="84"/>
      <c r="AE61" s="42"/>
      <c r="AF61" s="29"/>
      <c r="AG61" s="34"/>
      <c r="AH61" s="30">
        <v>1</v>
      </c>
      <c r="AI61" s="30"/>
      <c r="AJ61" s="35">
        <v>1</v>
      </c>
    </row>
    <row r="62" spans="2:41" ht="125.25" customHeight="1" x14ac:dyDescent="0.2">
      <c r="C62" s="84"/>
      <c r="D62" s="84"/>
      <c r="AE62" s="42"/>
      <c r="AF62" s="29"/>
      <c r="AG62" s="34"/>
      <c r="AH62" s="30">
        <v>1</v>
      </c>
      <c r="AI62" s="30"/>
      <c r="AJ62" s="35">
        <v>1</v>
      </c>
    </row>
    <row r="63" spans="2:41" ht="112.5" customHeight="1" thickBot="1" x14ac:dyDescent="0.25">
      <c r="C63" s="84"/>
      <c r="D63" s="84"/>
      <c r="AE63" s="42"/>
      <c r="AG63" s="36">
        <f>SUM(AG9:AG58)</f>
        <v>24</v>
      </c>
      <c r="AH63" s="37">
        <f>SUM(AH9:AH62)</f>
        <v>18</v>
      </c>
      <c r="AI63" s="37">
        <f>SUM(AI9:AI62)</f>
        <v>5</v>
      </c>
      <c r="AJ63" s="38">
        <f>SUM(AJ9:AJ62)</f>
        <v>47</v>
      </c>
    </row>
    <row r="64" spans="2:41" ht="94.5" customHeight="1" x14ac:dyDescent="0.2">
      <c r="C64" s="84"/>
      <c r="D64" s="84"/>
      <c r="AE64" s="42"/>
    </row>
    <row r="65" spans="3:31" ht="100.5" customHeight="1" x14ac:dyDescent="0.2">
      <c r="C65" s="84"/>
      <c r="D65" s="84"/>
      <c r="AE65" s="42"/>
    </row>
    <row r="66" spans="3:31" ht="226.5" customHeight="1" x14ac:dyDescent="0.2">
      <c r="C66" s="84"/>
      <c r="D66" s="84"/>
      <c r="AE66" s="42"/>
    </row>
    <row r="67" spans="3:31" ht="67.5" customHeight="1" x14ac:dyDescent="0.2">
      <c r="C67" s="84"/>
      <c r="D67" s="84"/>
      <c r="AE67" s="42"/>
    </row>
    <row r="68" spans="3:31" ht="90.75" customHeight="1" x14ac:dyDescent="0.2">
      <c r="C68" s="84"/>
      <c r="D68" s="84"/>
      <c r="AE68" s="42"/>
    </row>
    <row r="69" spans="3:31" ht="75" customHeight="1" x14ac:dyDescent="0.2">
      <c r="C69" s="84"/>
      <c r="D69" s="84"/>
      <c r="AE69" s="42"/>
    </row>
    <row r="70" spans="3:31" x14ac:dyDescent="0.2">
      <c r="C70" s="84"/>
      <c r="D70" s="84"/>
      <c r="AE70" s="42"/>
    </row>
    <row r="71" spans="3:31" ht="43.5" customHeight="1" x14ac:dyDescent="0.2">
      <c r="C71" s="84"/>
      <c r="D71" s="84"/>
      <c r="AE71" s="42"/>
    </row>
    <row r="72" spans="3:31" ht="49.5" customHeight="1" x14ac:dyDescent="0.2">
      <c r="C72" s="84"/>
      <c r="D72" s="84"/>
      <c r="AE72" s="42"/>
    </row>
    <row r="73" spans="3:31" ht="232.5" customHeight="1" x14ac:dyDescent="0.2">
      <c r="C73" s="84"/>
      <c r="D73" s="84"/>
      <c r="H73" s="84"/>
      <c r="I73" s="84"/>
      <c r="AE73" s="42"/>
    </row>
    <row r="74" spans="3:31" x14ac:dyDescent="0.2">
      <c r="C74" s="84"/>
      <c r="D74" s="84"/>
      <c r="AE74" s="42"/>
    </row>
    <row r="75" spans="3:31" ht="241.5" customHeight="1" x14ac:dyDescent="0.2">
      <c r="C75" s="84"/>
      <c r="D75" s="84"/>
      <c r="AE75" s="42"/>
    </row>
    <row r="76" spans="3:31" x14ac:dyDescent="0.2">
      <c r="AE76" s="42"/>
    </row>
    <row r="77" spans="3:31" x14ac:dyDescent="0.2">
      <c r="AE77" s="42"/>
    </row>
    <row r="78" spans="3:31" x14ac:dyDescent="0.2">
      <c r="AE78" s="42"/>
    </row>
    <row r="79" spans="3:31" x14ac:dyDescent="0.2">
      <c r="AE79" s="42"/>
    </row>
  </sheetData>
  <autoFilter ref="B8:AC15"/>
  <mergeCells count="56">
    <mergeCell ref="AO46:AO49"/>
    <mergeCell ref="AO50:AO53"/>
    <mergeCell ref="AO25:AO30"/>
    <mergeCell ref="AO31:AO34"/>
    <mergeCell ref="AO35:AO36"/>
    <mergeCell ref="AO37:AO40"/>
    <mergeCell ref="AG40:AG41"/>
    <mergeCell ref="AH40:AH41"/>
    <mergeCell ref="AI40:AI41"/>
    <mergeCell ref="AJ40:AJ41"/>
    <mergeCell ref="AO41:AO45"/>
    <mergeCell ref="H20:I20"/>
    <mergeCell ref="M20:N20"/>
    <mergeCell ref="O20:P20"/>
    <mergeCell ref="F21:G21"/>
    <mergeCell ref="H21:I21"/>
    <mergeCell ref="AG7:AJ7"/>
    <mergeCell ref="B9:B15"/>
    <mergeCell ref="AE9:AE15"/>
    <mergeCell ref="H22:I22"/>
    <mergeCell ref="AO17:AO24"/>
    <mergeCell ref="F18:G18"/>
    <mergeCell ref="H18:I18"/>
    <mergeCell ref="M18:N18"/>
    <mergeCell ref="O18:P18"/>
    <mergeCell ref="F19:G19"/>
    <mergeCell ref="H19:I19"/>
    <mergeCell ref="M19:N19"/>
    <mergeCell ref="O19:P19"/>
    <mergeCell ref="F20:G20"/>
    <mergeCell ref="H17:K17"/>
    <mergeCell ref="M17:P17"/>
    <mergeCell ref="B6:I6"/>
    <mergeCell ref="J6:N7"/>
    <mergeCell ref="O6:P6"/>
    <mergeCell ref="Q6:U7"/>
    <mergeCell ref="V6:AE6"/>
    <mergeCell ref="B7:B8"/>
    <mergeCell ref="C7:C8"/>
    <mergeCell ref="D7:D8"/>
    <mergeCell ref="O7:P7"/>
    <mergeCell ref="V7:Y7"/>
    <mergeCell ref="Z7:AD7"/>
    <mergeCell ref="AE7:AE8"/>
    <mergeCell ref="B5:AE5"/>
    <mergeCell ref="B2:AE2"/>
    <mergeCell ref="B3:F3"/>
    <mergeCell ref="G3:N3"/>
    <mergeCell ref="O3:T3"/>
    <mergeCell ref="U3:AA3"/>
    <mergeCell ref="AB3:AE3"/>
    <mergeCell ref="B4:F4"/>
    <mergeCell ref="G4:N4"/>
    <mergeCell ref="O4:T4"/>
    <mergeCell ref="U4:AA4"/>
    <mergeCell ref="AB4:AE4"/>
  </mergeCells>
  <conditionalFormatting sqref="N10:P10 N9 P9 O12:P12 P11 N15:P15 P13:P14 N11:N14">
    <cfRule type="cellIs" dxfId="41" priority="21" operator="equal">
      <formula>5</formula>
    </cfRule>
    <cfRule type="cellIs" priority="22" operator="equal">
      <formula>5</formula>
    </cfRule>
    <cfRule type="cellIs" dxfId="40" priority="23" operator="between">
      <formula>6</formula>
      <formula>30</formula>
    </cfRule>
    <cfRule type="cellIs" dxfId="39" priority="24" operator="between">
      <formula>31</formula>
      <formula>60</formula>
    </cfRule>
  </conditionalFormatting>
  <conditionalFormatting sqref="N10:P10 N9 P9 O12:P12 P11 N15:P15 P13:P14 N11:N14">
    <cfRule type="containsErrors" dxfId="38" priority="20">
      <formula>ISERROR(N9)</formula>
    </cfRule>
  </conditionalFormatting>
  <conditionalFormatting sqref="J9:J15">
    <cfRule type="containsText" dxfId="37" priority="19" operator="containsText" text="N/A">
      <formula>NOT(ISERROR(SEARCH("N/A",J9)))</formula>
    </cfRule>
  </conditionalFormatting>
  <conditionalFormatting sqref="L9:L15">
    <cfRule type="containsText" dxfId="36" priority="18" operator="containsText" text="N/A">
      <formula>NOT(ISERROR(SEARCH("N/A",L9)))</formula>
    </cfRule>
  </conditionalFormatting>
  <conditionalFormatting sqref="V9:Y15">
    <cfRule type="containsErrors" dxfId="35" priority="17">
      <formula>ISERROR(V9)</formula>
    </cfRule>
  </conditionalFormatting>
  <conditionalFormatting sqref="U9:U15">
    <cfRule type="cellIs" dxfId="34" priority="13" operator="equal">
      <formula>5</formula>
    </cfRule>
    <cfRule type="cellIs" priority="14" operator="equal">
      <formula>5</formula>
    </cfRule>
    <cfRule type="cellIs" dxfId="33" priority="15" operator="between">
      <formula>6</formula>
      <formula>30</formula>
    </cfRule>
    <cfRule type="cellIs" dxfId="32" priority="16" operator="between">
      <formula>31</formula>
      <formula>60</formula>
    </cfRule>
  </conditionalFormatting>
  <conditionalFormatting sqref="U9:U15">
    <cfRule type="containsErrors" dxfId="31" priority="12">
      <formula>ISERROR(U9)</formula>
    </cfRule>
  </conditionalFormatting>
  <conditionalFormatting sqref="Q9:Q15">
    <cfRule type="containsText" dxfId="30" priority="11" operator="containsText" text="N/A">
      <formula>NOT(ISERROR(SEARCH("N/A",Q9)))</formula>
    </cfRule>
  </conditionalFormatting>
  <conditionalFormatting sqref="S9:S15">
    <cfRule type="containsText" dxfId="29" priority="10" operator="containsText" text="N/A">
      <formula>NOT(ISERROR(SEARCH("N/A",S9)))</formula>
    </cfRule>
  </conditionalFormatting>
  <conditionalFormatting sqref="M19 O19">
    <cfRule type="cellIs" dxfId="28" priority="6" operator="equal">
      <formula>5</formula>
    </cfRule>
    <cfRule type="cellIs" priority="7" operator="equal">
      <formula>5</formula>
    </cfRule>
    <cfRule type="cellIs" dxfId="27" priority="8" operator="between">
      <formula>6</formula>
      <formula>30</formula>
    </cfRule>
    <cfRule type="cellIs" dxfId="26" priority="9" operator="between">
      <formula>31</formula>
      <formula>60</formula>
    </cfRule>
  </conditionalFormatting>
  <conditionalFormatting sqref="M19 O19">
    <cfRule type="containsErrors" dxfId="25" priority="5">
      <formula>ISERROR(M19)</formula>
    </cfRule>
  </conditionalFormatting>
  <conditionalFormatting sqref="K9:K15">
    <cfRule type="containsText" dxfId="24" priority="4" operator="containsText" text="N/A">
      <formula>NOT(ISERROR(SEARCH("N/A",K9)))</formula>
    </cfRule>
  </conditionalFormatting>
  <conditionalFormatting sqref="M9:M15">
    <cfRule type="containsText" dxfId="23" priority="3" operator="containsText" text="N/A">
      <formula>NOT(ISERROR(SEARCH("N/A",M9)))</formula>
    </cfRule>
  </conditionalFormatting>
  <conditionalFormatting sqref="R9:R15">
    <cfRule type="containsText" dxfId="22" priority="2" operator="containsText" text="N/A">
      <formula>NOT(ISERROR(SEARCH("N/A",R9)))</formula>
    </cfRule>
  </conditionalFormatting>
  <conditionalFormatting sqref="T9:T15">
    <cfRule type="containsText" dxfId="21" priority="1" operator="containsText" text="N/A">
      <formula>NOT(ISERROR(SEARCH("N/A",T9)))</formula>
    </cfRule>
  </conditionalFormatting>
  <dataValidations count="4">
    <dataValidation type="list" allowBlank="1" showInputMessage="1" showErrorMessage="1" sqref="J9:J15 Q9:Q15">
      <formula1>$AK$8:$AK$11</formula1>
    </dataValidation>
    <dataValidation type="list" allowBlank="1" showInputMessage="1" showErrorMessage="1" sqref="L9:L15 S9:S15">
      <formula1>$AL$8:$AL$11</formula1>
    </dataValidation>
    <dataValidation type="list" allowBlank="1" showInputMessage="1" showErrorMessage="1" sqref="C9:C15">
      <formula1>$AM$8:$AM$9</formula1>
    </dataValidation>
    <dataValidation type="list" allowBlank="1" showInputMessage="1" showErrorMessage="1" sqref="D9:D15">
      <formula1>$AN$8:$AN$13</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B1:AO89"/>
  <sheetViews>
    <sheetView showGridLines="0" view="pageBreakPreview" topLeftCell="A23" zoomScale="50" zoomScaleNormal="25" zoomScaleSheetLayoutView="50" zoomScalePageLayoutView="75" workbookViewId="0">
      <selection activeCell="E25" sqref="E25"/>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72" t="s">
        <v>111</v>
      </c>
      <c r="C2" s="373"/>
      <c r="D2" s="373"/>
      <c r="E2" s="373"/>
      <c r="F2" s="373"/>
      <c r="G2" s="373"/>
      <c r="H2" s="373"/>
      <c r="I2" s="373"/>
      <c r="J2" s="373"/>
      <c r="K2" s="373"/>
      <c r="L2" s="373"/>
      <c r="M2" s="373"/>
      <c r="N2" s="373"/>
      <c r="O2" s="373"/>
      <c r="P2" s="373"/>
      <c r="Q2" s="373"/>
      <c r="R2" s="373"/>
      <c r="S2" s="373"/>
      <c r="T2" s="373"/>
      <c r="U2" s="373"/>
      <c r="V2" s="373"/>
      <c r="W2" s="373"/>
      <c r="X2" s="373"/>
      <c r="Y2" s="373"/>
      <c r="Z2" s="373"/>
      <c r="AA2" s="373"/>
      <c r="AB2" s="373"/>
      <c r="AC2" s="373"/>
      <c r="AD2" s="373"/>
      <c r="AE2" s="373"/>
      <c r="AF2" s="31"/>
    </row>
    <row r="3" spans="2:41" s="29" customFormat="1" ht="66" customHeight="1" thickBot="1" x14ac:dyDescent="0.25">
      <c r="B3" s="374" t="s">
        <v>39</v>
      </c>
      <c r="C3" s="375"/>
      <c r="D3" s="375"/>
      <c r="E3" s="375"/>
      <c r="F3" s="375"/>
      <c r="G3" s="374" t="s">
        <v>110</v>
      </c>
      <c r="H3" s="375"/>
      <c r="I3" s="375"/>
      <c r="J3" s="375"/>
      <c r="K3" s="375"/>
      <c r="L3" s="375"/>
      <c r="M3" s="375"/>
      <c r="N3" s="376"/>
      <c r="O3" s="374" t="s">
        <v>109</v>
      </c>
      <c r="P3" s="375"/>
      <c r="Q3" s="375"/>
      <c r="R3" s="375"/>
      <c r="S3" s="375"/>
      <c r="T3" s="376"/>
      <c r="U3" s="374" t="s">
        <v>40</v>
      </c>
      <c r="V3" s="375"/>
      <c r="W3" s="375"/>
      <c r="X3" s="375"/>
      <c r="Y3" s="375"/>
      <c r="Z3" s="375"/>
      <c r="AA3" s="376"/>
      <c r="AB3" s="374" t="s">
        <v>37</v>
      </c>
      <c r="AC3" s="375"/>
      <c r="AD3" s="375"/>
      <c r="AE3" s="376"/>
      <c r="AF3" s="32"/>
    </row>
    <row r="4" spans="2:41" s="29" customFormat="1" ht="72" customHeight="1" thickBot="1" x14ac:dyDescent="0.25">
      <c r="B4" s="377" t="s">
        <v>38</v>
      </c>
      <c r="C4" s="378"/>
      <c r="D4" s="378"/>
      <c r="E4" s="378"/>
      <c r="F4" s="378"/>
      <c r="G4" s="379">
        <v>42874</v>
      </c>
      <c r="H4" s="380"/>
      <c r="I4" s="380"/>
      <c r="J4" s="380"/>
      <c r="K4" s="380"/>
      <c r="L4" s="380"/>
      <c r="M4" s="380"/>
      <c r="N4" s="381"/>
      <c r="O4" s="382">
        <v>43700</v>
      </c>
      <c r="P4" s="383"/>
      <c r="Q4" s="383"/>
      <c r="R4" s="383"/>
      <c r="S4" s="383"/>
      <c r="T4" s="384"/>
      <c r="U4" s="377">
        <v>4</v>
      </c>
      <c r="V4" s="378"/>
      <c r="W4" s="378"/>
      <c r="X4" s="378"/>
      <c r="Y4" s="378"/>
      <c r="Z4" s="378"/>
      <c r="AA4" s="385"/>
      <c r="AB4" s="377" t="s">
        <v>52</v>
      </c>
      <c r="AC4" s="378"/>
      <c r="AD4" s="378"/>
      <c r="AE4" s="385"/>
      <c r="AF4" s="264"/>
    </row>
    <row r="5" spans="2:41" s="29" customFormat="1" ht="32.1" customHeight="1" thickBot="1" x14ac:dyDescent="0.25">
      <c r="B5" s="370" t="s">
        <v>966</v>
      </c>
      <c r="C5" s="371"/>
      <c r="D5" s="371"/>
      <c r="E5" s="371"/>
      <c r="F5" s="371"/>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264"/>
    </row>
    <row r="6" spans="2:41" s="29" customFormat="1" ht="54.95" customHeight="1" thickBot="1" x14ac:dyDescent="0.25">
      <c r="B6" s="396" t="s">
        <v>0</v>
      </c>
      <c r="C6" s="397"/>
      <c r="D6" s="397"/>
      <c r="E6" s="397"/>
      <c r="F6" s="397"/>
      <c r="G6" s="397"/>
      <c r="H6" s="397"/>
      <c r="I6" s="398"/>
      <c r="J6" s="399" t="s">
        <v>62</v>
      </c>
      <c r="K6" s="400"/>
      <c r="L6" s="400"/>
      <c r="M6" s="400"/>
      <c r="N6" s="401"/>
      <c r="O6" s="405" t="s">
        <v>94</v>
      </c>
      <c r="P6" s="406"/>
      <c r="Q6" s="407" t="s">
        <v>63</v>
      </c>
      <c r="R6" s="408"/>
      <c r="S6" s="408"/>
      <c r="T6" s="408"/>
      <c r="U6" s="409"/>
      <c r="V6" s="413" t="s">
        <v>58</v>
      </c>
      <c r="W6" s="414"/>
      <c r="X6" s="414"/>
      <c r="Y6" s="414"/>
      <c r="Z6" s="414"/>
      <c r="AA6" s="414"/>
      <c r="AB6" s="414"/>
      <c r="AC6" s="414"/>
      <c r="AD6" s="414"/>
      <c r="AE6" s="415"/>
    </row>
    <row r="7" spans="2:41" s="29" customFormat="1" ht="90" customHeight="1" thickBot="1" x14ac:dyDescent="0.25">
      <c r="B7" s="416" t="s">
        <v>8</v>
      </c>
      <c r="C7" s="417" t="s">
        <v>60</v>
      </c>
      <c r="D7" s="417" t="s">
        <v>91</v>
      </c>
      <c r="E7" s="77" t="s">
        <v>61</v>
      </c>
      <c r="F7" s="43" t="s">
        <v>9</v>
      </c>
      <c r="G7" s="43" t="s">
        <v>104</v>
      </c>
      <c r="H7" s="43" t="s">
        <v>10</v>
      </c>
      <c r="I7" s="96" t="s">
        <v>59</v>
      </c>
      <c r="J7" s="402"/>
      <c r="K7" s="403"/>
      <c r="L7" s="403"/>
      <c r="M7" s="403"/>
      <c r="N7" s="404"/>
      <c r="O7" s="419" t="s">
        <v>103</v>
      </c>
      <c r="P7" s="420"/>
      <c r="Q7" s="410"/>
      <c r="R7" s="411"/>
      <c r="S7" s="411"/>
      <c r="T7" s="411"/>
      <c r="U7" s="412"/>
      <c r="V7" s="421" t="s">
        <v>96</v>
      </c>
      <c r="W7" s="422"/>
      <c r="X7" s="422"/>
      <c r="Y7" s="423"/>
      <c r="Z7" s="461" t="s">
        <v>53</v>
      </c>
      <c r="AA7" s="462"/>
      <c r="AB7" s="462"/>
      <c r="AC7" s="462"/>
      <c r="AD7" s="463"/>
      <c r="AE7" s="431" t="s">
        <v>25</v>
      </c>
      <c r="AG7" s="386" t="s">
        <v>45</v>
      </c>
      <c r="AH7" s="386"/>
      <c r="AI7" s="386"/>
      <c r="AJ7" s="386"/>
      <c r="AK7" s="29" t="s">
        <v>67</v>
      </c>
      <c r="AL7" s="29" t="s">
        <v>68</v>
      </c>
    </row>
    <row r="8" spans="2:41" s="29" customFormat="1" ht="202.5" customHeight="1" thickBot="1" x14ac:dyDescent="0.25">
      <c r="B8" s="416"/>
      <c r="C8" s="418"/>
      <c r="D8" s="418"/>
      <c r="E8" s="78" t="s">
        <v>7</v>
      </c>
      <c r="F8" s="23" t="s">
        <v>64</v>
      </c>
      <c r="G8" s="23" t="s">
        <v>13</v>
      </c>
      <c r="H8" s="23" t="s">
        <v>65</v>
      </c>
      <c r="I8" s="23" t="s">
        <v>66</v>
      </c>
      <c r="J8" s="97" t="s">
        <v>11</v>
      </c>
      <c r="K8" s="103" t="s">
        <v>12</v>
      </c>
      <c r="L8" s="98" t="s">
        <v>1</v>
      </c>
      <c r="M8" s="98" t="s">
        <v>2</v>
      </c>
      <c r="N8" s="107" t="s">
        <v>95</v>
      </c>
      <c r="O8" s="105" t="s">
        <v>92</v>
      </c>
      <c r="P8" s="106" t="s">
        <v>93</v>
      </c>
      <c r="Q8" s="102" t="s">
        <v>11</v>
      </c>
      <c r="R8" s="103" t="s">
        <v>12</v>
      </c>
      <c r="S8" s="103" t="s">
        <v>1</v>
      </c>
      <c r="T8" s="103" t="s">
        <v>2</v>
      </c>
      <c r="U8" s="104" t="s">
        <v>102</v>
      </c>
      <c r="V8" s="99" t="s">
        <v>97</v>
      </c>
      <c r="W8" s="100" t="s">
        <v>98</v>
      </c>
      <c r="X8" s="100" t="s">
        <v>99</v>
      </c>
      <c r="Y8" s="101" t="s">
        <v>100</v>
      </c>
      <c r="Z8" s="53" t="s">
        <v>54</v>
      </c>
      <c r="AA8" s="54" t="s">
        <v>55</v>
      </c>
      <c r="AB8" s="55" t="s">
        <v>56</v>
      </c>
      <c r="AC8" s="54" t="s">
        <v>57</v>
      </c>
      <c r="AD8" s="109" t="s">
        <v>101</v>
      </c>
      <c r="AE8" s="432"/>
      <c r="AG8" s="74" t="s">
        <v>41</v>
      </c>
      <c r="AH8" s="75" t="s">
        <v>42</v>
      </c>
      <c r="AI8" s="75" t="s">
        <v>43</v>
      </c>
      <c r="AJ8" s="76" t="s">
        <v>44</v>
      </c>
      <c r="AK8" s="87" t="s">
        <v>85</v>
      </c>
      <c r="AL8" s="87" t="s">
        <v>85</v>
      </c>
      <c r="AM8" s="29" t="s">
        <v>71</v>
      </c>
      <c r="AN8" s="29" t="s">
        <v>72</v>
      </c>
      <c r="AO8" s="92"/>
    </row>
    <row r="9" spans="2:41" s="29" customFormat="1" ht="252.75" customHeight="1" x14ac:dyDescent="0.2">
      <c r="B9" s="387" t="s">
        <v>560</v>
      </c>
      <c r="C9" s="79" t="s">
        <v>71</v>
      </c>
      <c r="D9" s="95" t="s">
        <v>88</v>
      </c>
      <c r="E9" s="46" t="s">
        <v>518</v>
      </c>
      <c r="F9" s="117" t="s">
        <v>519</v>
      </c>
      <c r="G9" s="117" t="s">
        <v>520</v>
      </c>
      <c r="H9" s="117" t="s">
        <v>521</v>
      </c>
      <c r="I9" s="117" t="s">
        <v>522</v>
      </c>
      <c r="J9" s="88">
        <v>2</v>
      </c>
      <c r="K9" s="88" t="str">
        <f>IF(J9=3,"ALTO",IF(J9=2,"MEDIO",IF(J9="N/A","N/A","BAJO")))</f>
        <v>MEDIO</v>
      </c>
      <c r="L9" s="44">
        <v>20</v>
      </c>
      <c r="M9" s="57" t="str">
        <f>IF(L9=20,"ALTO",IF(L9=10,"MEDIO",IF(L9="N/A","N/A","BAJO")))</f>
        <v>ALTO</v>
      </c>
      <c r="N9" s="90">
        <f>J9*L9</f>
        <v>40</v>
      </c>
      <c r="O9" s="121" t="s">
        <v>523</v>
      </c>
      <c r="P9" s="121" t="s">
        <v>780</v>
      </c>
      <c r="Q9" s="88">
        <v>1</v>
      </c>
      <c r="R9" s="88" t="str">
        <f>IF(Q9=3,"ALTO",IF(Q9=2,"MEDIO",IF(Q9="N/A","N/A","BAJO")))</f>
        <v>BAJO</v>
      </c>
      <c r="S9" s="88">
        <v>20</v>
      </c>
      <c r="T9" s="44" t="str">
        <f>IF(S9=20,"ALTO",IF(S9=10,"MEDIO",IF(S9="N/A","N/A","BAJO")))</f>
        <v>ALTO</v>
      </c>
      <c r="U9" s="108">
        <f>Q9*S9</f>
        <v>20</v>
      </c>
      <c r="V9" s="59"/>
      <c r="W9" s="59" t="s">
        <v>118</v>
      </c>
      <c r="X9" s="59"/>
      <c r="Y9" s="59"/>
      <c r="Z9" s="122" t="s">
        <v>524</v>
      </c>
      <c r="AA9" s="123" t="s">
        <v>525</v>
      </c>
      <c r="AB9" s="248" t="s">
        <v>526</v>
      </c>
      <c r="AC9" s="124" t="s">
        <v>527</v>
      </c>
      <c r="AD9" s="117" t="s">
        <v>554</v>
      </c>
      <c r="AE9" s="390">
        <v>43742</v>
      </c>
      <c r="AG9" s="51">
        <v>1</v>
      </c>
      <c r="AH9" s="52"/>
      <c r="AI9" s="52"/>
      <c r="AJ9" s="50">
        <f>SUM(AG9:AI9)</f>
        <v>1</v>
      </c>
      <c r="AK9" s="29">
        <v>1</v>
      </c>
      <c r="AL9" s="29">
        <v>5</v>
      </c>
      <c r="AM9" s="29" t="s">
        <v>74</v>
      </c>
      <c r="AN9" s="29" t="s">
        <v>76</v>
      </c>
      <c r="AO9" s="93"/>
    </row>
    <row r="10" spans="2:41" s="29" customFormat="1" ht="143.25" customHeight="1" x14ac:dyDescent="0.2">
      <c r="B10" s="388"/>
      <c r="C10" s="80" t="s">
        <v>71</v>
      </c>
      <c r="D10" s="305" t="s">
        <v>77</v>
      </c>
      <c r="E10" s="289" t="s">
        <v>528</v>
      </c>
      <c r="F10" s="182" t="s">
        <v>529</v>
      </c>
      <c r="G10" s="182" t="s">
        <v>530</v>
      </c>
      <c r="H10" s="182" t="s">
        <v>531</v>
      </c>
      <c r="I10" s="182" t="s">
        <v>532</v>
      </c>
      <c r="J10" s="88">
        <v>3</v>
      </c>
      <c r="K10" s="57" t="str">
        <f t="shared" ref="K10:K25" si="0">IF(J10=3,"ALTO",IF(J10=2,"MEDIO",IF(J10="N/A","N/A","BAJO")))</f>
        <v>ALTO</v>
      </c>
      <c r="L10" s="57">
        <v>20</v>
      </c>
      <c r="M10" s="57" t="str">
        <f t="shared" ref="M10:M25" si="1">IF(L10=20,"ALTO",IF(L10=10,"MEDIO",IF(L10="N/A","N/A","BAJO")))</f>
        <v>ALTO</v>
      </c>
      <c r="N10" s="89">
        <f t="shared" ref="N10:N25" si="2">J10*L10</f>
        <v>60</v>
      </c>
      <c r="O10" s="182" t="s">
        <v>533</v>
      </c>
      <c r="P10" s="132" t="s">
        <v>781</v>
      </c>
      <c r="Q10" s="88">
        <v>1</v>
      </c>
      <c r="R10" s="88" t="str">
        <f t="shared" ref="R10:R25" si="3">IF(Q10=3,"ALTO",IF(Q10=2,"MEDIO",IF(Q10="N/A","N/A","BAJO")))</f>
        <v>BAJO</v>
      </c>
      <c r="S10" s="57">
        <v>10</v>
      </c>
      <c r="T10" s="88" t="str">
        <f t="shared" ref="T10:T25" si="4">IF(S10=20,"ALTO",IF(S10=10,"MEDIO",IF(S10="N/A","N/A","BAJO")))</f>
        <v>MEDIO</v>
      </c>
      <c r="U10" s="89">
        <f t="shared" ref="U10:U25" si="5">Q10*S10</f>
        <v>10</v>
      </c>
      <c r="V10" s="59"/>
      <c r="W10" s="59" t="s">
        <v>118</v>
      </c>
      <c r="X10" s="59"/>
      <c r="Y10" s="59"/>
      <c r="Z10" s="125" t="s">
        <v>534</v>
      </c>
      <c r="AA10" s="125" t="s">
        <v>782</v>
      </c>
      <c r="AB10" s="125" t="s">
        <v>535</v>
      </c>
      <c r="AC10" s="126" t="s">
        <v>121</v>
      </c>
      <c r="AD10" s="128" t="s">
        <v>783</v>
      </c>
      <c r="AE10" s="391"/>
      <c r="AG10" s="261"/>
      <c r="AH10" s="262">
        <v>1</v>
      </c>
      <c r="AI10" s="262"/>
      <c r="AJ10" s="263">
        <f t="shared" ref="AJ10:AJ37" si="6">SUM(AG10:AI10)</f>
        <v>1</v>
      </c>
      <c r="AK10" s="29">
        <v>2</v>
      </c>
      <c r="AL10" s="29">
        <v>10</v>
      </c>
      <c r="AN10" s="29" t="s">
        <v>77</v>
      </c>
      <c r="AO10" s="93"/>
    </row>
    <row r="11" spans="2:41" s="29" customFormat="1" ht="150.75" customHeight="1" x14ac:dyDescent="0.2">
      <c r="B11" s="388"/>
      <c r="C11" s="80" t="s">
        <v>71</v>
      </c>
      <c r="D11" s="305" t="s">
        <v>89</v>
      </c>
      <c r="E11" s="289" t="s">
        <v>536</v>
      </c>
      <c r="F11" s="182" t="s">
        <v>537</v>
      </c>
      <c r="G11" s="182" t="s">
        <v>538</v>
      </c>
      <c r="H11" s="182" t="s">
        <v>539</v>
      </c>
      <c r="I11" s="182" t="s">
        <v>540</v>
      </c>
      <c r="J11" s="88">
        <v>1</v>
      </c>
      <c r="K11" s="57" t="str">
        <f t="shared" si="0"/>
        <v>BAJO</v>
      </c>
      <c r="L11" s="57">
        <v>20</v>
      </c>
      <c r="M11" s="57" t="str">
        <f t="shared" si="1"/>
        <v>ALTO</v>
      </c>
      <c r="N11" s="89">
        <f t="shared" si="2"/>
        <v>20</v>
      </c>
      <c r="O11" s="182" t="s">
        <v>541</v>
      </c>
      <c r="P11" s="132" t="s">
        <v>784</v>
      </c>
      <c r="Q11" s="88">
        <v>1</v>
      </c>
      <c r="R11" s="88" t="str">
        <f t="shared" si="3"/>
        <v>BAJO</v>
      </c>
      <c r="S11" s="57">
        <v>20</v>
      </c>
      <c r="T11" s="88" t="str">
        <f t="shared" si="4"/>
        <v>ALTO</v>
      </c>
      <c r="U11" s="89">
        <f t="shared" si="5"/>
        <v>20</v>
      </c>
      <c r="V11" s="59"/>
      <c r="W11" s="59" t="s">
        <v>118</v>
      </c>
      <c r="X11" s="59"/>
      <c r="Y11" s="59"/>
      <c r="Z11" s="125" t="s">
        <v>542</v>
      </c>
      <c r="AA11" s="125" t="s">
        <v>543</v>
      </c>
      <c r="AB11" s="125" t="s">
        <v>544</v>
      </c>
      <c r="AC11" s="125" t="s">
        <v>545</v>
      </c>
      <c r="AD11" s="128" t="s">
        <v>785</v>
      </c>
      <c r="AE11" s="391"/>
      <c r="AG11" s="261">
        <v>1</v>
      </c>
      <c r="AH11" s="262"/>
      <c r="AI11" s="262"/>
      <c r="AJ11" s="263">
        <f t="shared" si="6"/>
        <v>1</v>
      </c>
      <c r="AK11" s="29">
        <v>3</v>
      </c>
      <c r="AL11" s="29">
        <v>20</v>
      </c>
      <c r="AN11" s="29" t="s">
        <v>88</v>
      </c>
      <c r="AO11" s="93"/>
    </row>
    <row r="12" spans="2:41" s="29" customFormat="1" ht="182.25" customHeight="1" x14ac:dyDescent="0.2">
      <c r="B12" s="388"/>
      <c r="C12" s="80" t="s">
        <v>71</v>
      </c>
      <c r="D12" s="305" t="s">
        <v>77</v>
      </c>
      <c r="E12" s="45" t="s">
        <v>546</v>
      </c>
      <c r="F12" s="118" t="s">
        <v>547</v>
      </c>
      <c r="G12" s="118" t="s">
        <v>520</v>
      </c>
      <c r="H12" s="118" t="s">
        <v>548</v>
      </c>
      <c r="I12" s="118" t="s">
        <v>549</v>
      </c>
      <c r="J12" s="57">
        <v>2</v>
      </c>
      <c r="K12" s="57" t="str">
        <f t="shared" si="0"/>
        <v>MEDIO</v>
      </c>
      <c r="L12" s="57">
        <v>20</v>
      </c>
      <c r="M12" s="57" t="str">
        <f t="shared" si="1"/>
        <v>ALTO</v>
      </c>
      <c r="N12" s="89">
        <f t="shared" si="2"/>
        <v>40</v>
      </c>
      <c r="O12" s="201" t="s">
        <v>550</v>
      </c>
      <c r="P12" s="201" t="s">
        <v>786</v>
      </c>
      <c r="Q12" s="57">
        <v>1</v>
      </c>
      <c r="R12" s="88" t="str">
        <f t="shared" si="3"/>
        <v>BAJO</v>
      </c>
      <c r="S12" s="57">
        <v>20</v>
      </c>
      <c r="T12" s="88" t="str">
        <f t="shared" si="4"/>
        <v>ALTO</v>
      </c>
      <c r="U12" s="89">
        <f t="shared" si="5"/>
        <v>20</v>
      </c>
      <c r="V12" s="165"/>
      <c r="W12" s="165" t="s">
        <v>118</v>
      </c>
      <c r="X12" s="165"/>
      <c r="Y12" s="165"/>
      <c r="Z12" s="125" t="s">
        <v>551</v>
      </c>
      <c r="AA12" s="126" t="s">
        <v>552</v>
      </c>
      <c r="AB12" s="126" t="s">
        <v>553</v>
      </c>
      <c r="AC12" s="126" t="s">
        <v>121</v>
      </c>
      <c r="AD12" s="128" t="s">
        <v>787</v>
      </c>
      <c r="AE12" s="391"/>
      <c r="AG12" s="267"/>
      <c r="AH12" s="268"/>
      <c r="AI12" s="268"/>
      <c r="AJ12" s="269"/>
      <c r="AN12" s="29" t="s">
        <v>89</v>
      </c>
      <c r="AO12" s="93"/>
    </row>
    <row r="13" spans="2:41" s="29" customFormat="1" ht="318.75" customHeight="1" x14ac:dyDescent="0.2">
      <c r="B13" s="388"/>
      <c r="C13" s="80" t="s">
        <v>71</v>
      </c>
      <c r="D13" s="305" t="s">
        <v>77</v>
      </c>
      <c r="E13" s="289" t="s">
        <v>555</v>
      </c>
      <c r="F13" s="182" t="s">
        <v>556</v>
      </c>
      <c r="G13" s="182" t="s">
        <v>557</v>
      </c>
      <c r="H13" s="182" t="s">
        <v>558</v>
      </c>
      <c r="I13" s="182" t="s">
        <v>559</v>
      </c>
      <c r="J13" s="57">
        <v>2</v>
      </c>
      <c r="K13" s="57" t="str">
        <f t="shared" si="0"/>
        <v>MEDIO</v>
      </c>
      <c r="L13" s="57">
        <v>20</v>
      </c>
      <c r="M13" s="57" t="str">
        <f t="shared" si="1"/>
        <v>ALTO</v>
      </c>
      <c r="N13" s="89">
        <f t="shared" si="2"/>
        <v>40</v>
      </c>
      <c r="O13" s="182" t="s">
        <v>561</v>
      </c>
      <c r="P13" s="201" t="s">
        <v>788</v>
      </c>
      <c r="Q13" s="57">
        <v>1</v>
      </c>
      <c r="R13" s="88" t="str">
        <f t="shared" si="3"/>
        <v>BAJO</v>
      </c>
      <c r="S13" s="57">
        <v>10</v>
      </c>
      <c r="T13" s="88" t="str">
        <f t="shared" si="4"/>
        <v>MEDIO</v>
      </c>
      <c r="U13" s="89">
        <f t="shared" si="5"/>
        <v>10</v>
      </c>
      <c r="V13" s="165"/>
      <c r="W13" s="165" t="s">
        <v>118</v>
      </c>
      <c r="X13" s="165"/>
      <c r="Y13" s="165"/>
      <c r="Z13" s="118" t="s">
        <v>562</v>
      </c>
      <c r="AA13" s="118" t="s">
        <v>148</v>
      </c>
      <c r="AB13" s="118" t="s">
        <v>563</v>
      </c>
      <c r="AC13" s="118" t="s">
        <v>121</v>
      </c>
      <c r="AD13" s="118" t="s">
        <v>789</v>
      </c>
      <c r="AE13" s="391"/>
      <c r="AG13" s="267"/>
      <c r="AH13" s="268"/>
      <c r="AI13" s="268"/>
      <c r="AJ13" s="269"/>
      <c r="AN13" s="29" t="s">
        <v>90</v>
      </c>
      <c r="AO13" s="93"/>
    </row>
    <row r="14" spans="2:41" s="29" customFormat="1" ht="150.75" customHeight="1" x14ac:dyDescent="0.2">
      <c r="B14" s="388"/>
      <c r="C14" s="80" t="s">
        <v>71</v>
      </c>
      <c r="D14" s="305" t="s">
        <v>77</v>
      </c>
      <c r="E14" s="314" t="s">
        <v>564</v>
      </c>
      <c r="F14" s="315" t="s">
        <v>565</v>
      </c>
      <c r="G14" s="315" t="s">
        <v>566</v>
      </c>
      <c r="H14" s="315" t="s">
        <v>567</v>
      </c>
      <c r="I14" s="182" t="s">
        <v>568</v>
      </c>
      <c r="J14" s="57">
        <v>3</v>
      </c>
      <c r="K14" s="57" t="str">
        <f t="shared" si="0"/>
        <v>ALTO</v>
      </c>
      <c r="L14" s="57">
        <v>10</v>
      </c>
      <c r="M14" s="57" t="str">
        <f t="shared" si="1"/>
        <v>MEDIO</v>
      </c>
      <c r="N14" s="89">
        <f t="shared" si="2"/>
        <v>30</v>
      </c>
      <c r="O14" s="315" t="s">
        <v>569</v>
      </c>
      <c r="P14" s="201" t="s">
        <v>790</v>
      </c>
      <c r="Q14" s="57">
        <v>2</v>
      </c>
      <c r="R14" s="88" t="str">
        <f t="shared" si="3"/>
        <v>MEDIO</v>
      </c>
      <c r="S14" s="57">
        <v>5</v>
      </c>
      <c r="T14" s="88" t="str">
        <f t="shared" si="4"/>
        <v>BAJO</v>
      </c>
      <c r="U14" s="89">
        <f t="shared" si="5"/>
        <v>10</v>
      </c>
      <c r="V14" s="165"/>
      <c r="W14" s="165" t="s">
        <v>118</v>
      </c>
      <c r="X14" s="165"/>
      <c r="Y14" s="165"/>
      <c r="Z14" s="276" t="s">
        <v>570</v>
      </c>
      <c r="AA14" s="276" t="s">
        <v>571</v>
      </c>
      <c r="AB14" s="319" t="s">
        <v>572</v>
      </c>
      <c r="AC14" s="118" t="s">
        <v>121</v>
      </c>
      <c r="AD14" s="118" t="s">
        <v>791</v>
      </c>
      <c r="AE14" s="391"/>
      <c r="AG14" s="267"/>
      <c r="AH14" s="268"/>
      <c r="AI14" s="268"/>
      <c r="AJ14" s="269"/>
      <c r="AO14" s="93"/>
    </row>
    <row r="15" spans="2:41" s="29" customFormat="1" ht="179.25" customHeight="1" x14ac:dyDescent="0.2">
      <c r="B15" s="388"/>
      <c r="C15" s="80" t="s">
        <v>71</v>
      </c>
      <c r="D15" s="305" t="s">
        <v>77</v>
      </c>
      <c r="E15" s="314" t="s">
        <v>573</v>
      </c>
      <c r="F15" s="182" t="s">
        <v>574</v>
      </c>
      <c r="G15" s="315" t="s">
        <v>575</v>
      </c>
      <c r="H15" s="315" t="s">
        <v>576</v>
      </c>
      <c r="I15" s="313" t="s">
        <v>577</v>
      </c>
      <c r="J15" s="57">
        <v>3</v>
      </c>
      <c r="K15" s="57" t="str">
        <f t="shared" si="0"/>
        <v>ALTO</v>
      </c>
      <c r="L15" s="57">
        <v>20</v>
      </c>
      <c r="M15" s="57" t="str">
        <f t="shared" si="1"/>
        <v>ALTO</v>
      </c>
      <c r="N15" s="89">
        <f t="shared" si="2"/>
        <v>60</v>
      </c>
      <c r="O15" s="315" t="s">
        <v>578</v>
      </c>
      <c r="P15" s="201" t="s">
        <v>792</v>
      </c>
      <c r="Q15" s="57">
        <v>1</v>
      </c>
      <c r="R15" s="88" t="str">
        <f t="shared" si="3"/>
        <v>BAJO</v>
      </c>
      <c r="S15" s="57">
        <v>20</v>
      </c>
      <c r="T15" s="88" t="str">
        <f t="shared" si="4"/>
        <v>ALTO</v>
      </c>
      <c r="U15" s="89">
        <f t="shared" si="5"/>
        <v>20</v>
      </c>
      <c r="V15" s="165"/>
      <c r="W15" s="165" t="s">
        <v>118</v>
      </c>
      <c r="X15" s="165"/>
      <c r="Y15" s="165"/>
      <c r="Z15" s="118" t="s">
        <v>579</v>
      </c>
      <c r="AA15" s="337">
        <v>43647</v>
      </c>
      <c r="AB15" s="319" t="s">
        <v>580</v>
      </c>
      <c r="AC15" s="118" t="s">
        <v>581</v>
      </c>
      <c r="AD15" s="338" t="s">
        <v>793</v>
      </c>
      <c r="AE15" s="391"/>
      <c r="AG15" s="267"/>
      <c r="AH15" s="268"/>
      <c r="AI15" s="268"/>
      <c r="AJ15" s="269"/>
      <c r="AO15" s="93"/>
    </row>
    <row r="16" spans="2:41" s="29" customFormat="1" ht="128.25" customHeight="1" x14ac:dyDescent="0.2">
      <c r="B16" s="388"/>
      <c r="C16" s="80" t="s">
        <v>71</v>
      </c>
      <c r="D16" s="305" t="s">
        <v>89</v>
      </c>
      <c r="E16" s="45" t="s">
        <v>582</v>
      </c>
      <c r="F16" s="128" t="s">
        <v>583</v>
      </c>
      <c r="G16" s="118" t="s">
        <v>584</v>
      </c>
      <c r="H16" s="118" t="s">
        <v>585</v>
      </c>
      <c r="I16" s="118" t="s">
        <v>586</v>
      </c>
      <c r="J16" s="57">
        <v>2</v>
      </c>
      <c r="K16" s="57" t="str">
        <f t="shared" si="0"/>
        <v>MEDIO</v>
      </c>
      <c r="L16" s="57">
        <v>20</v>
      </c>
      <c r="M16" s="57" t="str">
        <f t="shared" si="1"/>
        <v>ALTO</v>
      </c>
      <c r="N16" s="89">
        <f t="shared" si="2"/>
        <v>40</v>
      </c>
      <c r="O16" s="118" t="s">
        <v>587</v>
      </c>
      <c r="P16" s="201" t="s">
        <v>794</v>
      </c>
      <c r="Q16" s="57">
        <v>1</v>
      </c>
      <c r="R16" s="88" t="str">
        <f t="shared" si="3"/>
        <v>BAJO</v>
      </c>
      <c r="S16" s="57">
        <v>10</v>
      </c>
      <c r="T16" s="88" t="str">
        <f t="shared" si="4"/>
        <v>MEDIO</v>
      </c>
      <c r="U16" s="89">
        <f t="shared" si="5"/>
        <v>10</v>
      </c>
      <c r="V16" s="165"/>
      <c r="W16" s="165" t="s">
        <v>118</v>
      </c>
      <c r="X16" s="165"/>
      <c r="Y16" s="165"/>
      <c r="Z16" s="339" t="s">
        <v>588</v>
      </c>
      <c r="AA16" s="126" t="s">
        <v>445</v>
      </c>
      <c r="AB16" s="126" t="s">
        <v>589</v>
      </c>
      <c r="AC16" s="127" t="s">
        <v>121</v>
      </c>
      <c r="AD16" s="128" t="s">
        <v>795</v>
      </c>
      <c r="AE16" s="391"/>
      <c r="AG16" s="267"/>
      <c r="AH16" s="268"/>
      <c r="AI16" s="268"/>
      <c r="AJ16" s="269"/>
      <c r="AO16" s="93"/>
    </row>
    <row r="17" spans="2:41" s="29" customFormat="1" ht="128.25" customHeight="1" x14ac:dyDescent="0.2">
      <c r="B17" s="388"/>
      <c r="C17" s="80" t="s">
        <v>71</v>
      </c>
      <c r="D17" s="305" t="s">
        <v>90</v>
      </c>
      <c r="E17" s="45" t="s">
        <v>590</v>
      </c>
      <c r="F17" s="118" t="s">
        <v>591</v>
      </c>
      <c r="G17" s="118" t="s">
        <v>592</v>
      </c>
      <c r="H17" s="118" t="s">
        <v>593</v>
      </c>
      <c r="I17" s="118" t="s">
        <v>249</v>
      </c>
      <c r="J17" s="57">
        <v>2</v>
      </c>
      <c r="K17" s="57" t="str">
        <f t="shared" si="0"/>
        <v>MEDIO</v>
      </c>
      <c r="L17" s="57">
        <v>20</v>
      </c>
      <c r="M17" s="57" t="str">
        <f t="shared" si="1"/>
        <v>ALTO</v>
      </c>
      <c r="N17" s="89">
        <f t="shared" si="2"/>
        <v>40</v>
      </c>
      <c r="O17" s="118" t="s">
        <v>599</v>
      </c>
      <c r="P17" s="201" t="s">
        <v>796</v>
      </c>
      <c r="Q17" s="57">
        <v>1</v>
      </c>
      <c r="R17" s="88" t="str">
        <f t="shared" si="3"/>
        <v>BAJO</v>
      </c>
      <c r="S17" s="57">
        <v>20</v>
      </c>
      <c r="T17" s="88" t="str">
        <f t="shared" si="4"/>
        <v>ALTO</v>
      </c>
      <c r="U17" s="89">
        <f t="shared" si="5"/>
        <v>20</v>
      </c>
      <c r="V17" s="165"/>
      <c r="W17" s="165" t="s">
        <v>118</v>
      </c>
      <c r="X17" s="165"/>
      <c r="Y17" s="165"/>
      <c r="Z17" s="125" t="s">
        <v>601</v>
      </c>
      <c r="AA17" s="340">
        <v>43784</v>
      </c>
      <c r="AB17" s="126" t="s">
        <v>602</v>
      </c>
      <c r="AC17" s="181" t="s">
        <v>603</v>
      </c>
      <c r="AD17" s="56"/>
      <c r="AE17" s="391"/>
      <c r="AG17" s="267"/>
      <c r="AH17" s="268"/>
      <c r="AI17" s="268"/>
      <c r="AJ17" s="269"/>
      <c r="AO17" s="93"/>
    </row>
    <row r="18" spans="2:41" s="29" customFormat="1" ht="140.25" customHeight="1" x14ac:dyDescent="0.2">
      <c r="B18" s="388"/>
      <c r="C18" s="80" t="s">
        <v>71</v>
      </c>
      <c r="D18" s="305" t="s">
        <v>90</v>
      </c>
      <c r="E18" s="197" t="s">
        <v>594</v>
      </c>
      <c r="F18" s="205" t="s">
        <v>595</v>
      </c>
      <c r="G18" s="198" t="s">
        <v>596</v>
      </c>
      <c r="H18" s="198" t="s">
        <v>597</v>
      </c>
      <c r="I18" s="198" t="s">
        <v>598</v>
      </c>
      <c r="J18" s="57">
        <v>2</v>
      </c>
      <c r="K18" s="57" t="str">
        <f t="shared" si="0"/>
        <v>MEDIO</v>
      </c>
      <c r="L18" s="57">
        <v>20</v>
      </c>
      <c r="M18" s="57" t="str">
        <f t="shared" si="1"/>
        <v>ALTO</v>
      </c>
      <c r="N18" s="89">
        <f t="shared" si="2"/>
        <v>40</v>
      </c>
      <c r="O18" s="198" t="s">
        <v>600</v>
      </c>
      <c r="P18" s="201" t="s">
        <v>797</v>
      </c>
      <c r="Q18" s="57">
        <v>1</v>
      </c>
      <c r="R18" s="88" t="str">
        <f t="shared" si="3"/>
        <v>BAJO</v>
      </c>
      <c r="S18" s="57">
        <v>10</v>
      </c>
      <c r="T18" s="88" t="str">
        <f t="shared" si="4"/>
        <v>MEDIO</v>
      </c>
      <c r="U18" s="89">
        <f t="shared" si="5"/>
        <v>10</v>
      </c>
      <c r="V18" s="165"/>
      <c r="W18" s="165" t="s">
        <v>118</v>
      </c>
      <c r="X18" s="165"/>
      <c r="Y18" s="165"/>
      <c r="Z18" s="341" t="s">
        <v>604</v>
      </c>
      <c r="AA18" s="203" t="s">
        <v>605</v>
      </c>
      <c r="AB18" s="203" t="s">
        <v>606</v>
      </c>
      <c r="AC18" s="204" t="s">
        <v>121</v>
      </c>
      <c r="AD18" s="205" t="s">
        <v>798</v>
      </c>
      <c r="AE18" s="391"/>
      <c r="AG18" s="267"/>
      <c r="AH18" s="268"/>
      <c r="AI18" s="268"/>
      <c r="AJ18" s="269"/>
      <c r="AO18" s="93"/>
    </row>
    <row r="19" spans="2:41" s="29" customFormat="1" ht="101.25" customHeight="1" x14ac:dyDescent="0.2">
      <c r="B19" s="388"/>
      <c r="C19" s="80" t="s">
        <v>71</v>
      </c>
      <c r="D19" s="305" t="s">
        <v>89</v>
      </c>
      <c r="E19" s="289" t="s">
        <v>870</v>
      </c>
      <c r="F19" s="182" t="s">
        <v>607</v>
      </c>
      <c r="G19" s="182" t="s">
        <v>608</v>
      </c>
      <c r="H19" s="182" t="s">
        <v>609</v>
      </c>
      <c r="I19" s="118" t="s">
        <v>614</v>
      </c>
      <c r="J19" s="57">
        <v>3</v>
      </c>
      <c r="K19" s="57" t="str">
        <f t="shared" si="0"/>
        <v>ALTO</v>
      </c>
      <c r="L19" s="57">
        <v>20</v>
      </c>
      <c r="M19" s="57" t="str">
        <f t="shared" si="1"/>
        <v>ALTO</v>
      </c>
      <c r="N19" s="89">
        <f t="shared" si="2"/>
        <v>60</v>
      </c>
      <c r="O19" s="182" t="s">
        <v>615</v>
      </c>
      <c r="P19" s="201" t="s">
        <v>799</v>
      </c>
      <c r="Q19" s="57">
        <v>2</v>
      </c>
      <c r="R19" s="88" t="str">
        <f t="shared" si="3"/>
        <v>MEDIO</v>
      </c>
      <c r="S19" s="57">
        <v>20</v>
      </c>
      <c r="T19" s="88" t="str">
        <f t="shared" si="4"/>
        <v>ALTO</v>
      </c>
      <c r="U19" s="89">
        <f t="shared" si="5"/>
        <v>40</v>
      </c>
      <c r="V19" s="165"/>
      <c r="W19" s="165" t="s">
        <v>118</v>
      </c>
      <c r="X19" s="165"/>
      <c r="Y19" s="165"/>
      <c r="Z19" s="125" t="s">
        <v>617</v>
      </c>
      <c r="AA19" s="126" t="s">
        <v>618</v>
      </c>
      <c r="AB19" s="126" t="s">
        <v>619</v>
      </c>
      <c r="AC19" s="126" t="s">
        <v>621</v>
      </c>
      <c r="AD19" s="128" t="s">
        <v>800</v>
      </c>
      <c r="AE19" s="391"/>
      <c r="AG19" s="267"/>
      <c r="AH19" s="268"/>
      <c r="AI19" s="268"/>
      <c r="AJ19" s="269"/>
      <c r="AO19" s="93"/>
    </row>
    <row r="20" spans="2:41" s="29" customFormat="1" ht="126.75" customHeight="1" x14ac:dyDescent="0.2">
      <c r="B20" s="388"/>
      <c r="C20" s="80" t="s">
        <v>71</v>
      </c>
      <c r="D20" s="305" t="s">
        <v>77</v>
      </c>
      <c r="E20" s="289" t="s">
        <v>610</v>
      </c>
      <c r="F20" s="182" t="s">
        <v>611</v>
      </c>
      <c r="G20" s="182" t="s">
        <v>612</v>
      </c>
      <c r="H20" s="182" t="s">
        <v>613</v>
      </c>
      <c r="I20" s="118" t="s">
        <v>614</v>
      </c>
      <c r="J20" s="57">
        <v>2</v>
      </c>
      <c r="K20" s="57" t="str">
        <f t="shared" si="0"/>
        <v>MEDIO</v>
      </c>
      <c r="L20" s="57">
        <v>20</v>
      </c>
      <c r="M20" s="57" t="str">
        <f t="shared" si="1"/>
        <v>ALTO</v>
      </c>
      <c r="N20" s="89">
        <f t="shared" si="2"/>
        <v>40</v>
      </c>
      <c r="O20" s="182" t="s">
        <v>616</v>
      </c>
      <c r="P20" s="201" t="s">
        <v>801</v>
      </c>
      <c r="Q20" s="57">
        <v>1</v>
      </c>
      <c r="R20" s="88" t="str">
        <f t="shared" si="3"/>
        <v>BAJO</v>
      </c>
      <c r="S20" s="57">
        <v>20</v>
      </c>
      <c r="T20" s="88" t="str">
        <f t="shared" si="4"/>
        <v>ALTO</v>
      </c>
      <c r="U20" s="89">
        <f t="shared" si="5"/>
        <v>20</v>
      </c>
      <c r="V20" s="165"/>
      <c r="W20" s="165" t="s">
        <v>118</v>
      </c>
      <c r="X20" s="165"/>
      <c r="Y20" s="165"/>
      <c r="Z20" s="125" t="s">
        <v>617</v>
      </c>
      <c r="AA20" s="126" t="s">
        <v>618</v>
      </c>
      <c r="AB20" s="126" t="s">
        <v>620</v>
      </c>
      <c r="AC20" s="126" t="s">
        <v>621</v>
      </c>
      <c r="AD20" s="128" t="s">
        <v>800</v>
      </c>
      <c r="AE20" s="391"/>
      <c r="AG20" s="267"/>
      <c r="AH20" s="268"/>
      <c r="AI20" s="268"/>
      <c r="AJ20" s="269"/>
      <c r="AO20" s="93"/>
    </row>
    <row r="21" spans="2:41" s="29" customFormat="1" ht="143.25" customHeight="1" x14ac:dyDescent="0.2">
      <c r="B21" s="388"/>
      <c r="C21" s="80" t="s">
        <v>71</v>
      </c>
      <c r="D21" s="305" t="s">
        <v>88</v>
      </c>
      <c r="E21" s="289" t="s">
        <v>622</v>
      </c>
      <c r="F21" s="182" t="s">
        <v>623</v>
      </c>
      <c r="G21" s="182" t="s">
        <v>624</v>
      </c>
      <c r="H21" s="182" t="s">
        <v>625</v>
      </c>
      <c r="I21" s="182" t="s">
        <v>626</v>
      </c>
      <c r="J21" s="57">
        <v>2</v>
      </c>
      <c r="K21" s="57" t="str">
        <f t="shared" si="0"/>
        <v>MEDIO</v>
      </c>
      <c r="L21" s="57">
        <v>20</v>
      </c>
      <c r="M21" s="57" t="str">
        <f t="shared" si="1"/>
        <v>ALTO</v>
      </c>
      <c r="N21" s="89">
        <f t="shared" si="2"/>
        <v>40</v>
      </c>
      <c r="O21" s="182" t="s">
        <v>630</v>
      </c>
      <c r="P21" s="201" t="s">
        <v>802</v>
      </c>
      <c r="Q21" s="57">
        <v>1</v>
      </c>
      <c r="R21" s="88" t="str">
        <f t="shared" si="3"/>
        <v>BAJO</v>
      </c>
      <c r="S21" s="57">
        <v>20</v>
      </c>
      <c r="T21" s="88" t="str">
        <f t="shared" si="4"/>
        <v>ALTO</v>
      </c>
      <c r="U21" s="89">
        <f t="shared" si="5"/>
        <v>20</v>
      </c>
      <c r="V21" s="165"/>
      <c r="W21" s="165" t="s">
        <v>118</v>
      </c>
      <c r="X21" s="165"/>
      <c r="Y21" s="165"/>
      <c r="Z21" s="118" t="s">
        <v>631</v>
      </c>
      <c r="AA21" s="118" t="s">
        <v>605</v>
      </c>
      <c r="AB21" s="284" t="s">
        <v>606</v>
      </c>
      <c r="AC21" s="284" t="s">
        <v>121</v>
      </c>
      <c r="AD21" s="284" t="s">
        <v>636</v>
      </c>
      <c r="AE21" s="391"/>
      <c r="AG21" s="267"/>
      <c r="AH21" s="268"/>
      <c r="AI21" s="268"/>
      <c r="AJ21" s="269"/>
      <c r="AO21" s="93"/>
    </row>
    <row r="22" spans="2:41" s="29" customFormat="1" ht="116.25" customHeight="1" x14ac:dyDescent="0.2">
      <c r="B22" s="388"/>
      <c r="C22" s="80" t="s">
        <v>71</v>
      </c>
      <c r="D22" s="305" t="s">
        <v>89</v>
      </c>
      <c r="E22" s="342" t="s">
        <v>627</v>
      </c>
      <c r="F22" s="182" t="s">
        <v>628</v>
      </c>
      <c r="G22" s="183" t="s">
        <v>629</v>
      </c>
      <c r="H22" s="182" t="s">
        <v>237</v>
      </c>
      <c r="I22" s="182" t="s">
        <v>238</v>
      </c>
      <c r="J22" s="57">
        <v>2</v>
      </c>
      <c r="K22" s="57" t="str">
        <f t="shared" si="0"/>
        <v>MEDIO</v>
      </c>
      <c r="L22" s="57">
        <v>20</v>
      </c>
      <c r="M22" s="57" t="str">
        <f t="shared" si="1"/>
        <v>ALTO</v>
      </c>
      <c r="N22" s="89">
        <f t="shared" si="2"/>
        <v>40</v>
      </c>
      <c r="O22" s="182" t="s">
        <v>804</v>
      </c>
      <c r="P22" s="201" t="s">
        <v>803</v>
      </c>
      <c r="Q22" s="57">
        <v>1</v>
      </c>
      <c r="R22" s="88" t="str">
        <f t="shared" si="3"/>
        <v>BAJO</v>
      </c>
      <c r="S22" s="57">
        <v>20</v>
      </c>
      <c r="T22" s="88" t="str">
        <f t="shared" si="4"/>
        <v>ALTO</v>
      </c>
      <c r="U22" s="89">
        <f t="shared" si="5"/>
        <v>20</v>
      </c>
      <c r="V22" s="165"/>
      <c r="W22" s="165" t="s">
        <v>118</v>
      </c>
      <c r="X22" s="165"/>
      <c r="Y22" s="165"/>
      <c r="Z22" s="184" t="s">
        <v>632</v>
      </c>
      <c r="AA22" s="185" t="s">
        <v>633</v>
      </c>
      <c r="AB22" s="185" t="s">
        <v>634</v>
      </c>
      <c r="AC22" s="258" t="s">
        <v>635</v>
      </c>
      <c r="AD22" s="184" t="s">
        <v>805</v>
      </c>
      <c r="AE22" s="391"/>
      <c r="AG22" s="267"/>
      <c r="AH22" s="268"/>
      <c r="AI22" s="268"/>
      <c r="AJ22" s="269"/>
      <c r="AO22" s="93"/>
    </row>
    <row r="23" spans="2:41" s="29" customFormat="1" ht="116.25" customHeight="1" x14ac:dyDescent="0.2">
      <c r="B23" s="388"/>
      <c r="C23" s="80" t="s">
        <v>71</v>
      </c>
      <c r="D23" s="305" t="s">
        <v>72</v>
      </c>
      <c r="E23" s="342" t="s">
        <v>637</v>
      </c>
      <c r="F23" s="182" t="s">
        <v>806</v>
      </c>
      <c r="G23" s="183" t="s">
        <v>807</v>
      </c>
      <c r="H23" s="182" t="s">
        <v>808</v>
      </c>
      <c r="I23" s="182" t="s">
        <v>809</v>
      </c>
      <c r="J23" s="57">
        <v>3</v>
      </c>
      <c r="K23" s="57" t="str">
        <f t="shared" si="0"/>
        <v>ALTO</v>
      </c>
      <c r="L23" s="57">
        <v>10</v>
      </c>
      <c r="M23" s="57" t="str">
        <f t="shared" si="1"/>
        <v>MEDIO</v>
      </c>
      <c r="N23" s="89">
        <f t="shared" si="2"/>
        <v>30</v>
      </c>
      <c r="O23" s="182" t="s">
        <v>848</v>
      </c>
      <c r="P23" s="201" t="s">
        <v>849</v>
      </c>
      <c r="Q23" s="57">
        <v>2</v>
      </c>
      <c r="R23" s="88" t="str">
        <f t="shared" si="3"/>
        <v>MEDIO</v>
      </c>
      <c r="S23" s="57">
        <v>10</v>
      </c>
      <c r="T23" s="88" t="str">
        <f t="shared" si="4"/>
        <v>MEDIO</v>
      </c>
      <c r="U23" s="89">
        <f t="shared" si="5"/>
        <v>20</v>
      </c>
      <c r="V23" s="165" t="s">
        <v>118</v>
      </c>
      <c r="W23" s="165"/>
      <c r="X23" s="165"/>
      <c r="Y23" s="165"/>
      <c r="Z23" s="184" t="s">
        <v>850</v>
      </c>
      <c r="AA23" s="185">
        <v>2020</v>
      </c>
      <c r="AB23" s="185" t="s">
        <v>851</v>
      </c>
      <c r="AC23" s="258" t="s">
        <v>664</v>
      </c>
      <c r="AD23" s="184" t="s">
        <v>852</v>
      </c>
      <c r="AE23" s="391"/>
      <c r="AG23" s="267"/>
      <c r="AH23" s="268"/>
      <c r="AI23" s="268"/>
      <c r="AJ23" s="269"/>
      <c r="AO23" s="93"/>
    </row>
    <row r="24" spans="2:41" s="29" customFormat="1" ht="174" customHeight="1" x14ac:dyDescent="0.2">
      <c r="B24" s="388"/>
      <c r="C24" s="80" t="s">
        <v>74</v>
      </c>
      <c r="D24" s="305" t="s">
        <v>72</v>
      </c>
      <c r="E24" s="342" t="s">
        <v>868</v>
      </c>
      <c r="F24" s="182" t="s">
        <v>871</v>
      </c>
      <c r="G24" s="183" t="s">
        <v>872</v>
      </c>
      <c r="H24" s="182" t="s">
        <v>873</v>
      </c>
      <c r="I24" s="182" t="s">
        <v>874</v>
      </c>
      <c r="J24" s="57" t="s">
        <v>85</v>
      </c>
      <c r="K24" s="57" t="str">
        <f t="shared" si="0"/>
        <v>N/A</v>
      </c>
      <c r="L24" s="57" t="s">
        <v>85</v>
      </c>
      <c r="M24" s="57" t="str">
        <f t="shared" si="1"/>
        <v>N/A</v>
      </c>
      <c r="N24" s="89" t="e">
        <f t="shared" si="2"/>
        <v>#VALUE!</v>
      </c>
      <c r="O24" s="234"/>
      <c r="P24" s="232"/>
      <c r="Q24" s="57" t="s">
        <v>85</v>
      </c>
      <c r="R24" s="88" t="str">
        <f t="shared" si="3"/>
        <v>N/A</v>
      </c>
      <c r="S24" s="57" t="s">
        <v>85</v>
      </c>
      <c r="T24" s="88" t="str">
        <f t="shared" si="4"/>
        <v>N/A</v>
      </c>
      <c r="U24" s="89" t="e">
        <f t="shared" si="5"/>
        <v>#VALUE!</v>
      </c>
      <c r="V24" s="233"/>
      <c r="W24" s="233"/>
      <c r="X24" s="233"/>
      <c r="Y24" s="233"/>
      <c r="Z24" s="184" t="s">
        <v>875</v>
      </c>
      <c r="AA24" s="185" t="s">
        <v>876</v>
      </c>
      <c r="AB24" s="185" t="s">
        <v>851</v>
      </c>
      <c r="AC24" s="258" t="s">
        <v>121</v>
      </c>
      <c r="AD24" s="184" t="s">
        <v>877</v>
      </c>
      <c r="AE24" s="391"/>
      <c r="AG24" s="267"/>
      <c r="AH24" s="268"/>
      <c r="AI24" s="268"/>
      <c r="AJ24" s="269"/>
      <c r="AO24" s="93"/>
    </row>
    <row r="25" spans="2:41" s="29" customFormat="1" ht="141.75" customHeight="1" thickBot="1" x14ac:dyDescent="0.25">
      <c r="B25" s="389"/>
      <c r="C25" s="81" t="s">
        <v>74</v>
      </c>
      <c r="D25" s="82" t="s">
        <v>76</v>
      </c>
      <c r="E25" s="343" t="s">
        <v>869</v>
      </c>
      <c r="F25" s="296" t="s">
        <v>879</v>
      </c>
      <c r="G25" s="344" t="s">
        <v>878</v>
      </c>
      <c r="H25" s="296" t="s">
        <v>880</v>
      </c>
      <c r="I25" s="296" t="s">
        <v>881</v>
      </c>
      <c r="J25" s="58" t="s">
        <v>85</v>
      </c>
      <c r="K25" s="58" t="str">
        <f t="shared" si="0"/>
        <v>N/A</v>
      </c>
      <c r="L25" s="58" t="s">
        <v>85</v>
      </c>
      <c r="M25" s="58" t="str">
        <f t="shared" si="1"/>
        <v>N/A</v>
      </c>
      <c r="N25" s="91" t="e">
        <f t="shared" si="2"/>
        <v>#VALUE!</v>
      </c>
      <c r="O25" s="348"/>
      <c r="P25" s="349"/>
      <c r="Q25" s="58" t="s">
        <v>85</v>
      </c>
      <c r="R25" s="226" t="str">
        <f t="shared" si="3"/>
        <v>N/A</v>
      </c>
      <c r="S25" s="58" t="s">
        <v>85</v>
      </c>
      <c r="T25" s="226" t="str">
        <f t="shared" si="4"/>
        <v>N/A</v>
      </c>
      <c r="U25" s="91" t="e">
        <f t="shared" si="5"/>
        <v>#VALUE!</v>
      </c>
      <c r="V25" s="194"/>
      <c r="W25" s="194"/>
      <c r="X25" s="194"/>
      <c r="Y25" s="194"/>
      <c r="Z25" s="345" t="s">
        <v>882</v>
      </c>
      <c r="AA25" s="346" t="s">
        <v>618</v>
      </c>
      <c r="AB25" s="346" t="s">
        <v>851</v>
      </c>
      <c r="AC25" s="347" t="s">
        <v>121</v>
      </c>
      <c r="AD25" s="345" t="s">
        <v>883</v>
      </c>
      <c r="AE25" s="392"/>
      <c r="AG25" s="267"/>
      <c r="AH25" s="268"/>
      <c r="AI25" s="268"/>
      <c r="AJ25" s="269"/>
      <c r="AO25" s="93"/>
    </row>
    <row r="26" spans="2:41" s="29" customFormat="1" ht="31.5" customHeight="1" thickBot="1" x14ac:dyDescent="0.25">
      <c r="B26" s="24"/>
      <c r="C26" s="24"/>
      <c r="D26" s="24"/>
      <c r="E26" s="24"/>
      <c r="F26" s="24"/>
      <c r="G26" s="24"/>
      <c r="H26" s="24"/>
      <c r="I26" s="24"/>
      <c r="J26" s="24"/>
      <c r="K26" s="24"/>
      <c r="L26" s="24"/>
      <c r="M26" s="24"/>
      <c r="N26" s="24"/>
      <c r="O26" s="24"/>
      <c r="P26" s="24"/>
      <c r="Q26" s="24"/>
      <c r="R26" s="24"/>
      <c r="S26" s="24"/>
      <c r="T26" s="24"/>
      <c r="U26" s="24"/>
      <c r="V26" s="24"/>
      <c r="W26" s="24"/>
      <c r="X26" s="24"/>
      <c r="Y26" s="24"/>
      <c r="Z26" s="24"/>
      <c r="AA26" s="24"/>
      <c r="AB26" s="24"/>
      <c r="AC26" s="24"/>
      <c r="AD26" s="86"/>
      <c r="AE26" s="47"/>
      <c r="AG26" s="261"/>
      <c r="AH26" s="262">
        <v>1</v>
      </c>
      <c r="AI26" s="262"/>
      <c r="AJ26" s="263">
        <f t="shared" si="6"/>
        <v>1</v>
      </c>
      <c r="AO26" s="94"/>
    </row>
    <row r="27" spans="2:41" s="29" customFormat="1" ht="129" customHeight="1" thickBot="1" x14ac:dyDescent="0.25">
      <c r="B27" s="24"/>
      <c r="C27" s="24"/>
      <c r="D27" s="24"/>
      <c r="E27" s="24"/>
      <c r="F27" s="110"/>
      <c r="G27" s="110"/>
      <c r="H27" s="448" t="s">
        <v>270</v>
      </c>
      <c r="I27" s="449"/>
      <c r="J27" s="449"/>
      <c r="K27" s="450"/>
      <c r="L27" s="24"/>
      <c r="M27" s="393" t="s">
        <v>35</v>
      </c>
      <c r="N27" s="394"/>
      <c r="O27" s="394"/>
      <c r="P27" s="395"/>
      <c r="Q27" s="111"/>
      <c r="R27" s="24"/>
      <c r="S27" s="24"/>
      <c r="T27" s="24"/>
      <c r="U27" s="24"/>
      <c r="V27" s="24"/>
      <c r="W27" s="24"/>
      <c r="X27" s="24"/>
      <c r="Y27" s="24"/>
      <c r="Z27" s="24"/>
      <c r="AA27" s="24"/>
      <c r="AB27" s="24"/>
      <c r="AC27" s="24"/>
      <c r="AD27" s="24"/>
      <c r="AE27" s="42"/>
      <c r="AG27" s="261">
        <v>1</v>
      </c>
      <c r="AH27" s="262"/>
      <c r="AI27" s="262"/>
      <c r="AJ27" s="263">
        <f t="shared" si="6"/>
        <v>1</v>
      </c>
      <c r="AK27" s="29" t="s">
        <v>86</v>
      </c>
      <c r="AO27" s="434" t="s">
        <v>78</v>
      </c>
    </row>
    <row r="28" spans="2:41" s="29" customFormat="1" ht="46.5" customHeight="1" x14ac:dyDescent="0.2">
      <c r="B28" s="24"/>
      <c r="C28" s="24"/>
      <c r="D28" s="24"/>
      <c r="E28" s="24"/>
      <c r="F28" s="424"/>
      <c r="G28" s="424"/>
      <c r="H28" s="451" t="s">
        <v>149</v>
      </c>
      <c r="I28" s="452"/>
      <c r="J28" s="26">
        <f>COUNTIF(U9:U25,"=5")</f>
        <v>0</v>
      </c>
      <c r="K28" s="27">
        <f>J28*100%/J31</f>
        <v>0</v>
      </c>
      <c r="L28" s="24"/>
      <c r="M28" s="471" t="s">
        <v>106</v>
      </c>
      <c r="N28" s="472"/>
      <c r="O28" s="472" t="s">
        <v>49</v>
      </c>
      <c r="P28" s="473"/>
      <c r="Q28" s="112"/>
      <c r="R28" s="24"/>
      <c r="S28" s="24"/>
      <c r="T28" s="24"/>
      <c r="U28" s="24"/>
      <c r="V28" s="24"/>
      <c r="W28" s="24"/>
      <c r="X28" s="24"/>
      <c r="Y28" s="24"/>
      <c r="Z28" s="24"/>
      <c r="AA28" s="24"/>
      <c r="AB28" s="24"/>
      <c r="AC28" s="24"/>
      <c r="AD28" s="24"/>
      <c r="AE28" s="42"/>
      <c r="AG28" s="261">
        <v>1</v>
      </c>
      <c r="AH28" s="262"/>
      <c r="AI28" s="262"/>
      <c r="AJ28" s="263">
        <f t="shared" si="6"/>
        <v>1</v>
      </c>
      <c r="AK28" s="29" t="s">
        <v>87</v>
      </c>
      <c r="AO28" s="435"/>
    </row>
    <row r="29" spans="2:41" s="29" customFormat="1" ht="46.5" customHeight="1" x14ac:dyDescent="0.2">
      <c r="B29" s="24"/>
      <c r="C29" s="24"/>
      <c r="D29" s="24"/>
      <c r="E29" s="24"/>
      <c r="F29" s="424"/>
      <c r="G29" s="424"/>
      <c r="H29" s="451" t="s">
        <v>150</v>
      </c>
      <c r="I29" s="452"/>
      <c r="J29" s="26">
        <f>COUNTIFS(U9:U25,"&gt;=6",U9:U25,"&lt;=30")</f>
        <v>14</v>
      </c>
      <c r="K29" s="27">
        <f>J29*100%/J31</f>
        <v>0.93333333333333335</v>
      </c>
      <c r="L29" s="24"/>
      <c r="M29" s="464" t="s">
        <v>107</v>
      </c>
      <c r="N29" s="465"/>
      <c r="O29" s="466" t="s">
        <v>50</v>
      </c>
      <c r="P29" s="467"/>
      <c r="Q29" s="112"/>
      <c r="R29" s="24"/>
      <c r="S29" s="24"/>
      <c r="T29" s="24"/>
      <c r="U29" s="24"/>
      <c r="V29" s="24"/>
      <c r="W29" s="24"/>
      <c r="X29" s="24"/>
      <c r="Y29" s="24"/>
      <c r="Z29" s="24"/>
      <c r="AA29" s="24"/>
      <c r="AB29" s="24"/>
      <c r="AC29" s="24"/>
      <c r="AD29" s="24"/>
      <c r="AE29" s="42"/>
      <c r="AG29" s="261">
        <v>1</v>
      </c>
      <c r="AH29" s="262"/>
      <c r="AI29" s="262"/>
      <c r="AJ29" s="263">
        <f t="shared" si="6"/>
        <v>1</v>
      </c>
      <c r="AO29" s="435"/>
    </row>
    <row r="30" spans="2:41" s="29" customFormat="1" ht="46.5" customHeight="1" thickBot="1" x14ac:dyDescent="0.25">
      <c r="B30" s="24"/>
      <c r="C30" s="24"/>
      <c r="D30" s="24"/>
      <c r="E30" s="24"/>
      <c r="F30" s="424"/>
      <c r="G30" s="424"/>
      <c r="H30" s="451" t="s">
        <v>151</v>
      </c>
      <c r="I30" s="452"/>
      <c r="J30" s="26">
        <f>COUNTIFS(U10:U26,"&gt;=40",U10:U26,"&lt;=60")</f>
        <v>1</v>
      </c>
      <c r="K30" s="27">
        <f>J30*100%/J31</f>
        <v>6.6666666666666666E-2</v>
      </c>
      <c r="L30" s="24"/>
      <c r="M30" s="468" t="s">
        <v>108</v>
      </c>
      <c r="N30" s="469"/>
      <c r="O30" s="469" t="s">
        <v>20</v>
      </c>
      <c r="P30" s="470"/>
      <c r="Q30" s="112"/>
      <c r="R30" s="24"/>
      <c r="S30" s="24"/>
      <c r="T30" s="24"/>
      <c r="U30" s="24"/>
      <c r="V30" s="24"/>
      <c r="W30" s="24"/>
      <c r="X30" s="24"/>
      <c r="Y30" s="24"/>
      <c r="Z30" s="24"/>
      <c r="AA30" s="24"/>
      <c r="AB30" s="24"/>
      <c r="AC30" s="24"/>
      <c r="AD30" s="24"/>
      <c r="AE30" s="42"/>
      <c r="AG30" s="261">
        <v>1</v>
      </c>
      <c r="AH30" s="262"/>
      <c r="AI30" s="262"/>
      <c r="AJ30" s="263">
        <f t="shared" si="6"/>
        <v>1</v>
      </c>
      <c r="AO30" s="435"/>
    </row>
    <row r="31" spans="2:41" s="29" customFormat="1" ht="46.5" customHeight="1" thickBot="1" x14ac:dyDescent="0.25">
      <c r="B31" s="24"/>
      <c r="C31" s="24"/>
      <c r="D31" s="24"/>
      <c r="E31" s="24"/>
      <c r="F31" s="433"/>
      <c r="G31" s="433"/>
      <c r="H31" s="458" t="s">
        <v>152</v>
      </c>
      <c r="I31" s="459"/>
      <c r="J31" s="265">
        <f>+J28+J30+J29</f>
        <v>15</v>
      </c>
      <c r="K31" s="138">
        <f>K28+K29+K30</f>
        <v>1</v>
      </c>
      <c r="L31" s="24"/>
      <c r="M31" s="24"/>
      <c r="N31" s="24"/>
      <c r="O31" s="24"/>
      <c r="P31" s="24"/>
      <c r="Q31" s="24"/>
      <c r="R31" s="24"/>
      <c r="S31" s="24"/>
      <c r="T31" s="24"/>
      <c r="U31" s="24"/>
      <c r="V31" s="24"/>
      <c r="W31" s="24"/>
      <c r="X31" s="24"/>
      <c r="Y31" s="24"/>
      <c r="Z31" s="24"/>
      <c r="AA31" s="24"/>
      <c r="AB31" s="24"/>
      <c r="AC31" s="24"/>
      <c r="AD31" s="24"/>
      <c r="AE31" s="42"/>
      <c r="AG31" s="261">
        <v>1</v>
      </c>
      <c r="AH31" s="262"/>
      <c r="AI31" s="262"/>
      <c r="AJ31" s="263">
        <f t="shared" si="6"/>
        <v>1</v>
      </c>
      <c r="AO31" s="435"/>
    </row>
    <row r="32" spans="2:41" s="29" customFormat="1" ht="75" customHeight="1" thickBot="1" x14ac:dyDescent="0.25">
      <c r="B32" s="24"/>
      <c r="C32" s="24"/>
      <c r="D32" s="24"/>
      <c r="E32" s="24"/>
      <c r="F32" s="24"/>
      <c r="G32" s="24"/>
      <c r="H32" s="456" t="s">
        <v>269</v>
      </c>
      <c r="I32" s="457"/>
      <c r="J32" s="244">
        <f>COUNTIF(Q4:Q25,"N/A")</f>
        <v>2</v>
      </c>
      <c r="K32" s="245" t="str">
        <f>IF(J32&gt;=1,"100%",0)</f>
        <v>100%</v>
      </c>
      <c r="L32" s="24"/>
      <c r="M32" s="24"/>
      <c r="N32" s="24"/>
      <c r="O32" s="24"/>
      <c r="P32" s="24"/>
      <c r="Q32" s="24"/>
      <c r="R32" s="24"/>
      <c r="S32" s="24"/>
      <c r="T32" s="24"/>
      <c r="U32" s="24"/>
      <c r="V32" s="24"/>
      <c r="W32" s="24"/>
      <c r="X32" s="24"/>
      <c r="Y32" s="24"/>
      <c r="Z32" s="24"/>
      <c r="AA32" s="24"/>
      <c r="AB32" s="24"/>
      <c r="AC32" s="24"/>
      <c r="AD32" s="24"/>
      <c r="AE32" s="42"/>
      <c r="AG32" s="261"/>
      <c r="AH32" s="262">
        <v>1</v>
      </c>
      <c r="AI32" s="262"/>
      <c r="AJ32" s="263">
        <f t="shared" si="6"/>
        <v>1</v>
      </c>
      <c r="AO32" s="435"/>
    </row>
    <row r="33" spans="2:41" s="29" customFormat="1" ht="97.5" customHeight="1" x14ac:dyDescent="0.2">
      <c r="B33" s="24"/>
      <c r="C33" s="83"/>
      <c r="D33" s="83"/>
      <c r="E33" s="83"/>
      <c r="F33" s="83"/>
      <c r="G33" s="84"/>
      <c r="H33" s="84"/>
      <c r="I33" s="83"/>
      <c r="J33" s="24"/>
      <c r="K33" s="24"/>
      <c r="L33" s="24"/>
      <c r="M33" s="24"/>
      <c r="N33" s="24"/>
      <c r="O33" s="24"/>
      <c r="P33" s="24"/>
      <c r="Q33" s="24"/>
      <c r="R33" s="24"/>
      <c r="S33" s="24"/>
      <c r="T33" s="24"/>
      <c r="U33" s="24"/>
      <c r="V33" s="24"/>
      <c r="W33" s="24"/>
      <c r="X33" s="24"/>
      <c r="Y33" s="24"/>
      <c r="Z33" s="24"/>
      <c r="AA33" s="24"/>
      <c r="AB33" s="24"/>
      <c r="AC33" s="24"/>
      <c r="AD33" s="24"/>
      <c r="AE33" s="42"/>
      <c r="AG33" s="261"/>
      <c r="AH33" s="262">
        <v>1</v>
      </c>
      <c r="AI33" s="262"/>
      <c r="AJ33" s="263">
        <f t="shared" si="6"/>
        <v>1</v>
      </c>
      <c r="AO33" s="435"/>
    </row>
    <row r="34" spans="2:41" s="29" customFormat="1" ht="107.25" customHeight="1" thickBot="1" x14ac:dyDescent="0.25">
      <c r="B34" s="24"/>
      <c r="C34" s="83"/>
      <c r="D34" s="83"/>
      <c r="E34" s="83"/>
      <c r="F34" s="84"/>
      <c r="G34" s="84"/>
      <c r="H34" s="84"/>
      <c r="I34" s="84"/>
      <c r="J34" s="24"/>
      <c r="K34" s="24"/>
      <c r="L34" s="24"/>
      <c r="M34" s="24"/>
      <c r="N34" s="24"/>
      <c r="O34" s="24"/>
      <c r="P34" s="24"/>
      <c r="Q34" s="24"/>
      <c r="R34" s="24"/>
      <c r="S34" s="24"/>
      <c r="T34" s="24"/>
      <c r="U34" s="24"/>
      <c r="V34" s="24"/>
      <c r="W34" s="24"/>
      <c r="X34" s="24"/>
      <c r="Y34" s="24"/>
      <c r="Z34" s="24"/>
      <c r="AA34" s="24"/>
      <c r="AB34" s="24"/>
      <c r="AC34" s="24"/>
      <c r="AD34" s="24"/>
      <c r="AE34" s="42"/>
      <c r="AG34" s="261">
        <v>1</v>
      </c>
      <c r="AH34" s="262"/>
      <c r="AI34" s="262"/>
      <c r="AJ34" s="263">
        <f t="shared" si="6"/>
        <v>1</v>
      </c>
      <c r="AO34" s="436"/>
    </row>
    <row r="35" spans="2:41" s="28" customFormat="1" ht="80.25" customHeight="1" x14ac:dyDescent="0.2">
      <c r="B35" s="24"/>
      <c r="C35" s="83"/>
      <c r="D35" s="83"/>
      <c r="E35" s="85"/>
      <c r="F35" s="85"/>
      <c r="G35" s="85"/>
      <c r="H35" s="85"/>
      <c r="I35" s="85"/>
      <c r="J35" s="24"/>
      <c r="K35" s="24"/>
      <c r="L35" s="24"/>
      <c r="M35" s="24"/>
      <c r="N35" s="24"/>
      <c r="O35" s="24"/>
      <c r="P35" s="24"/>
      <c r="Q35" s="24"/>
      <c r="R35" s="24"/>
      <c r="S35" s="24"/>
      <c r="T35" s="24"/>
      <c r="U35" s="24"/>
      <c r="V35" s="24"/>
      <c r="W35" s="24"/>
      <c r="X35" s="24"/>
      <c r="Y35" s="24"/>
      <c r="Z35" s="24"/>
      <c r="AA35" s="24"/>
      <c r="AB35" s="24"/>
      <c r="AC35" s="24"/>
      <c r="AD35" s="24"/>
      <c r="AE35" s="42"/>
      <c r="AG35" s="39"/>
      <c r="AH35" s="49"/>
      <c r="AI35" s="49"/>
      <c r="AJ35" s="40"/>
      <c r="AO35" s="434" t="s">
        <v>79</v>
      </c>
    </row>
    <row r="36" spans="2:41" s="29" customFormat="1" ht="101.25" customHeight="1" x14ac:dyDescent="0.2">
      <c r="B36" s="24"/>
      <c r="C36" s="84"/>
      <c r="D36" s="84"/>
      <c r="E36" s="48"/>
      <c r="F36" s="48"/>
      <c r="G36" s="48"/>
      <c r="H36" s="48"/>
      <c r="I36" s="48"/>
      <c r="J36" s="24"/>
      <c r="K36" s="24"/>
      <c r="L36" s="24"/>
      <c r="M36" s="24"/>
      <c r="N36" s="24"/>
      <c r="O36" s="24"/>
      <c r="P36" s="24"/>
      <c r="Q36" s="24"/>
      <c r="R36" s="24"/>
      <c r="S36" s="24"/>
      <c r="T36" s="24"/>
      <c r="U36" s="24"/>
      <c r="V36" s="24"/>
      <c r="W36" s="24"/>
      <c r="X36" s="24"/>
      <c r="Y36" s="24"/>
      <c r="Z36" s="24"/>
      <c r="AA36" s="24"/>
      <c r="AB36" s="24"/>
      <c r="AC36" s="24"/>
      <c r="AD36" s="24"/>
      <c r="AE36" s="42"/>
      <c r="AG36" s="261">
        <v>1</v>
      </c>
      <c r="AH36" s="262"/>
      <c r="AI36" s="262"/>
      <c r="AJ36" s="263">
        <f t="shared" si="6"/>
        <v>1</v>
      </c>
      <c r="AO36" s="435"/>
    </row>
    <row r="37" spans="2:41" s="29" customFormat="1" ht="109.5" customHeight="1" x14ac:dyDescent="0.2">
      <c r="B37" s="24"/>
      <c r="C37" s="84"/>
      <c r="D37" s="84"/>
      <c r="I37" s="24"/>
      <c r="J37" s="24"/>
      <c r="K37" s="24"/>
      <c r="L37" s="24"/>
      <c r="M37" s="24"/>
      <c r="N37" s="24"/>
      <c r="O37" s="24"/>
      <c r="P37" s="24"/>
      <c r="Q37" s="24"/>
      <c r="R37" s="24"/>
      <c r="S37" s="24"/>
      <c r="T37" s="24"/>
      <c r="U37" s="24"/>
      <c r="V37" s="24"/>
      <c r="W37" s="24"/>
      <c r="X37" s="24"/>
      <c r="Y37" s="24"/>
      <c r="Z37" s="24"/>
      <c r="AA37" s="24"/>
      <c r="AB37" s="24"/>
      <c r="AC37" s="24"/>
      <c r="AD37" s="24"/>
      <c r="AE37" s="42"/>
      <c r="AG37" s="261"/>
      <c r="AH37" s="262">
        <v>1</v>
      </c>
      <c r="AI37" s="262"/>
      <c r="AJ37" s="263">
        <f t="shared" si="6"/>
        <v>1</v>
      </c>
      <c r="AO37" s="435"/>
    </row>
    <row r="38" spans="2:41" s="29" customFormat="1" ht="67.5" customHeight="1" x14ac:dyDescent="0.2">
      <c r="B38" s="24"/>
      <c r="C38" s="84"/>
      <c r="D38" s="8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261"/>
      <c r="AH38" s="262">
        <v>1</v>
      </c>
      <c r="AI38" s="262"/>
      <c r="AJ38" s="263">
        <v>1</v>
      </c>
      <c r="AO38" s="435"/>
    </row>
    <row r="39" spans="2:41" s="29" customFormat="1" ht="83.25" customHeight="1" x14ac:dyDescent="0.2">
      <c r="B39" s="24"/>
      <c r="C39" s="83"/>
      <c r="D39" s="83"/>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261"/>
      <c r="AH39" s="262">
        <v>1</v>
      </c>
      <c r="AI39" s="262"/>
      <c r="AJ39" s="263">
        <v>1</v>
      </c>
      <c r="AO39" s="435"/>
    </row>
    <row r="40" spans="2:41" s="29" customFormat="1" ht="75.75" customHeight="1" thickBot="1" x14ac:dyDescent="0.25">
      <c r="B40" s="24"/>
      <c r="C40" s="83"/>
      <c r="D40" s="83"/>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261"/>
      <c r="AH40" s="262"/>
      <c r="AI40" s="262"/>
      <c r="AJ40" s="263"/>
      <c r="AO40" s="436"/>
    </row>
    <row r="41" spans="2:41" s="29" customFormat="1" ht="73.5" customHeight="1" x14ac:dyDescent="0.2">
      <c r="B41" s="24"/>
      <c r="C41" s="83"/>
      <c r="D41" s="83"/>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261"/>
      <c r="AH41" s="262">
        <v>1</v>
      </c>
      <c r="AI41" s="262"/>
      <c r="AJ41" s="263">
        <v>1</v>
      </c>
      <c r="AO41" s="434" t="s">
        <v>80</v>
      </c>
    </row>
    <row r="42" spans="2:41" s="29" customFormat="1" ht="58.5" customHeight="1" x14ac:dyDescent="0.2">
      <c r="B42" s="24"/>
      <c r="C42" s="84"/>
      <c r="D42" s="84"/>
      <c r="J42" s="24"/>
      <c r="K42" s="24"/>
      <c r="L42" s="24"/>
      <c r="M42" s="24"/>
      <c r="N42" s="24"/>
      <c r="O42" s="24"/>
      <c r="P42" s="24"/>
      <c r="Q42" s="24"/>
      <c r="R42" s="24"/>
      <c r="S42" s="24"/>
      <c r="T42" s="24"/>
      <c r="U42" s="24"/>
      <c r="V42" s="24"/>
      <c r="W42" s="24"/>
      <c r="X42" s="24"/>
      <c r="Y42" s="24"/>
      <c r="Z42" s="24"/>
      <c r="AA42" s="24"/>
      <c r="AB42" s="24"/>
      <c r="AC42" s="24"/>
      <c r="AD42" s="24"/>
      <c r="AE42" s="42"/>
      <c r="AG42" s="261">
        <v>1</v>
      </c>
      <c r="AH42" s="262"/>
      <c r="AI42" s="262"/>
      <c r="AJ42" s="263">
        <v>1</v>
      </c>
      <c r="AO42" s="435"/>
    </row>
    <row r="43" spans="2:41" s="29" customFormat="1" ht="73.5" customHeight="1" x14ac:dyDescent="0.2">
      <c r="B43" s="24"/>
      <c r="C43" s="84"/>
      <c r="D43" s="8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261"/>
      <c r="AH43" s="262">
        <v>1</v>
      </c>
      <c r="AI43" s="262"/>
      <c r="AJ43" s="263">
        <v>1</v>
      </c>
      <c r="AO43" s="435"/>
    </row>
    <row r="44" spans="2:41" s="29" customFormat="1" ht="102" customHeight="1" thickBot="1" x14ac:dyDescent="0.25">
      <c r="B44" s="24"/>
      <c r="C44" s="84"/>
      <c r="D44" s="8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261">
        <v>1</v>
      </c>
      <c r="AH44" s="262"/>
      <c r="AI44" s="262"/>
      <c r="AJ44" s="263">
        <v>1</v>
      </c>
      <c r="AO44" s="435"/>
    </row>
    <row r="45" spans="2:41" s="29" customFormat="1" ht="86.25" customHeight="1" x14ac:dyDescent="0.2">
      <c r="B45" s="24"/>
      <c r="C45" s="84"/>
      <c r="D45" s="8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261"/>
      <c r="AH45" s="262">
        <v>1</v>
      </c>
      <c r="AI45" s="262"/>
      <c r="AJ45" s="263">
        <v>1</v>
      </c>
      <c r="AO45" s="437" t="s">
        <v>81</v>
      </c>
    </row>
    <row r="46" spans="2:41" s="29" customFormat="1" ht="70.5" customHeight="1" thickBot="1" x14ac:dyDescent="0.25">
      <c r="B46" s="24"/>
      <c r="C46" s="84"/>
      <c r="D46" s="8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261">
        <v>1</v>
      </c>
      <c r="AH46" s="262"/>
      <c r="AI46" s="262"/>
      <c r="AJ46" s="263">
        <v>1</v>
      </c>
      <c r="AO46" s="438"/>
    </row>
    <row r="47" spans="2:41" s="29" customFormat="1" ht="62.25" customHeight="1" x14ac:dyDescent="0.2">
      <c r="B47" s="24"/>
      <c r="C47" s="84"/>
      <c r="D47" s="8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261">
        <v>1</v>
      </c>
      <c r="AH47" s="262"/>
      <c r="AI47" s="262"/>
      <c r="AJ47" s="263">
        <v>1</v>
      </c>
      <c r="AO47" s="437" t="s">
        <v>82</v>
      </c>
    </row>
    <row r="48" spans="2:41" s="29" customFormat="1" ht="45.75" customHeight="1" x14ac:dyDescent="0.2">
      <c r="B48" s="24"/>
      <c r="C48" s="84"/>
      <c r="D48" s="8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261"/>
      <c r="AH48" s="262"/>
      <c r="AI48" s="262">
        <v>1</v>
      </c>
      <c r="AJ48" s="263">
        <v>1</v>
      </c>
      <c r="AO48" s="439"/>
    </row>
    <row r="49" spans="2:41" s="29" customFormat="1" ht="43.5" customHeight="1" x14ac:dyDescent="0.2">
      <c r="B49" s="24"/>
      <c r="C49" s="84"/>
      <c r="D49" s="8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261">
        <v>1</v>
      </c>
      <c r="AH49" s="262"/>
      <c r="AI49" s="262"/>
      <c r="AJ49" s="263">
        <v>1</v>
      </c>
      <c r="AO49" s="439"/>
    </row>
    <row r="50" spans="2:41" s="29" customFormat="1" ht="61.5" customHeight="1" thickBot="1" x14ac:dyDescent="0.25">
      <c r="B50" s="24"/>
      <c r="C50" s="84"/>
      <c r="D50" s="84"/>
      <c r="J50" s="24"/>
      <c r="K50" s="24"/>
      <c r="L50" s="24"/>
      <c r="M50" s="24"/>
      <c r="N50" s="24"/>
      <c r="O50" s="24"/>
      <c r="P50" s="24"/>
      <c r="Q50" s="24"/>
      <c r="R50" s="24"/>
      <c r="S50" s="24"/>
      <c r="T50" s="24"/>
      <c r="U50" s="24"/>
      <c r="V50" s="24"/>
      <c r="W50" s="24"/>
      <c r="X50" s="24"/>
      <c r="Y50" s="24"/>
      <c r="Z50" s="24"/>
      <c r="AA50" s="24"/>
      <c r="AB50" s="24"/>
      <c r="AC50" s="24"/>
      <c r="AD50" s="24"/>
      <c r="AE50" s="42"/>
      <c r="AG50" s="440"/>
      <c r="AH50" s="441"/>
      <c r="AI50" s="441">
        <v>1</v>
      </c>
      <c r="AJ50" s="442">
        <v>1</v>
      </c>
      <c r="AO50" s="438"/>
    </row>
    <row r="51" spans="2:41" s="29" customFormat="1" ht="70.5" customHeight="1" x14ac:dyDescent="0.2">
      <c r="B51" s="24"/>
      <c r="C51" s="84"/>
      <c r="D51" s="8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440"/>
      <c r="AH51" s="441"/>
      <c r="AI51" s="441"/>
      <c r="AJ51" s="442"/>
      <c r="AO51" s="434" t="s">
        <v>83</v>
      </c>
    </row>
    <row r="52" spans="2:41" s="29" customFormat="1" ht="59.25" customHeight="1" x14ac:dyDescent="0.2">
      <c r="B52" s="24"/>
      <c r="C52" s="84"/>
      <c r="D52" s="8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261">
        <v>1</v>
      </c>
      <c r="AH52" s="262"/>
      <c r="AI52" s="262"/>
      <c r="AJ52" s="263">
        <v>1</v>
      </c>
      <c r="AO52" s="435"/>
    </row>
    <row r="53" spans="2:41" s="29" customFormat="1" ht="122.25" customHeight="1" x14ac:dyDescent="0.2">
      <c r="B53" s="24"/>
      <c r="C53" s="84"/>
      <c r="D53" s="8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261">
        <v>1</v>
      </c>
      <c r="AH53" s="262"/>
      <c r="AI53" s="262"/>
      <c r="AJ53" s="263">
        <v>1</v>
      </c>
      <c r="AO53" s="435"/>
    </row>
    <row r="54" spans="2:41" s="29" customFormat="1" ht="97.5" customHeight="1" x14ac:dyDescent="0.2">
      <c r="B54" s="24"/>
      <c r="C54" s="84"/>
      <c r="D54" s="8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261">
        <v>1</v>
      </c>
      <c r="AH54" s="262"/>
      <c r="AI54" s="262"/>
      <c r="AJ54" s="263">
        <v>1</v>
      </c>
      <c r="AO54" s="435"/>
    </row>
    <row r="55" spans="2:41" s="29" customFormat="1" ht="49.5" customHeight="1" thickBot="1" x14ac:dyDescent="0.25">
      <c r="B55" s="24"/>
      <c r="C55" s="84"/>
      <c r="D55" s="8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261">
        <v>1</v>
      </c>
      <c r="AH55" s="262"/>
      <c r="AI55" s="262"/>
      <c r="AJ55" s="263">
        <v>1</v>
      </c>
      <c r="AO55" s="436"/>
    </row>
    <row r="56" spans="2:41" s="29" customFormat="1" ht="61.5" customHeight="1" x14ac:dyDescent="0.2">
      <c r="B56" s="24"/>
      <c r="C56" s="84"/>
      <c r="D56" s="8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261"/>
      <c r="AH56" s="262">
        <v>1</v>
      </c>
      <c r="AI56" s="262"/>
      <c r="AJ56" s="263">
        <v>1</v>
      </c>
      <c r="AO56" s="434" t="s">
        <v>84</v>
      </c>
    </row>
    <row r="57" spans="2:41" s="29" customFormat="1" ht="44.25" customHeight="1" x14ac:dyDescent="0.2">
      <c r="B57" s="24"/>
      <c r="C57" s="84"/>
      <c r="D57" s="8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261">
        <v>1</v>
      </c>
      <c r="AH57" s="262"/>
      <c r="AI57" s="262"/>
      <c r="AJ57" s="263">
        <v>1</v>
      </c>
      <c r="AO57" s="435"/>
    </row>
    <row r="58" spans="2:41" s="29" customFormat="1" ht="97.5" customHeight="1" x14ac:dyDescent="0.2">
      <c r="B58" s="24"/>
      <c r="C58" s="84"/>
      <c r="D58" s="84"/>
      <c r="J58" s="24"/>
      <c r="K58" s="24"/>
      <c r="L58" s="24"/>
      <c r="M58" s="24"/>
      <c r="N58" s="24"/>
      <c r="O58" s="24"/>
      <c r="P58" s="24"/>
      <c r="Q58" s="24"/>
      <c r="R58" s="24"/>
      <c r="S58" s="24"/>
      <c r="T58" s="24"/>
      <c r="U58" s="24"/>
      <c r="V58" s="24"/>
      <c r="W58" s="24"/>
      <c r="X58" s="24"/>
      <c r="Y58" s="24"/>
      <c r="Z58" s="24"/>
      <c r="AA58" s="24"/>
      <c r="AB58" s="24"/>
      <c r="AC58" s="24"/>
      <c r="AD58" s="24"/>
      <c r="AE58" s="42"/>
      <c r="AG58" s="261">
        <v>1</v>
      </c>
      <c r="AH58" s="262"/>
      <c r="AI58" s="262"/>
      <c r="AJ58" s="263">
        <v>1</v>
      </c>
      <c r="AO58" s="435"/>
    </row>
    <row r="59" spans="2:41" s="29" customFormat="1" ht="54.75" customHeight="1" thickBot="1" x14ac:dyDescent="0.25">
      <c r="B59" s="24"/>
      <c r="C59" s="84"/>
      <c r="D59" s="84"/>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42"/>
      <c r="AG59" s="261">
        <v>1</v>
      </c>
      <c r="AH59" s="262"/>
      <c r="AI59" s="262"/>
      <c r="AJ59" s="263">
        <v>1</v>
      </c>
      <c r="AO59" s="436"/>
    </row>
    <row r="60" spans="2:41" s="29" customFormat="1" ht="83.25" customHeight="1" x14ac:dyDescent="0.2">
      <c r="B60" s="24"/>
      <c r="C60" s="84"/>
      <c r="D60" s="8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42"/>
      <c r="AG60" s="261">
        <v>1</v>
      </c>
      <c r="AH60" s="262"/>
      <c r="AI60" s="262"/>
      <c r="AJ60" s="263">
        <v>1</v>
      </c>
      <c r="AO60" s="434" t="s">
        <v>75</v>
      </c>
    </row>
    <row r="61" spans="2:41" s="29" customFormat="1" ht="82.5" customHeight="1" x14ac:dyDescent="0.2">
      <c r="B61" s="24"/>
      <c r="C61" s="84"/>
      <c r="D61" s="84"/>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42"/>
      <c r="AG61" s="261"/>
      <c r="AH61" s="262"/>
      <c r="AI61" s="262">
        <v>1</v>
      </c>
      <c r="AJ61" s="263">
        <v>1</v>
      </c>
      <c r="AO61" s="435"/>
    </row>
    <row r="62" spans="2:41" s="29" customFormat="1" ht="67.5" customHeight="1" x14ac:dyDescent="0.2">
      <c r="B62" s="24"/>
      <c r="C62" s="84"/>
      <c r="D62" s="84"/>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42"/>
      <c r="AG62" s="261"/>
      <c r="AH62" s="262">
        <v>1</v>
      </c>
      <c r="AI62" s="262"/>
      <c r="AJ62" s="263">
        <v>1</v>
      </c>
      <c r="AO62" s="435"/>
    </row>
    <row r="63" spans="2:41" s="29" customFormat="1" ht="65.25" customHeight="1" thickBot="1" x14ac:dyDescent="0.25">
      <c r="B63" s="24"/>
      <c r="C63" s="84"/>
      <c r="D63" s="84"/>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42"/>
      <c r="AG63" s="261">
        <v>1</v>
      </c>
      <c r="AH63" s="262"/>
      <c r="AI63" s="262"/>
      <c r="AJ63" s="263">
        <v>1</v>
      </c>
      <c r="AO63" s="436"/>
    </row>
    <row r="64" spans="2:41" s="29" customFormat="1" ht="36.75" customHeight="1" x14ac:dyDescent="0.2">
      <c r="B64" s="24"/>
      <c r="C64" s="84"/>
      <c r="D64" s="84"/>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42"/>
      <c r="AG64" s="261"/>
      <c r="AH64" s="262"/>
      <c r="AI64" s="262"/>
      <c r="AJ64" s="263"/>
    </row>
    <row r="65" spans="2:36" s="29" customFormat="1" ht="151.5" customHeight="1" x14ac:dyDescent="0.2">
      <c r="B65" s="24"/>
      <c r="C65" s="84"/>
      <c r="D65" s="84"/>
      <c r="I65" s="24"/>
      <c r="J65" s="24"/>
      <c r="K65" s="24"/>
      <c r="L65" s="24"/>
      <c r="M65" s="24"/>
      <c r="N65" s="24"/>
      <c r="O65" s="24"/>
      <c r="P65" s="24"/>
      <c r="Q65" s="24"/>
      <c r="R65" s="24"/>
      <c r="S65" s="24"/>
      <c r="T65" s="24"/>
      <c r="U65" s="24"/>
      <c r="V65" s="24"/>
      <c r="W65" s="24"/>
      <c r="X65" s="24"/>
      <c r="Y65" s="24"/>
      <c r="Z65" s="24"/>
      <c r="AA65" s="24"/>
      <c r="AB65" s="24"/>
      <c r="AC65" s="24"/>
      <c r="AD65" s="24"/>
      <c r="AE65" s="42"/>
      <c r="AG65" s="261"/>
      <c r="AH65" s="262"/>
      <c r="AI65" s="262">
        <v>1</v>
      </c>
      <c r="AJ65" s="263">
        <v>1</v>
      </c>
    </row>
    <row r="66" spans="2:36" s="29" customFormat="1" ht="100.5" customHeight="1" x14ac:dyDescent="0.2">
      <c r="B66" s="24"/>
      <c r="C66" s="84"/>
      <c r="D66" s="8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42"/>
      <c r="AG66" s="261"/>
      <c r="AH66" s="262"/>
      <c r="AI66" s="262">
        <v>1</v>
      </c>
      <c r="AJ66" s="263">
        <v>1</v>
      </c>
    </row>
    <row r="67" spans="2:36" s="29" customFormat="1" ht="113.25" customHeight="1" x14ac:dyDescent="0.2">
      <c r="B67" s="24"/>
      <c r="C67" s="84"/>
      <c r="D67" s="8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42"/>
      <c r="AG67" s="261"/>
      <c r="AH67" s="262">
        <v>1</v>
      </c>
      <c r="AI67" s="262"/>
      <c r="AJ67" s="263">
        <v>1</v>
      </c>
    </row>
    <row r="68" spans="2:36" ht="54.75" customHeight="1" x14ac:dyDescent="0.2">
      <c r="C68" s="84"/>
      <c r="D68" s="84"/>
      <c r="AE68" s="42"/>
      <c r="AF68" s="29"/>
      <c r="AG68" s="34"/>
      <c r="AH68" s="30">
        <v>1</v>
      </c>
      <c r="AI68" s="30"/>
      <c r="AJ68" s="35">
        <v>1</v>
      </c>
    </row>
    <row r="69" spans="2:36" ht="45.75" customHeight="1" x14ac:dyDescent="0.2">
      <c r="C69" s="84"/>
      <c r="D69" s="84"/>
      <c r="AE69" s="42"/>
      <c r="AF69" s="29"/>
      <c r="AG69" s="34"/>
      <c r="AH69" s="30">
        <v>1</v>
      </c>
      <c r="AI69" s="30"/>
      <c r="AJ69" s="35">
        <v>1</v>
      </c>
    </row>
    <row r="70" spans="2:36" ht="54.75" customHeight="1" x14ac:dyDescent="0.2">
      <c r="C70" s="84"/>
      <c r="D70" s="84"/>
      <c r="AE70" s="42"/>
      <c r="AF70" s="29"/>
      <c r="AG70" s="34"/>
      <c r="AH70" s="30">
        <v>1</v>
      </c>
      <c r="AI70" s="30"/>
      <c r="AJ70" s="35">
        <v>1</v>
      </c>
    </row>
    <row r="71" spans="2:36" ht="201.75" customHeight="1" x14ac:dyDescent="0.2">
      <c r="C71" s="84"/>
      <c r="D71" s="84"/>
      <c r="AE71" s="42"/>
      <c r="AF71" s="29"/>
      <c r="AG71" s="34"/>
      <c r="AH71" s="30">
        <v>1</v>
      </c>
      <c r="AI71" s="30"/>
      <c r="AJ71" s="35">
        <v>1</v>
      </c>
    </row>
    <row r="72" spans="2:36" ht="125.25" customHeight="1" x14ac:dyDescent="0.2">
      <c r="C72" s="84"/>
      <c r="D72" s="84"/>
      <c r="AE72" s="42"/>
      <c r="AF72" s="29"/>
      <c r="AG72" s="34"/>
      <c r="AH72" s="30">
        <v>1</v>
      </c>
      <c r="AI72" s="30"/>
      <c r="AJ72" s="35">
        <v>1</v>
      </c>
    </row>
    <row r="73" spans="2:36" ht="112.5" customHeight="1" thickBot="1" x14ac:dyDescent="0.25">
      <c r="C73" s="84"/>
      <c r="D73" s="84"/>
      <c r="AE73" s="42"/>
      <c r="AG73" s="36">
        <f>SUM(AG9:AG68)</f>
        <v>23</v>
      </c>
      <c r="AH73" s="37">
        <f>SUM(AH9:AH72)</f>
        <v>18</v>
      </c>
      <c r="AI73" s="37">
        <f>SUM(AI9:AI72)</f>
        <v>5</v>
      </c>
      <c r="AJ73" s="38">
        <f>SUM(AJ9:AJ72)</f>
        <v>46</v>
      </c>
    </row>
    <row r="74" spans="2:36" ht="94.5" customHeight="1" x14ac:dyDescent="0.2">
      <c r="C74" s="84"/>
      <c r="D74" s="84"/>
      <c r="AE74" s="42"/>
    </row>
    <row r="75" spans="2:36" ht="100.5" customHeight="1" x14ac:dyDescent="0.2">
      <c r="C75" s="84"/>
      <c r="D75" s="84"/>
      <c r="AE75" s="42"/>
    </row>
    <row r="76" spans="2:36" ht="226.5" customHeight="1" x14ac:dyDescent="0.2">
      <c r="C76" s="84"/>
      <c r="D76" s="84"/>
      <c r="AE76" s="42"/>
    </row>
    <row r="77" spans="2:36" ht="67.5" customHeight="1" x14ac:dyDescent="0.2">
      <c r="C77" s="84"/>
      <c r="D77" s="84"/>
      <c r="AE77" s="42"/>
    </row>
    <row r="78" spans="2:36" ht="90.75" customHeight="1" x14ac:dyDescent="0.2">
      <c r="C78" s="84"/>
      <c r="D78" s="84"/>
      <c r="AE78" s="42"/>
    </row>
    <row r="79" spans="2:36" ht="75" customHeight="1" x14ac:dyDescent="0.2">
      <c r="C79" s="84"/>
      <c r="D79" s="84"/>
      <c r="AE79" s="42"/>
    </row>
    <row r="80" spans="2:36" x14ac:dyDescent="0.2">
      <c r="C80" s="84"/>
      <c r="D80" s="84"/>
      <c r="AE80" s="42"/>
    </row>
    <row r="81" spans="3:31" ht="43.5" customHeight="1" x14ac:dyDescent="0.2">
      <c r="C81" s="84"/>
      <c r="D81" s="84"/>
      <c r="AE81" s="42"/>
    </row>
    <row r="82" spans="3:31" ht="49.5" customHeight="1" x14ac:dyDescent="0.2">
      <c r="C82" s="84"/>
      <c r="D82" s="84"/>
      <c r="AE82" s="42"/>
    </row>
    <row r="83" spans="3:31" ht="232.5" customHeight="1" x14ac:dyDescent="0.2">
      <c r="C83" s="84"/>
      <c r="D83" s="84"/>
      <c r="H83" s="84"/>
      <c r="I83" s="84"/>
      <c r="AE83" s="42"/>
    </row>
    <row r="84" spans="3:31" x14ac:dyDescent="0.2">
      <c r="C84" s="84"/>
      <c r="D84" s="84"/>
      <c r="AE84" s="42"/>
    </row>
    <row r="85" spans="3:31" ht="241.5" customHeight="1" x14ac:dyDescent="0.2">
      <c r="C85" s="84"/>
      <c r="D85" s="84"/>
      <c r="AE85" s="42"/>
    </row>
    <row r="86" spans="3:31" x14ac:dyDescent="0.2">
      <c r="AE86" s="42"/>
    </row>
    <row r="87" spans="3:31" x14ac:dyDescent="0.2">
      <c r="AE87" s="42"/>
    </row>
    <row r="88" spans="3:31" x14ac:dyDescent="0.2">
      <c r="AE88" s="42"/>
    </row>
    <row r="89" spans="3:31" x14ac:dyDescent="0.2">
      <c r="AE89" s="42"/>
    </row>
  </sheetData>
  <autoFilter ref="B8:AC25"/>
  <mergeCells count="56">
    <mergeCell ref="AO56:AO59"/>
    <mergeCell ref="AO60:AO63"/>
    <mergeCell ref="AO35:AO40"/>
    <mergeCell ref="AO41:AO44"/>
    <mergeCell ref="AO45:AO46"/>
    <mergeCell ref="AO47:AO50"/>
    <mergeCell ref="AG50:AG51"/>
    <mergeCell ref="AH50:AH51"/>
    <mergeCell ref="AI50:AI51"/>
    <mergeCell ref="AJ50:AJ51"/>
    <mergeCell ref="AO51:AO55"/>
    <mergeCell ref="H30:I30"/>
    <mergeCell ref="M30:N30"/>
    <mergeCell ref="O30:P30"/>
    <mergeCell ref="F31:G31"/>
    <mergeCell ref="H31:I31"/>
    <mergeCell ref="AG7:AJ7"/>
    <mergeCell ref="B9:B25"/>
    <mergeCell ref="AE9:AE25"/>
    <mergeCell ref="H32:I32"/>
    <mergeCell ref="AO27:AO34"/>
    <mergeCell ref="F28:G28"/>
    <mergeCell ref="H28:I28"/>
    <mergeCell ref="M28:N28"/>
    <mergeCell ref="O28:P28"/>
    <mergeCell ref="F29:G29"/>
    <mergeCell ref="H29:I29"/>
    <mergeCell ref="M29:N29"/>
    <mergeCell ref="O29:P29"/>
    <mergeCell ref="F30:G30"/>
    <mergeCell ref="H27:K27"/>
    <mergeCell ref="M27:P27"/>
    <mergeCell ref="B6:I6"/>
    <mergeCell ref="J6:N7"/>
    <mergeCell ref="O6:P6"/>
    <mergeCell ref="Q6:U7"/>
    <mergeCell ref="V6:AE6"/>
    <mergeCell ref="B7:B8"/>
    <mergeCell ref="C7:C8"/>
    <mergeCell ref="D7:D8"/>
    <mergeCell ref="O7:P7"/>
    <mergeCell ref="V7:Y7"/>
    <mergeCell ref="Z7:AD7"/>
    <mergeCell ref="AE7:AE8"/>
    <mergeCell ref="B5:AE5"/>
    <mergeCell ref="B2:AE2"/>
    <mergeCell ref="B3:F3"/>
    <mergeCell ref="G3:N3"/>
    <mergeCell ref="O3:T3"/>
    <mergeCell ref="U3:AA3"/>
    <mergeCell ref="AB3:AE3"/>
    <mergeCell ref="B4:F4"/>
    <mergeCell ref="G4:N4"/>
    <mergeCell ref="O4:T4"/>
    <mergeCell ref="U4:AA4"/>
    <mergeCell ref="AB4:AE4"/>
  </mergeCells>
  <conditionalFormatting sqref="N9:P9 N12:P12 P10:P11 P13:P25 N10:N25">
    <cfRule type="cellIs" dxfId="20" priority="21" operator="equal">
      <formula>5</formula>
    </cfRule>
    <cfRule type="cellIs" priority="22" operator="equal">
      <formula>5</formula>
    </cfRule>
    <cfRule type="cellIs" dxfId="19" priority="23" operator="between">
      <formula>6</formula>
      <formula>30</formula>
    </cfRule>
    <cfRule type="cellIs" dxfId="18" priority="24" operator="between">
      <formula>31</formula>
      <formula>60</formula>
    </cfRule>
  </conditionalFormatting>
  <conditionalFormatting sqref="N9:P9 N12:P12 P10:P11 P13:P25 N10:N25">
    <cfRule type="containsErrors" dxfId="17" priority="20">
      <formula>ISERROR(N9)</formula>
    </cfRule>
  </conditionalFormatting>
  <conditionalFormatting sqref="J9:J25">
    <cfRule type="containsText" dxfId="16" priority="19" operator="containsText" text="N/A">
      <formula>NOT(ISERROR(SEARCH("N/A",J9)))</formula>
    </cfRule>
  </conditionalFormatting>
  <conditionalFormatting sqref="L9:L25">
    <cfRule type="containsText" dxfId="15" priority="18" operator="containsText" text="N/A">
      <formula>NOT(ISERROR(SEARCH("N/A",L9)))</formula>
    </cfRule>
  </conditionalFormatting>
  <conditionalFormatting sqref="V9:Y25">
    <cfRule type="containsErrors" dxfId="14" priority="17">
      <formula>ISERROR(V9)</formula>
    </cfRule>
  </conditionalFormatting>
  <conditionalFormatting sqref="U9:U25">
    <cfRule type="cellIs" dxfId="13" priority="13" operator="equal">
      <formula>5</formula>
    </cfRule>
    <cfRule type="cellIs" priority="14" operator="equal">
      <formula>5</formula>
    </cfRule>
    <cfRule type="cellIs" dxfId="12" priority="15" operator="between">
      <formula>6</formula>
      <formula>30</formula>
    </cfRule>
    <cfRule type="cellIs" dxfId="11" priority="16" operator="between">
      <formula>31</formula>
      <formula>60</formula>
    </cfRule>
  </conditionalFormatting>
  <conditionalFormatting sqref="U9:U25">
    <cfRule type="containsErrors" dxfId="10" priority="12">
      <formula>ISERROR(U9)</formula>
    </cfRule>
  </conditionalFormatting>
  <conditionalFormatting sqref="Q9:Q25">
    <cfRule type="containsText" dxfId="9" priority="11" operator="containsText" text="N/A">
      <formula>NOT(ISERROR(SEARCH("N/A",Q9)))</formula>
    </cfRule>
  </conditionalFormatting>
  <conditionalFormatting sqref="S9:S25">
    <cfRule type="containsText" dxfId="8" priority="10" operator="containsText" text="N/A">
      <formula>NOT(ISERROR(SEARCH("N/A",S9)))</formula>
    </cfRule>
  </conditionalFormatting>
  <conditionalFormatting sqref="M29 O29">
    <cfRule type="cellIs" dxfId="7" priority="6" operator="equal">
      <formula>5</formula>
    </cfRule>
    <cfRule type="cellIs" priority="7" operator="equal">
      <formula>5</formula>
    </cfRule>
    <cfRule type="cellIs" dxfId="6" priority="8" operator="between">
      <formula>6</formula>
      <formula>30</formula>
    </cfRule>
    <cfRule type="cellIs" dxfId="5" priority="9" operator="between">
      <formula>31</formula>
      <formula>60</formula>
    </cfRule>
  </conditionalFormatting>
  <conditionalFormatting sqref="M29 O29">
    <cfRule type="containsErrors" dxfId="4" priority="5">
      <formula>ISERROR(M29)</formula>
    </cfRule>
  </conditionalFormatting>
  <conditionalFormatting sqref="K9:K25">
    <cfRule type="containsText" dxfId="3" priority="4" operator="containsText" text="N/A">
      <formula>NOT(ISERROR(SEARCH("N/A",K9)))</formula>
    </cfRule>
  </conditionalFormatting>
  <conditionalFormatting sqref="M9:M25">
    <cfRule type="containsText" dxfId="2" priority="3" operator="containsText" text="N/A">
      <formula>NOT(ISERROR(SEARCH("N/A",M9)))</formula>
    </cfRule>
  </conditionalFormatting>
  <conditionalFormatting sqref="R9:R25">
    <cfRule type="containsText" dxfId="1" priority="2" operator="containsText" text="N/A">
      <formula>NOT(ISERROR(SEARCH("N/A",R9)))</formula>
    </cfRule>
  </conditionalFormatting>
  <conditionalFormatting sqref="T9:T25">
    <cfRule type="containsText" dxfId="0" priority="1" operator="containsText" text="N/A">
      <formula>NOT(ISERROR(SEARCH("N/A",T9)))</formula>
    </cfRule>
  </conditionalFormatting>
  <dataValidations count="4">
    <dataValidation type="list" allowBlank="1" showInputMessage="1" showErrorMessage="1" sqref="C9:C25">
      <formula1>$AM$8:$AM$9</formula1>
    </dataValidation>
    <dataValidation type="list" allowBlank="1" showInputMessage="1" showErrorMessage="1" sqref="L9:L25 S9:S25">
      <formula1>$AL$8:$AL$11</formula1>
    </dataValidation>
    <dataValidation type="list" allowBlank="1" showInputMessage="1" showErrorMessage="1" sqref="J9:J25 Q9:Q25">
      <formula1>$AK$8:$AK$11</formula1>
    </dataValidation>
    <dataValidation type="list" allowBlank="1" showInputMessage="1" showErrorMessage="1" sqref="D9:D25">
      <formula1>$AN$8:$AN$13</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1:Y17"/>
  <sheetViews>
    <sheetView showGridLines="0" view="pageBreakPreview" topLeftCell="A4" zoomScale="70" zoomScaleNormal="75" zoomScaleSheetLayoutView="70" zoomScalePageLayoutView="75" workbookViewId="0">
      <selection activeCell="I16" sqref="I16"/>
    </sheetView>
  </sheetViews>
  <sheetFormatPr baseColWidth="10" defaultColWidth="10.85546875" defaultRowHeight="12.75" x14ac:dyDescent="0.2"/>
  <cols>
    <col min="1" max="1" width="1.42578125" style="1" customWidth="1"/>
    <col min="2" max="2" width="18.5703125" style="1" customWidth="1"/>
    <col min="3" max="3" width="17" style="1" customWidth="1"/>
    <col min="4" max="4" width="14.5703125" style="1" customWidth="1"/>
    <col min="5" max="5" width="17.85546875" style="1" customWidth="1"/>
    <col min="6" max="6" width="12.85546875" style="1" customWidth="1"/>
    <col min="7" max="7" width="12.5703125" style="1" customWidth="1"/>
    <col min="8" max="8" width="15" style="1" customWidth="1"/>
    <col min="9" max="9" width="9.85546875" style="1" customWidth="1"/>
    <col min="10" max="10" width="16.42578125" style="1" customWidth="1"/>
    <col min="11" max="11" width="4.140625" style="1" customWidth="1"/>
    <col min="12" max="12" width="4.85546875" style="1" customWidth="1"/>
    <col min="13" max="13" width="16" style="1" customWidth="1"/>
    <col min="14" max="14" width="17.5703125" style="1" customWidth="1"/>
    <col min="15" max="17" width="10.85546875" style="1"/>
    <col min="18" max="18" width="3.140625" style="1" customWidth="1"/>
    <col min="19" max="16384" width="10.85546875" style="1"/>
  </cols>
  <sheetData>
    <row r="1" spans="2:25" ht="44.1" customHeight="1" x14ac:dyDescent="0.2">
      <c r="B1" s="508" t="s">
        <v>105</v>
      </c>
      <c r="C1" s="508"/>
      <c r="D1" s="508"/>
      <c r="E1" s="508"/>
      <c r="F1" s="508"/>
      <c r="G1" s="508"/>
      <c r="H1" s="508"/>
      <c r="I1" s="508"/>
      <c r="J1" s="508"/>
      <c r="K1" s="508"/>
      <c r="L1" s="508"/>
      <c r="M1" s="508"/>
      <c r="N1" s="508"/>
      <c r="O1" s="508"/>
      <c r="P1" s="508"/>
      <c r="Q1" s="508"/>
      <c r="R1" s="508"/>
      <c r="S1" s="508"/>
      <c r="T1" s="508"/>
      <c r="U1" s="508"/>
      <c r="V1" s="508"/>
    </row>
    <row r="2" spans="2:25" ht="15.75" customHeight="1" x14ac:dyDescent="0.2">
      <c r="B2" s="509" t="s">
        <v>14</v>
      </c>
      <c r="C2" s="509"/>
      <c r="D2" s="509"/>
      <c r="E2" s="509"/>
      <c r="F2" s="509"/>
      <c r="G2" s="509"/>
      <c r="H2" s="509"/>
      <c r="I2" s="509"/>
      <c r="J2" s="509"/>
      <c r="M2" s="509" t="s">
        <v>69</v>
      </c>
      <c r="N2" s="509"/>
      <c r="O2" s="509"/>
      <c r="P2" s="509"/>
      <c r="Q2" s="509"/>
      <c r="R2" s="509"/>
    </row>
    <row r="3" spans="2:25" ht="13.5" thickBot="1" x14ac:dyDescent="0.25"/>
    <row r="4" spans="2:25" ht="16.5" thickBot="1" x14ac:dyDescent="0.25">
      <c r="B4" s="522" t="s">
        <v>12</v>
      </c>
      <c r="C4" s="523"/>
      <c r="D4" s="523"/>
      <c r="E4" s="524"/>
      <c r="G4" s="519" t="s">
        <v>2</v>
      </c>
      <c r="H4" s="520"/>
      <c r="I4" s="520"/>
      <c r="J4" s="521"/>
      <c r="M4" s="22" t="s">
        <v>34</v>
      </c>
      <c r="N4" s="21" t="s">
        <v>30</v>
      </c>
      <c r="O4" s="5"/>
      <c r="P4" s="5"/>
      <c r="Q4" s="20"/>
      <c r="S4" s="510" t="s">
        <v>19</v>
      </c>
      <c r="T4" s="511"/>
      <c r="U4" s="511"/>
      <c r="V4" s="512"/>
    </row>
    <row r="5" spans="2:25" ht="57" customHeight="1" thickBot="1" x14ac:dyDescent="0.25">
      <c r="B5" s="525" t="s">
        <v>15</v>
      </c>
      <c r="C5" s="526"/>
      <c r="D5" s="526"/>
      <c r="E5" s="527"/>
      <c r="G5" s="528" t="s">
        <v>18</v>
      </c>
      <c r="H5" s="529"/>
      <c r="I5" s="529"/>
      <c r="J5" s="530"/>
      <c r="L5" s="3"/>
      <c r="M5" s="19" t="s">
        <v>33</v>
      </c>
      <c r="N5" s="18">
        <v>3</v>
      </c>
      <c r="O5" s="144">
        <v>15</v>
      </c>
      <c r="P5" s="17">
        <v>30</v>
      </c>
      <c r="Q5" s="16">
        <v>60</v>
      </c>
      <c r="S5" s="513" t="s">
        <v>35</v>
      </c>
      <c r="T5" s="514"/>
      <c r="U5" s="514"/>
      <c r="V5" s="515"/>
    </row>
    <row r="6" spans="2:25" ht="15.75" x14ac:dyDescent="0.2">
      <c r="B6" s="531" t="s">
        <v>16</v>
      </c>
      <c r="C6" s="532"/>
      <c r="D6" s="537">
        <v>3</v>
      </c>
      <c r="E6" s="538"/>
      <c r="G6" s="541" t="s">
        <v>4</v>
      </c>
      <c r="H6" s="542"/>
      <c r="I6" s="537">
        <v>20</v>
      </c>
      <c r="J6" s="538"/>
      <c r="L6" s="3"/>
      <c r="M6" s="15" t="s">
        <v>32</v>
      </c>
      <c r="N6" s="14">
        <v>2</v>
      </c>
      <c r="O6" s="145">
        <v>10</v>
      </c>
      <c r="P6" s="146">
        <v>20</v>
      </c>
      <c r="Q6" s="13">
        <v>40</v>
      </c>
      <c r="S6" s="518" t="s">
        <v>24</v>
      </c>
      <c r="T6" s="516"/>
      <c r="U6" s="516" t="s">
        <v>22</v>
      </c>
      <c r="V6" s="517"/>
    </row>
    <row r="7" spans="2:25" ht="16.5" thickBot="1" x14ac:dyDescent="0.25">
      <c r="B7" s="504" t="s">
        <v>36</v>
      </c>
      <c r="C7" s="505"/>
      <c r="D7" s="549">
        <v>2</v>
      </c>
      <c r="E7" s="550"/>
      <c r="G7" s="543" t="s">
        <v>5</v>
      </c>
      <c r="H7" s="544"/>
      <c r="I7" s="549">
        <v>10</v>
      </c>
      <c r="J7" s="550"/>
      <c r="L7" s="4"/>
      <c r="M7" s="12" t="s">
        <v>31</v>
      </c>
      <c r="N7" s="11">
        <v>1</v>
      </c>
      <c r="O7" s="10">
        <v>5</v>
      </c>
      <c r="P7" s="147">
        <v>10</v>
      </c>
      <c r="Q7" s="147">
        <v>20</v>
      </c>
      <c r="S7" s="539" t="s">
        <v>3</v>
      </c>
      <c r="T7" s="533"/>
      <c r="U7" s="533" t="s">
        <v>21</v>
      </c>
      <c r="V7" s="534"/>
    </row>
    <row r="8" spans="2:25" ht="16.5" thickBot="1" x14ac:dyDescent="0.25">
      <c r="B8" s="506" t="s">
        <v>17</v>
      </c>
      <c r="C8" s="507"/>
      <c r="D8" s="547">
        <v>1</v>
      </c>
      <c r="E8" s="548"/>
      <c r="G8" s="545" t="s">
        <v>6</v>
      </c>
      <c r="H8" s="546"/>
      <c r="I8" s="547">
        <v>5</v>
      </c>
      <c r="J8" s="548"/>
      <c r="L8" s="4"/>
      <c r="M8" s="5"/>
      <c r="N8" s="9" t="s">
        <v>30</v>
      </c>
      <c r="O8" s="8">
        <v>5</v>
      </c>
      <c r="P8" s="7">
        <v>10</v>
      </c>
      <c r="Q8" s="6">
        <v>20</v>
      </c>
      <c r="S8" s="540" t="s">
        <v>23</v>
      </c>
      <c r="T8" s="535"/>
      <c r="U8" s="535" t="s">
        <v>20</v>
      </c>
      <c r="V8" s="536"/>
    </row>
    <row r="9" spans="2:25" ht="15.75" x14ac:dyDescent="0.2">
      <c r="L9" s="4"/>
      <c r="M9" s="5"/>
      <c r="N9" s="61" t="s">
        <v>29</v>
      </c>
      <c r="O9" s="62" t="s">
        <v>28</v>
      </c>
      <c r="P9" s="63" t="s">
        <v>27</v>
      </c>
      <c r="Q9" s="64" t="s">
        <v>26</v>
      </c>
    </row>
    <row r="10" spans="2:25" ht="15.75" thickBot="1" x14ac:dyDescent="0.25">
      <c r="B10" s="65"/>
      <c r="C10" s="65"/>
      <c r="D10" s="65"/>
      <c r="E10" s="65"/>
      <c r="F10" s="65"/>
      <c r="G10" s="65"/>
      <c r="H10" s="65"/>
      <c r="I10" s="65"/>
      <c r="J10" s="65"/>
      <c r="K10" s="65"/>
      <c r="L10" s="66"/>
      <c r="M10" s="65"/>
      <c r="N10" s="65"/>
      <c r="O10" s="65"/>
      <c r="P10" s="65"/>
      <c r="Q10" s="65"/>
      <c r="R10" s="65"/>
      <c r="S10" s="65"/>
      <c r="T10" s="65"/>
      <c r="U10" s="65"/>
      <c r="V10" s="65"/>
      <c r="W10" s="67"/>
      <c r="X10" s="67"/>
      <c r="Y10" s="67"/>
    </row>
    <row r="11" spans="2:25" ht="15.75" thickBot="1" x14ac:dyDescent="0.25">
      <c r="F11" s="2"/>
      <c r="L11" s="4"/>
    </row>
    <row r="12" spans="2:25" ht="54" customHeight="1" thickBot="1" x14ac:dyDescent="0.25">
      <c r="B12" s="358" t="s">
        <v>810</v>
      </c>
      <c r="C12" s="359" t="s">
        <v>811</v>
      </c>
      <c r="D12" s="359" t="s">
        <v>9</v>
      </c>
      <c r="E12" s="359" t="s">
        <v>812</v>
      </c>
      <c r="G12" s="495" t="s">
        <v>822</v>
      </c>
      <c r="H12" s="497" t="s">
        <v>823</v>
      </c>
      <c r="I12" s="495" t="s">
        <v>824</v>
      </c>
      <c r="J12" s="495" t="s">
        <v>825</v>
      </c>
      <c r="K12" s="497" t="s">
        <v>826</v>
      </c>
      <c r="L12" s="498"/>
      <c r="M12" s="499"/>
      <c r="N12" s="495" t="s">
        <v>827</v>
      </c>
      <c r="P12" s="365" t="s">
        <v>843</v>
      </c>
      <c r="Q12" s="478" t="s">
        <v>844</v>
      </c>
      <c r="R12" s="479"/>
      <c r="S12" s="479"/>
      <c r="T12" s="479"/>
      <c r="U12" s="479"/>
      <c r="V12" s="480"/>
    </row>
    <row r="13" spans="2:25" ht="66.75" customHeight="1" thickBot="1" x14ac:dyDescent="0.25">
      <c r="B13" s="360">
        <v>3</v>
      </c>
      <c r="C13" s="361" t="s">
        <v>813</v>
      </c>
      <c r="D13" s="361" t="s">
        <v>814</v>
      </c>
      <c r="E13" s="361" t="s">
        <v>815</v>
      </c>
      <c r="G13" s="496"/>
      <c r="H13" s="500"/>
      <c r="I13" s="496"/>
      <c r="J13" s="496"/>
      <c r="K13" s="500"/>
      <c r="L13" s="501"/>
      <c r="M13" s="502"/>
      <c r="N13" s="496"/>
      <c r="P13" s="366" t="s">
        <v>36</v>
      </c>
      <c r="Q13" s="481" t="s">
        <v>845</v>
      </c>
      <c r="R13" s="482"/>
      <c r="S13" s="482"/>
      <c r="T13" s="482"/>
      <c r="U13" s="482"/>
      <c r="V13" s="483"/>
    </row>
    <row r="14" spans="2:25" ht="50.25" customHeight="1" thickBot="1" x14ac:dyDescent="0.25">
      <c r="B14" s="360">
        <v>2</v>
      </c>
      <c r="C14" s="361" t="s">
        <v>816</v>
      </c>
      <c r="D14" s="361" t="s">
        <v>817</v>
      </c>
      <c r="E14" s="361" t="s">
        <v>818</v>
      </c>
      <c r="G14" s="493" t="s">
        <v>856</v>
      </c>
      <c r="H14" s="493" t="s">
        <v>828</v>
      </c>
      <c r="I14" s="493" t="s">
        <v>829</v>
      </c>
      <c r="J14" s="503" t="s">
        <v>830</v>
      </c>
      <c r="K14" s="484" t="s">
        <v>831</v>
      </c>
      <c r="L14" s="485"/>
      <c r="M14" s="486"/>
      <c r="N14" s="493" t="s">
        <v>832</v>
      </c>
      <c r="P14" s="367" t="s">
        <v>846</v>
      </c>
      <c r="Q14" s="478" t="s">
        <v>847</v>
      </c>
      <c r="R14" s="479"/>
      <c r="S14" s="479"/>
      <c r="T14" s="479"/>
      <c r="U14" s="479"/>
      <c r="V14" s="480"/>
    </row>
    <row r="15" spans="2:25" ht="46.5" customHeight="1" thickBot="1" x14ac:dyDescent="0.25">
      <c r="B15" s="360">
        <v>1</v>
      </c>
      <c r="C15" s="361" t="s">
        <v>819</v>
      </c>
      <c r="D15" s="361" t="s">
        <v>820</v>
      </c>
      <c r="E15" s="361" t="s">
        <v>821</v>
      </c>
      <c r="G15" s="494"/>
      <c r="H15" s="494"/>
      <c r="I15" s="494"/>
      <c r="J15" s="494"/>
      <c r="K15" s="487"/>
      <c r="L15" s="488"/>
      <c r="M15" s="489"/>
      <c r="N15" s="494"/>
    </row>
    <row r="16" spans="2:25" ht="75.75" customHeight="1" thickBot="1" x14ac:dyDescent="0.25">
      <c r="G16" s="363" t="s">
        <v>857</v>
      </c>
      <c r="H16" s="364" t="s">
        <v>833</v>
      </c>
      <c r="I16" s="363" t="s">
        <v>834</v>
      </c>
      <c r="J16" s="362" t="s">
        <v>835</v>
      </c>
      <c r="K16" s="490" t="s">
        <v>836</v>
      </c>
      <c r="L16" s="491"/>
      <c r="M16" s="492"/>
      <c r="N16" s="363" t="s">
        <v>837</v>
      </c>
    </row>
    <row r="17" spans="7:14" ht="92.25" customHeight="1" thickBot="1" x14ac:dyDescent="0.25">
      <c r="G17" s="363" t="s">
        <v>858</v>
      </c>
      <c r="H17" s="364" t="s">
        <v>838</v>
      </c>
      <c r="I17" s="363" t="s">
        <v>839</v>
      </c>
      <c r="J17" s="362" t="s">
        <v>840</v>
      </c>
      <c r="K17" s="490" t="s">
        <v>841</v>
      </c>
      <c r="L17" s="491"/>
      <c r="M17" s="492"/>
      <c r="N17" s="363" t="s">
        <v>842</v>
      </c>
    </row>
  </sheetData>
  <mergeCells count="44">
    <mergeCell ref="D6:E6"/>
    <mergeCell ref="S7:T7"/>
    <mergeCell ref="S8:T8"/>
    <mergeCell ref="G6:H6"/>
    <mergeCell ref="I6:J6"/>
    <mergeCell ref="G7:H7"/>
    <mergeCell ref="G8:H8"/>
    <mergeCell ref="I8:J8"/>
    <mergeCell ref="I7:J7"/>
    <mergeCell ref="D7:E7"/>
    <mergeCell ref="D8:E8"/>
    <mergeCell ref="B7:C7"/>
    <mergeCell ref="B8:C8"/>
    <mergeCell ref="B1:V1"/>
    <mergeCell ref="B2:J2"/>
    <mergeCell ref="S4:V4"/>
    <mergeCell ref="S5:V5"/>
    <mergeCell ref="U6:V6"/>
    <mergeCell ref="S6:T6"/>
    <mergeCell ref="G4:J4"/>
    <mergeCell ref="B4:E4"/>
    <mergeCell ref="B5:E5"/>
    <mergeCell ref="G5:J5"/>
    <mergeCell ref="B6:C6"/>
    <mergeCell ref="U7:V7"/>
    <mergeCell ref="U8:V8"/>
    <mergeCell ref="M2:R2"/>
    <mergeCell ref="K17:M17"/>
    <mergeCell ref="K12:M13"/>
    <mergeCell ref="G12:G13"/>
    <mergeCell ref="G14:G15"/>
    <mergeCell ref="H14:H15"/>
    <mergeCell ref="I14:I15"/>
    <mergeCell ref="J14:J15"/>
    <mergeCell ref="H12:H13"/>
    <mergeCell ref="I12:I13"/>
    <mergeCell ref="J12:J13"/>
    <mergeCell ref="Q12:V12"/>
    <mergeCell ref="Q13:V13"/>
    <mergeCell ref="Q14:V14"/>
    <mergeCell ref="K14:M15"/>
    <mergeCell ref="K16:M16"/>
    <mergeCell ref="N14:N15"/>
    <mergeCell ref="N12:N13"/>
  </mergeCells>
  <phoneticPr fontId="4" type="noConversion"/>
  <pageMargins left="0.75000000000000011" right="0.75000000000000011" top="1" bottom="1" header="0" footer="0"/>
  <pageSetup scale="42" orientation="landscape" r:id="rId1"/>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B38:E44"/>
  <sheetViews>
    <sheetView tabSelected="1" view="pageBreakPreview" zoomScale="80" zoomScaleNormal="60" zoomScaleSheetLayoutView="80" workbookViewId="0">
      <selection activeCell="H40" sqref="H40"/>
    </sheetView>
  </sheetViews>
  <sheetFormatPr baseColWidth="10" defaultRowHeight="12.75" x14ac:dyDescent="0.2"/>
  <cols>
    <col min="2" max="2" width="24.42578125" customWidth="1"/>
    <col min="3" max="3" width="13.85546875" customWidth="1"/>
    <col min="4" max="4" width="12.85546875" hidden="1" customWidth="1"/>
  </cols>
  <sheetData>
    <row r="38" spans="2:5" ht="13.5" thickBot="1" x14ac:dyDescent="0.25"/>
    <row r="39" spans="2:5" ht="13.5" thickBot="1" x14ac:dyDescent="0.25">
      <c r="B39" s="332" t="s">
        <v>70</v>
      </c>
      <c r="C39" s="329">
        <v>2018</v>
      </c>
      <c r="D39" s="330">
        <v>2019</v>
      </c>
      <c r="E39" s="331">
        <v>2019</v>
      </c>
    </row>
    <row r="40" spans="2:5" x14ac:dyDescent="0.2">
      <c r="B40" s="71" t="s">
        <v>46</v>
      </c>
      <c r="C40" s="68">
        <f>'[1]Riesgos por procesos 2018'!$E$13</f>
        <v>4</v>
      </c>
      <c r="D40" s="320">
        <f>'[2]Riesgos por procesos 2019'!$E$13</f>
        <v>5</v>
      </c>
      <c r="E40" s="323">
        <f>SUM(GERENCIA!J21+GCSC!J21+GOP!J20+GAD!J20+SIG!J17+GCF!J16+GTI!J17+GTC!J18+'GJU-PH'!J28)</f>
        <v>5</v>
      </c>
    </row>
    <row r="41" spans="2:5" x14ac:dyDescent="0.2">
      <c r="B41" s="72" t="s">
        <v>47</v>
      </c>
      <c r="C41" s="69">
        <f>'[1]Riesgos por procesos 2018'!$D$13</f>
        <v>41</v>
      </c>
      <c r="D41" s="321">
        <f>'[2]Riesgos por procesos 2019'!$D$13</f>
        <v>44</v>
      </c>
      <c r="E41" s="324">
        <f>SUM(GERENCIA!J22+GCSC!J22+GOP!J21+GAD!J21+SIG!J18+GCF!J17+GTI!J18+GTC!J19+'GJU-PH'!J29)</f>
        <v>56</v>
      </c>
    </row>
    <row r="42" spans="2:5" ht="13.5" thickBot="1" x14ac:dyDescent="0.25">
      <c r="B42" s="73" t="s">
        <v>48</v>
      </c>
      <c r="C42" s="70">
        <f>'[1]Riesgos por procesos 2018'!$C$13</f>
        <v>8</v>
      </c>
      <c r="D42" s="322">
        <f>'[2]Riesgos por procesos 2019'!$C$13</f>
        <v>5</v>
      </c>
      <c r="E42" s="325">
        <f>SUM(GERENCIA!J23+GCSC!J23+GOP!J22+GAD!J22+SIG!J19+GCF!J18+GTI!J19+GTC!J20+'GJU-PH'!J30)</f>
        <v>3</v>
      </c>
    </row>
    <row r="43" spans="2:5" ht="13.5" thickBot="1" x14ac:dyDescent="0.25">
      <c r="B43" s="333" t="s">
        <v>51</v>
      </c>
      <c r="C43" s="326">
        <f>SUM(C40:C42)</f>
        <v>53</v>
      </c>
      <c r="D43" s="327">
        <f>SUM(D40:D42)</f>
        <v>54</v>
      </c>
      <c r="E43" s="328">
        <f>SUM(E40:E42)</f>
        <v>64</v>
      </c>
    </row>
    <row r="44" spans="2:5" ht="13.5" thickBot="1" x14ac:dyDescent="0.25">
      <c r="B44" s="334" t="s">
        <v>269</v>
      </c>
      <c r="C44" s="336">
        <v>0</v>
      </c>
      <c r="D44" s="336">
        <v>13</v>
      </c>
      <c r="E44" s="335">
        <f>SUM(GERENCIA!J25+GCSC!J25+GOP!J24+GAD!J24+SIG!J21+GCF!J20+GTI!J21+GTC!J22+'GJU-PH'!J32)</f>
        <v>15</v>
      </c>
    </row>
  </sheetData>
  <pageMargins left="0.7" right="0.7" top="0.75" bottom="0.75" header="0.3" footer="0.3"/>
  <pageSetup paperSize="9" scale="54"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20</vt:i4>
      </vt:variant>
    </vt:vector>
  </HeadingPairs>
  <TitlesOfParts>
    <vt:vector size="31" baseType="lpstr">
      <vt:lpstr>GERENCIA</vt:lpstr>
      <vt:lpstr>GCSC</vt:lpstr>
      <vt:lpstr>GOP</vt:lpstr>
      <vt:lpstr>GAD</vt:lpstr>
      <vt:lpstr>SIG</vt:lpstr>
      <vt:lpstr>GCF</vt:lpstr>
      <vt:lpstr>GTI</vt:lpstr>
      <vt:lpstr>GTC</vt:lpstr>
      <vt:lpstr>GJU-PH</vt:lpstr>
      <vt:lpstr>Valoración</vt:lpstr>
      <vt:lpstr>Indicador Comparativo 2018-2019</vt:lpstr>
      <vt:lpstr>GAD!Área_de_impresión</vt:lpstr>
      <vt:lpstr>GCF!Área_de_impresión</vt:lpstr>
      <vt:lpstr>GCSC!Área_de_impresión</vt:lpstr>
      <vt:lpstr>GERENCIA!Área_de_impresión</vt:lpstr>
      <vt:lpstr>'GJU-PH'!Área_de_impresión</vt:lpstr>
      <vt:lpstr>GOP!Área_de_impresión</vt:lpstr>
      <vt:lpstr>GTC!Área_de_impresión</vt:lpstr>
      <vt:lpstr>GTI!Área_de_impresión</vt:lpstr>
      <vt:lpstr>'Indicador Comparativo 2018-2019'!Área_de_impresión</vt:lpstr>
      <vt:lpstr>SIG!Área_de_impresión</vt:lpstr>
      <vt:lpstr>Valoración!Área_de_impresión</vt:lpstr>
      <vt:lpstr>GAD!Títulos_a_imprimir</vt:lpstr>
      <vt:lpstr>GCF!Títulos_a_imprimir</vt:lpstr>
      <vt:lpstr>GCSC!Títulos_a_imprimir</vt:lpstr>
      <vt:lpstr>GERENCIA!Títulos_a_imprimir</vt:lpstr>
      <vt:lpstr>'GJU-PH'!Títulos_a_imprimir</vt:lpstr>
      <vt:lpstr>GOP!Títulos_a_imprimir</vt:lpstr>
      <vt:lpstr>GTC!Títulos_a_imprimir</vt:lpstr>
      <vt:lpstr>GTI!Títulos_a_imprimir</vt:lpstr>
      <vt:lpstr>SIG!Títulos_a_imprimir</vt:lpstr>
    </vt:vector>
  </TitlesOfParts>
  <Company>Jhon monoga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jhon</dc:creator>
  <cp:lastModifiedBy>ZFIP004</cp:lastModifiedBy>
  <cp:lastPrinted>2019-08-13T17:21:16Z</cp:lastPrinted>
  <dcterms:created xsi:type="dcterms:W3CDTF">2009-08-05T17:15:36Z</dcterms:created>
  <dcterms:modified xsi:type="dcterms:W3CDTF">2020-02-05T18:31:42Z</dcterms:modified>
</cp:coreProperties>
</file>