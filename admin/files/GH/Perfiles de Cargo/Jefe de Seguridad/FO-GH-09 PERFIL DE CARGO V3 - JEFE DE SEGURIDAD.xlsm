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"/>
    </mc:Choice>
  </mc:AlternateContent>
  <xr:revisionPtr revIDLastSave="0" documentId="13_ncr:1_{B08A7198-905B-41E3-91CC-2423CB09B20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JEFE DE SEGURIDAD" sheetId="1" r:id="rId1"/>
    <sheet name="LISTAS" sheetId="2" state="hidden" r:id="rId2"/>
  </sheets>
  <definedNames>
    <definedName name="_xlnm.Print_Area" localSheetId="0">'JEFE DE SEGURIDAD'!$A$1:$L$104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<sst xmlns="http://schemas.openxmlformats.org/spreadsheetml/2006/main" count="254" uniqueCount="168">
  <si>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</si>
  <si>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</si>
  <si>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</si>
  <si>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</si>
  <si>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</si>
  <si>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</si>
  <si>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</si>
  <si>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</si>
  <si>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</si>
  <si>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</si>
  <si>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</si>
  <si>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</si>
  <si>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</si>
  <si>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</si>
  <si>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</si>
  <si>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</si>
  <si>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</si>
  <si>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</si>
  <si>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</si>
  <si>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</si>
  <si>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</si>
  <si>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</si>
  <si>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</si>
  <si>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</si>
  <si>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</si>
  <si>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</si>
  <si>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</si>
  <si>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</si>
  <si>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</si>
  <si>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</si>
  <si>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</si>
  <si>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</si>
  <si>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</si>
  <si>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</si>
  <si>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</si>
  <si>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</si>
  <si>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</si>
  <si>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</si>
  <si>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</si>
  <si>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</si>
  <si>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</si>
  <si>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</si>
  <si>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</si>
  <si>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</si>
  <si>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</si>
  <si>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</si>
  <si>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</si>
  <si>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</si>
  <si>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</si>
  <si>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</si>
  <si>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</si>
  <si>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</si>
  <si>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</si>
  <si>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</si>
  <si>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</si>
  <si>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</si>
  <si>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</si>
  <si>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</si>
  <si>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</si>
  <si>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</si>
  <si>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</si>
  <si>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</si>
  <si>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</si>
  <si>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</si>
  <si>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</si>
  <si>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</si>
  <si>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</si>
  <si>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</si>
  <si>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</si>
  <si>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</si>
  <si>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</si>
  <si>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</si>
  <si>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</si>
  <si>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</si>
  <si>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</si>
  <si>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</si>
  <si>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</si>
  <si>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</si>
  <si>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</si>
  <si>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</si>
  <si>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</si>
  <si>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</si>
  <si>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</si>
  <si>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</si>
  <si>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</si>
  <si>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</si>
  <si>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</si>
  <si>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</si>
  <si>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</si>
  <si>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</si>
  <si>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</si>
  <si>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</si>
  <si>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</si>
  <si>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</si>
  <si>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</si>
  <si>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</si>
  <si>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</si>
  <si>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</si>
  <si>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</si>
  <si>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</si>
  <si>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</si>
  <si>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</si>
  <si>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</si>
  <si>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</si>
  <si>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</si>
  <si>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</si>
  <si>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</si>
  <si>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</si>
  <si>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</si>
  <si>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</si>
  <si>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</si>
  <si>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</si>
  <si>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</si>
  <si>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</si>
  <si>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</si>
  <si>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</si>
  <si>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</si>
  <si>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</si>
  <si>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</si>
  <si>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</si>
  <si>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</si>
  <si>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</si>
  <si>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</si>
  <si>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</si>
  <si>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</si>
  <si>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</si>
  <si>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</si>
  <si>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</si>
  <si>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</si>
  <si>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</si>
  <si>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</si>
  <si>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</si>
  <si>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</si>
  <si>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</si>
  <si>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</si>
  <si>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</si>
  <si>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</si>
  <si>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</si>
  <si>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</si>
  <si>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</si>
  <si>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</si>
  <si>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</si>
  <si>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</si>
  <si>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</si>
  <si>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</si>
  <si>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</si>
  <si>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</si>
  <si>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</si>
  <si>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</si>
  <si>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</si>
  <si>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</si>
  <si>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SI</t>
  </si>
  <si>
    <t>Asegurar y gestionar la seguridad física y electrónica de toda la compañía realizando el debido reporte a la Dirección.</t>
  </si>
  <si>
    <t>+O33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</si>
  <si>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</si>
  <si>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</si>
  <si>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 xml:space="preserve">2 años de experiencia manejando el área de seguridad. </t>
  </si>
  <si>
    <t>Ocasionalmente</t>
  </si>
  <si>
    <t>Profesional Universitario en carreras administrativas</t>
  </si>
  <si>
    <t xml:space="preserve">• Manejo de circuitos cerrados de televisión. 
• Conocimiento de seguridad física.
• Conocimiento en decretos, reglamentos de la superintendencia de vigilancia y seguridad.
• Conocimientos en sistemas integrados de gestión.
• Normativa BASC y riesgos.
</t>
  </si>
  <si>
    <t>Interno</t>
  </si>
  <si>
    <t>Diario</t>
  </si>
  <si>
    <t>Externo</t>
  </si>
  <si>
    <t xml:space="preserve">Botas de seguridad, </t>
  </si>
  <si>
    <t>• Establecer con toda claridad los manuales y protocolos de seguridad a los responsables de la seguridad de la organización, sean estos funcionarios propios, empresas especializadas o una combinación de las dos.
• Sugerir la compra de los equipos, sistemas tecnológicos y de información para maximizar la eficacia de las acciones adoptadas por la política integral de seguridad.
• En apoyo con el administrador en la propiedad horizontal coordinar los planes de seguridad entre el usuario operador y los usuarios calificados, así como con las autoridades nacionales e internacionales del área de influencia de la Zona Franca Internacional de Pereira.
• Promover temas de capacitación relacionados con la seguridad de la organización para todo el personal.
• Responsable de mantener la seguridad perimetral de la Zona Franca Internacional de Pereira.
• Supervisar en compañía del administrador de propiedad horizontal el correcto funcionamiento del circuito cerrado de televisión (CCTV) y el mando de control, garantizando las grabaciones del mismo y el correcto almacenamiento de las mismas.
• Cumplir y vigilar a cabalidad con los requisitos dados por la norma y los estándares de seguridad y control BASC.
• Realizar control, monitoreo y seguimiento a los indicadores de gestión del área.
• Documentar los procesos bajo las normas certificadas por la empresa.
• Cumplir y verificar la implementación de las acciones preventivas y correctivas de acuerdo con los resultados de las auditorías internas y externas.
• Supervisar en apoyo con el administrador de propiedad horizontal el cumplimiento de las tareas y labores de seguridad interna y externa de los guardas propios y/o privados y personal de apoyo en los puntos de vigilancia preestablecidos.
• Mantenimiento, control, seguimiento inspección de los recursos de seguridad (armas, radios, bastón de marcación, garet, botones de pánico etc.
• Garantizar la identificación positiva de acuerdo a lo identificado en el procedimiento de seguridad.
• Llevar el control y seguimiento de la actividad de inspección al 100% del personal que ingresa y egresa del la Zona Franca Internacional de Pereira.
• Llevar la administración de los recursos de seguridad asignados al personal de acuerdo a los lineamientos establecidos en la política de uso y custodia de recursos de seguridad.
• En apoyo con el administrador de propiedad horizontal velar por el cumplimiento de los protocolos de ingreso y salida.
• Administrar y velar por la coherencia de los planos de áreas criticas de acuerdo a los lineamientos establecidos en el procedimiento de seguridad.
• Reportar las novedades que se identifiquen afecten la seguridad procurando la gestión de los recursos por parte de los responsables y hacerle seguimiento a la solución de dichas novedades.</t>
  </si>
  <si>
    <r>
      <t>Su autoridad se genera en el desarrollo de las actividades propias de su cargo, siempre y cuando sean para dar cumplimiento a directrices ya establecidas por la organización, de lo contrario deberá buscar aprobac</t>
    </r>
    <r>
      <rPr>
        <sz val="10"/>
        <rFont val="Fira Sans"/>
        <family val="2"/>
      </rPr>
      <t>ión por su jefe inmediato.y al concejo de adminnistracion cuando se requiera</t>
    </r>
    <r>
      <rPr>
        <sz val="10"/>
        <color theme="1"/>
        <rFont val="Fira Sans"/>
      </rPr>
      <t xml:space="preserve">
Toda decisión que impacte los procesos  o el presupuesto del área, debe ser consultada con el Jefe inmediato </t>
    </r>
    <r>
      <rPr>
        <sz val="10"/>
        <rFont val="Fira Sans"/>
        <family val="2"/>
      </rPr>
      <t xml:space="preserve">y al concejo de adminnistracion cuando se requiera
</t>
    </r>
  </si>
  <si>
    <t xml:space="preserve">Para gestión propia del proceso de seguridad, además del manejo en la información que garantice la comunicación asertiva entre los colaboradores.
Para dar apoyo a la gestión del servicio que presta la compañía como característica propia de su actividad.
Rendir los informes pertinentes.
</t>
  </si>
  <si>
    <t xml:space="preserve">
Garantizar los lineamientos de seguridad dentro del parque y comunicacion constante con clientes, contratistas, proveedores y autoridades de control.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</si>
</sst>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  <font>
      <u/>
      <sz val="10"/>
      <color theme="4" tint="-0.249977111117893"/>
      <name val="Fira Sans"/>
    </font>
    <font>
      <sz val="10"/>
      <name val="Fira Sans"/>
      <family val="2"/>
    </font>
    <font>
      <sz val="10"/>
      <color theme="1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justify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49" fontId="26" fillId="0" borderId="7" xfId="0" applyNumberFormat="1" applyFont="1" applyFill="1" applyBorder="1" applyAlignment="1">
      <alignment horizontal="left" vertical="top" wrapText="1"/>
    </xf>
    <xf numFmtId="49" fontId="12" fillId="0" borderId="7" xfId="0" applyNumberFormat="1" applyFont="1" applyFill="1" applyBorder="1" applyAlignment="1">
      <alignment horizontal="left" vertical="top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2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3</xdr:col>
          <xdr:colOff>0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3</xdr:col>
          <xdr:colOff>0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999"/>
  <sheetViews>
    <sheetView tabSelected="1" view="pageBreakPreview" topLeftCell="A92" zoomScaleNormal="100" zoomScaleSheetLayoutView="100" workbookViewId="0">
      <selection activeCell="D44" sqref="D44:F44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61" t="s">
        <v>150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72" t="s">
        <v>147</v>
      </c>
      <c r="B2" s="73"/>
      <c r="C2" s="76" t="s">
        <v>143</v>
      </c>
      <c r="D2" s="77"/>
      <c r="E2" s="78"/>
      <c r="F2" s="76" t="s">
        <v>144</v>
      </c>
      <c r="G2" s="77"/>
      <c r="H2" s="78"/>
      <c r="I2" s="76" t="s">
        <v>145</v>
      </c>
      <c r="J2" s="78"/>
      <c r="K2" s="76" t="s">
        <v>146</v>
      </c>
      <c r="L2" s="78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74" t="s">
        <v>142</v>
      </c>
      <c r="B3" s="75"/>
      <c r="C3" s="140">
        <v>43265</v>
      </c>
      <c r="D3" s="141"/>
      <c r="E3" s="80"/>
      <c r="F3" s="140">
        <v>44979</v>
      </c>
      <c r="G3" s="141"/>
      <c r="H3" s="80"/>
      <c r="I3" s="79">
        <v>3</v>
      </c>
      <c r="J3" s="80"/>
      <c r="K3" s="79" t="s">
        <v>148</v>
      </c>
      <c r="L3" s="80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62" t="s">
        <v>3</v>
      </c>
      <c r="B5" s="62"/>
      <c r="C5" s="63"/>
      <c r="D5" s="63"/>
      <c r="E5" s="63"/>
      <c r="F5" s="63"/>
      <c r="G5" s="63"/>
      <c r="H5" s="63"/>
      <c r="I5" s="63"/>
      <c r="J5" s="63"/>
      <c r="K5" s="63"/>
      <c r="L5" s="63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47" t="s">
        <v>4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64" t="s">
        <v>6</v>
      </c>
      <c r="B8" s="65"/>
      <c r="C8" s="66"/>
      <c r="D8" s="68" t="s">
        <v>38</v>
      </c>
      <c r="E8" s="69"/>
      <c r="F8" s="69"/>
      <c r="G8" s="69"/>
      <c r="H8" s="69"/>
      <c r="I8" s="69"/>
      <c r="J8" s="69"/>
      <c r="K8" s="69"/>
      <c r="L8" s="70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64" t="s">
        <v>7</v>
      </c>
      <c r="B9" s="65"/>
      <c r="C9" s="66"/>
      <c r="D9" s="71" t="str">
        <f>VLOOKUP($D$8,LISTAS!$A$2:$D$28,LISTAS!B$1,0)</f>
        <v>Seguridad</v>
      </c>
      <c r="E9" s="69"/>
      <c r="F9" s="69"/>
      <c r="G9" s="69"/>
      <c r="H9" s="69"/>
      <c r="I9" s="69"/>
      <c r="J9" s="69"/>
      <c r="K9" s="69"/>
      <c r="L9" s="70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64" t="s">
        <v>42</v>
      </c>
      <c r="B10" s="65"/>
      <c r="C10" s="66"/>
      <c r="D10" s="71" t="str">
        <f>VLOOKUP($D$8,LISTAS!$A$2:$D$28,LISTAS!C$1,0)</f>
        <v>Apoyo</v>
      </c>
      <c r="E10" s="69"/>
      <c r="F10" s="69"/>
      <c r="G10" s="69"/>
      <c r="H10" s="69"/>
      <c r="I10" s="69"/>
      <c r="J10" s="69"/>
      <c r="K10" s="69"/>
      <c r="L10" s="70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64" t="s">
        <v>5</v>
      </c>
      <c r="B11" s="65"/>
      <c r="C11" s="66"/>
      <c r="D11" s="71" t="str">
        <f>VLOOKUP($D$8,LISTAS!$A$2:$D$28,LISTAS!D$1,0)</f>
        <v>Gerente</v>
      </c>
      <c r="E11" s="69"/>
      <c r="F11" s="69"/>
      <c r="G11" s="69"/>
      <c r="H11" s="69"/>
      <c r="I11" s="69"/>
      <c r="J11" s="69"/>
      <c r="K11" s="69"/>
      <c r="L11" s="7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64" t="s">
        <v>54</v>
      </c>
      <c r="B12" s="65"/>
      <c r="C12" s="66"/>
      <c r="D12" s="67" t="s">
        <v>151</v>
      </c>
      <c r="E12" s="67"/>
      <c r="F12" s="67"/>
      <c r="G12" s="67"/>
      <c r="H12" s="67"/>
      <c r="I12" s="67"/>
      <c r="J12" s="67"/>
      <c r="K12" s="67"/>
      <c r="L12" s="67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64" t="s">
        <v>8</v>
      </c>
      <c r="B13" s="65"/>
      <c r="C13" s="65"/>
      <c r="D13" s="67" t="s">
        <v>151</v>
      </c>
      <c r="E13" s="67"/>
      <c r="F13" s="67"/>
      <c r="G13" s="67"/>
      <c r="H13" s="67"/>
      <c r="I13" s="67"/>
      <c r="J13" s="67"/>
      <c r="K13" s="67"/>
      <c r="L13" s="6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47" t="s">
        <v>55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29.25" customHeight="1" x14ac:dyDescent="0.25">
      <c r="A17" s="81" t="s">
        <v>152</v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3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47" t="s">
        <v>61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288" customHeight="1" x14ac:dyDescent="0.25">
      <c r="A21" s="91" t="s">
        <v>164</v>
      </c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103" t="s">
        <v>153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84" t="s">
        <v>62</v>
      </c>
      <c r="B23" s="85"/>
      <c r="C23" s="85"/>
      <c r="D23" s="93"/>
      <c r="E23" s="84" t="s">
        <v>63</v>
      </c>
      <c r="F23" s="85"/>
      <c r="G23" s="85"/>
      <c r="H23" s="93"/>
      <c r="I23" s="84" t="s">
        <v>64</v>
      </c>
      <c r="J23" s="85"/>
      <c r="K23" s="85"/>
      <c r="L23" s="86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23.75" customHeight="1" x14ac:dyDescent="0.25">
      <c r="A24" s="96" t="s">
        <v>154</v>
      </c>
      <c r="B24" s="96"/>
      <c r="C24" s="96"/>
      <c r="D24" s="96"/>
      <c r="E24" s="96" t="s">
        <v>155</v>
      </c>
      <c r="F24" s="96"/>
      <c r="G24" s="96"/>
      <c r="H24" s="96"/>
      <c r="I24" s="151" t="s">
        <v>165</v>
      </c>
      <c r="J24" s="97"/>
      <c r="K24" s="97"/>
      <c r="L24" s="97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98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100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47" t="s">
        <v>73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43" t="s">
        <v>74</v>
      </c>
      <c r="B28" s="43"/>
      <c r="C28" s="43"/>
      <c r="D28" s="22"/>
      <c r="E28" s="84" t="s">
        <v>76</v>
      </c>
      <c r="F28" s="85"/>
      <c r="G28" s="85"/>
      <c r="H28" s="93"/>
      <c r="J28" s="43" t="s">
        <v>75</v>
      </c>
      <c r="K28" s="43"/>
      <c r="L28" s="43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103.5" customHeight="1" x14ac:dyDescent="0.25">
      <c r="A29" s="102" t="s">
        <v>158</v>
      </c>
      <c r="B29" s="46"/>
      <c r="C29" s="46"/>
      <c r="D29" s="21"/>
      <c r="E29" s="104" t="s">
        <v>159</v>
      </c>
      <c r="F29" s="105"/>
      <c r="G29" s="105"/>
      <c r="H29" s="105"/>
      <c r="J29" s="106" t="s">
        <v>156</v>
      </c>
      <c r="K29" s="45"/>
      <c r="L29" s="107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43" t="s">
        <v>72</v>
      </c>
      <c r="B31" s="43"/>
      <c r="C31" s="43"/>
      <c r="E31" s="84" t="s">
        <v>77</v>
      </c>
      <c r="F31" s="85"/>
      <c r="G31" s="43" t="s">
        <v>78</v>
      </c>
      <c r="H31" s="43"/>
      <c r="J31" s="9" t="s">
        <v>88</v>
      </c>
      <c r="K31" s="43" t="s">
        <v>89</v>
      </c>
      <c r="L31" s="43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08" t="s">
        <v>157</v>
      </c>
      <c r="B32" s="108"/>
      <c r="C32" s="108"/>
      <c r="E32" s="44" t="s">
        <v>2</v>
      </c>
      <c r="F32" s="45"/>
      <c r="G32" s="46" t="s">
        <v>87</v>
      </c>
      <c r="H32" s="46"/>
      <c r="J32" s="23" t="s">
        <v>2</v>
      </c>
      <c r="K32" s="46" t="s">
        <v>87</v>
      </c>
      <c r="L32" s="46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47" t="s">
        <v>91</v>
      </c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43" t="s">
        <v>96</v>
      </c>
      <c r="B36" s="43"/>
      <c r="C36" s="43"/>
      <c r="D36" s="43"/>
      <c r="E36" s="43"/>
      <c r="F36" s="43"/>
      <c r="G36" s="43" t="s">
        <v>93</v>
      </c>
      <c r="H36" s="43"/>
      <c r="I36" s="43"/>
      <c r="J36" s="43"/>
      <c r="K36" s="43"/>
      <c r="L36" s="43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42" t="str">
        <f>IF($D$13="SI",LISTAS!B32,"NO APLICA")</f>
        <v>• No presentar ningún antecedente
• No presentar resultado positivo en pruebas de consumo
• Resultado satisfactorio en la prueba de confiabilidad.
• Concepto favorable en visitas domiciliarias.</v>
      </c>
      <c r="B38" s="42"/>
      <c r="C38" s="42"/>
      <c r="D38" s="42"/>
      <c r="E38" s="42"/>
      <c r="F38" s="42"/>
      <c r="G38" s="42" t="str">
        <f>IF($D$13="SI",LISTAS!C32,"NO APLICA")</f>
        <v>• No presentar resultado positivo en pruebas de consumo
• Concepto médico ocupacional favorable para la realización de la labor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47" t="s">
        <v>65</v>
      </c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84" t="s">
        <v>66</v>
      </c>
      <c r="B42" s="85"/>
      <c r="C42" s="86"/>
      <c r="D42" s="84" t="s">
        <v>67</v>
      </c>
      <c r="E42" s="85"/>
      <c r="F42" s="86"/>
      <c r="G42" s="84" t="s">
        <v>68</v>
      </c>
      <c r="H42" s="85"/>
      <c r="I42" s="86"/>
      <c r="J42" s="84" t="s">
        <v>69</v>
      </c>
      <c r="K42" s="85"/>
      <c r="L42" s="86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137.25" customHeight="1" x14ac:dyDescent="0.25">
      <c r="A43" s="87" t="s">
        <v>70</v>
      </c>
      <c r="B43" s="87"/>
      <c r="C43" s="87"/>
      <c r="D43" s="152" t="s">
        <v>166</v>
      </c>
      <c r="E43" s="153"/>
      <c r="F43" s="153"/>
      <c r="G43" s="89" t="s">
        <v>160</v>
      </c>
      <c r="H43" s="89"/>
      <c r="I43" s="89"/>
      <c r="J43" s="90" t="s">
        <v>161</v>
      </c>
      <c r="K43" s="90"/>
      <c r="L43" s="90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123" customHeight="1" x14ac:dyDescent="0.25">
      <c r="A44" s="87" t="s">
        <v>71</v>
      </c>
      <c r="B44" s="87"/>
      <c r="C44" s="87"/>
      <c r="D44" s="152" t="s">
        <v>167</v>
      </c>
      <c r="E44" s="153"/>
      <c r="F44" s="153"/>
      <c r="G44" s="89" t="s">
        <v>162</v>
      </c>
      <c r="H44" s="89"/>
      <c r="I44" s="89"/>
      <c r="J44" s="90" t="s">
        <v>161</v>
      </c>
      <c r="K44" s="90"/>
      <c r="L44" s="90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 x14ac:dyDescent="0.25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 x14ac:dyDescent="0.25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 x14ac:dyDescent="0.25">
      <c r="A47" s="47" t="s">
        <v>56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 x14ac:dyDescent="0.25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 x14ac:dyDescent="0.25">
      <c r="A49" s="95" t="s">
        <v>57</v>
      </c>
      <c r="B49" s="95"/>
      <c r="C49" s="95"/>
      <c r="D49" s="95"/>
      <c r="E49" s="95"/>
      <c r="F49" s="95"/>
      <c r="G49" s="95" t="s">
        <v>58</v>
      </c>
      <c r="H49" s="95"/>
      <c r="I49" s="95"/>
      <c r="J49" s="95"/>
      <c r="K49" s="95"/>
      <c r="L49" s="95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 x14ac:dyDescent="0.25">
      <c r="A50" s="56"/>
      <c r="B50" s="56"/>
      <c r="C50" s="56"/>
      <c r="D50" s="56"/>
      <c r="E50" s="56"/>
      <c r="F50" s="56"/>
      <c r="G50" s="57"/>
      <c r="H50" s="57"/>
      <c r="I50" s="57"/>
      <c r="J50" s="57"/>
      <c r="K50" s="57"/>
      <c r="L50" s="57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 x14ac:dyDescent="0.25">
      <c r="A51" s="58"/>
      <c r="B51" s="58"/>
      <c r="C51" s="58"/>
      <c r="D51" s="58"/>
      <c r="E51" s="58"/>
      <c r="F51" s="58"/>
      <c r="G51" s="60"/>
      <c r="H51" s="60"/>
      <c r="I51" s="60"/>
      <c r="J51" s="60"/>
      <c r="K51" s="60"/>
      <c r="L51" s="6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 x14ac:dyDescent="0.25">
      <c r="A52" s="58"/>
      <c r="B52" s="58"/>
      <c r="C52" s="58"/>
      <c r="D52" s="58"/>
      <c r="E52" s="58"/>
      <c r="F52" s="58"/>
      <c r="G52" s="60"/>
      <c r="H52" s="60"/>
      <c r="I52" s="60"/>
      <c r="J52" s="60"/>
      <c r="K52" s="60"/>
      <c r="L52" s="60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15" customHeight="1" x14ac:dyDescent="0.25">
      <c r="A53" s="58"/>
      <c r="B53" s="58"/>
      <c r="C53" s="58"/>
      <c r="D53" s="58"/>
      <c r="E53" s="58"/>
      <c r="F53" s="58"/>
      <c r="G53" s="60"/>
      <c r="H53" s="60"/>
      <c r="I53" s="60"/>
      <c r="J53" s="60"/>
      <c r="K53" s="60"/>
      <c r="L53" s="60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 x14ac:dyDescent="0.25">
      <c r="A54" s="58"/>
      <c r="B54" s="58"/>
      <c r="C54" s="58"/>
      <c r="D54" s="58"/>
      <c r="E54" s="58"/>
      <c r="F54" s="58"/>
      <c r="G54" s="60"/>
      <c r="H54" s="60"/>
      <c r="I54" s="60"/>
      <c r="J54" s="60"/>
      <c r="K54" s="60"/>
      <c r="L54" s="60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58"/>
      <c r="B55" s="58"/>
      <c r="C55" s="58"/>
      <c r="D55" s="58"/>
      <c r="E55" s="58"/>
      <c r="F55" s="58"/>
      <c r="G55" s="60"/>
      <c r="H55" s="60"/>
      <c r="I55" s="60"/>
      <c r="J55" s="60"/>
      <c r="K55" s="60"/>
      <c r="L55" s="60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58"/>
      <c r="B56" s="58"/>
      <c r="C56" s="58"/>
      <c r="D56" s="58"/>
      <c r="E56" s="58"/>
      <c r="F56" s="58"/>
      <c r="G56" s="60"/>
      <c r="H56" s="60"/>
      <c r="I56" s="60"/>
      <c r="J56" s="60"/>
      <c r="K56" s="60"/>
      <c r="L56" s="60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58"/>
      <c r="B57" s="58"/>
      <c r="C57" s="58"/>
      <c r="D57" s="58"/>
      <c r="E57" s="58"/>
      <c r="F57" s="58"/>
      <c r="G57" s="60"/>
      <c r="H57" s="60"/>
      <c r="I57" s="60"/>
      <c r="J57" s="60"/>
      <c r="K57" s="60"/>
      <c r="L57" s="60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58"/>
      <c r="B58" s="58"/>
      <c r="C58" s="58"/>
      <c r="D58" s="58"/>
      <c r="E58" s="58"/>
      <c r="F58" s="58"/>
      <c r="G58" s="60"/>
      <c r="H58" s="60"/>
      <c r="I58" s="60"/>
      <c r="J58" s="60"/>
      <c r="K58" s="60"/>
      <c r="L58" s="60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58"/>
      <c r="B59" s="58"/>
      <c r="C59" s="58"/>
      <c r="D59" s="58"/>
      <c r="E59" s="58"/>
      <c r="F59" s="58"/>
      <c r="G59" s="60"/>
      <c r="H59" s="60"/>
      <c r="I59" s="60"/>
      <c r="J59" s="60"/>
      <c r="K59" s="60"/>
      <c r="L59" s="60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58"/>
      <c r="B60" s="58"/>
      <c r="C60" s="58"/>
      <c r="D60" s="58"/>
      <c r="E60" s="58"/>
      <c r="F60" s="58"/>
      <c r="G60" s="60"/>
      <c r="H60" s="60"/>
      <c r="I60" s="60"/>
      <c r="J60" s="60"/>
      <c r="K60" s="60"/>
      <c r="L60" s="60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15" customHeight="1" x14ac:dyDescent="0.25">
      <c r="A61" s="109"/>
      <c r="B61" s="109"/>
      <c r="C61" s="109"/>
      <c r="D61" s="109"/>
      <c r="E61" s="109"/>
      <c r="F61" s="109"/>
      <c r="G61" s="110" t="s">
        <v>163</v>
      </c>
      <c r="H61" s="111"/>
      <c r="I61" s="111"/>
      <c r="J61" s="111"/>
      <c r="K61" s="111"/>
      <c r="L61" s="11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9000000000000004" customHeigh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 x14ac:dyDescent="0.25">
      <c r="A63" s="47" t="s">
        <v>90</v>
      </c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 x14ac:dyDescent="0.25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95" t="s">
        <v>59</v>
      </c>
      <c r="B65" s="95"/>
      <c r="C65" s="95"/>
      <c r="D65" s="95"/>
      <c r="E65" s="95"/>
      <c r="F65" s="95"/>
      <c r="G65" s="95" t="s">
        <v>60</v>
      </c>
      <c r="H65" s="95"/>
      <c r="I65" s="95"/>
      <c r="J65" s="95"/>
      <c r="K65" s="95"/>
      <c r="L65" s="9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 x14ac:dyDescent="0.25">
      <c r="A66" s="56"/>
      <c r="B66" s="56"/>
      <c r="C66" s="56"/>
      <c r="D66" s="56"/>
      <c r="E66" s="56"/>
      <c r="F66" s="56"/>
      <c r="G66" s="57"/>
      <c r="H66" s="57"/>
      <c r="I66" s="57"/>
      <c r="J66" s="57"/>
      <c r="K66" s="57"/>
      <c r="L66" s="57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58"/>
      <c r="B67" s="58"/>
      <c r="C67" s="58"/>
      <c r="D67" s="58"/>
      <c r="E67" s="58"/>
      <c r="F67" s="58"/>
      <c r="G67" s="59"/>
      <c r="H67" s="59"/>
      <c r="I67" s="59"/>
      <c r="J67" s="59"/>
      <c r="K67" s="59"/>
      <c r="L67" s="5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 x14ac:dyDescent="0.25">
      <c r="A68" s="58"/>
      <c r="B68" s="58"/>
      <c r="C68" s="58"/>
      <c r="D68" s="58"/>
      <c r="E68" s="58"/>
      <c r="F68" s="58"/>
      <c r="G68" s="60"/>
      <c r="H68" s="60"/>
      <c r="I68" s="60"/>
      <c r="J68" s="60"/>
      <c r="K68" s="60"/>
      <c r="L68" s="60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58"/>
      <c r="B69" s="58"/>
      <c r="C69" s="58"/>
      <c r="D69" s="58"/>
      <c r="E69" s="58"/>
      <c r="F69" s="58"/>
      <c r="G69" s="60"/>
      <c r="H69" s="60"/>
      <c r="I69" s="60"/>
      <c r="J69" s="60"/>
      <c r="K69" s="60"/>
      <c r="L69" s="60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 x14ac:dyDescent="0.25">
      <c r="A70" s="58"/>
      <c r="B70" s="58"/>
      <c r="C70" s="58"/>
      <c r="D70" s="58"/>
      <c r="E70" s="58"/>
      <c r="F70" s="58"/>
      <c r="G70" s="60"/>
      <c r="H70" s="60"/>
      <c r="I70" s="60"/>
      <c r="J70" s="60"/>
      <c r="K70" s="60"/>
      <c r="L70" s="60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 x14ac:dyDescent="0.25">
      <c r="A71" s="58"/>
      <c r="B71" s="58"/>
      <c r="C71" s="58"/>
      <c r="D71" s="58"/>
      <c r="E71" s="58"/>
      <c r="F71" s="58"/>
      <c r="G71" s="60"/>
      <c r="H71" s="60"/>
      <c r="I71" s="60"/>
      <c r="J71" s="60"/>
      <c r="K71" s="60"/>
      <c r="L71" s="60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 x14ac:dyDescent="0.25">
      <c r="A72" s="58"/>
      <c r="B72" s="58"/>
      <c r="C72" s="58"/>
      <c r="D72" s="58"/>
      <c r="E72" s="58"/>
      <c r="F72" s="58"/>
      <c r="G72" s="60"/>
      <c r="H72" s="60"/>
      <c r="I72" s="60"/>
      <c r="J72" s="60"/>
      <c r="K72" s="60"/>
      <c r="L72" s="60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 x14ac:dyDescent="0.25">
      <c r="A73" s="58"/>
      <c r="B73" s="58"/>
      <c r="C73" s="58"/>
      <c r="D73" s="58"/>
      <c r="E73" s="58"/>
      <c r="F73" s="58"/>
      <c r="G73" s="60"/>
      <c r="H73" s="60"/>
      <c r="I73" s="60"/>
      <c r="J73" s="60"/>
      <c r="K73" s="60"/>
      <c r="L73" s="60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 x14ac:dyDescent="0.25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 x14ac:dyDescent="0.25">
      <c r="A75" s="49" t="s">
        <v>133</v>
      </c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 x14ac:dyDescent="0.2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 x14ac:dyDescent="0.25">
      <c r="A77" s="52" t="s">
        <v>149</v>
      </c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4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118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9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5" customHeight="1" x14ac:dyDescent="0.25">
      <c r="A79" s="121" t="s">
        <v>1</v>
      </c>
      <c r="B79" s="121"/>
      <c r="C79" s="121"/>
      <c r="D79" s="121" t="s">
        <v>130</v>
      </c>
      <c r="E79" s="121"/>
      <c r="F79" s="121"/>
      <c r="G79" s="121"/>
      <c r="H79" s="121" t="s">
        <v>131</v>
      </c>
      <c r="I79" s="121"/>
      <c r="J79" s="121"/>
      <c r="K79" s="122" t="s">
        <v>132</v>
      </c>
      <c r="L79" s="123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 x14ac:dyDescent="0.25">
      <c r="A80" s="120"/>
      <c r="B80" s="120"/>
      <c r="C80" s="120"/>
      <c r="D80" s="120"/>
      <c r="E80" s="120"/>
      <c r="F80" s="120"/>
      <c r="G80" s="36"/>
      <c r="I80" s="35"/>
      <c r="J80" s="35"/>
      <c r="K80" s="126"/>
      <c r="L80" s="126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 x14ac:dyDescent="0.25">
      <c r="A81" s="99" t="s">
        <v>101</v>
      </c>
      <c r="B81" s="99"/>
      <c r="C81" s="142"/>
      <c r="D81" s="129" t="str">
        <f>VLOOKUP(A81,LISTAS!$A$42:$C$54,LISTAS!$B$41,0)</f>
        <v>Capacidad para escuchar y expresarse de manera clara y oportuna basado en hechos concretos y verificados.</v>
      </c>
      <c r="E81" s="130"/>
      <c r="F81" s="130"/>
      <c r="G81" s="131"/>
      <c r="H81" s="112" t="str">
        <f>VLOOKUP(A81,LISTAS!$A$42:$C$54,LISTAS!$C$41,0)</f>
        <v>1) Se expresa de manera directa, sincera y asertiva.
2) Demuestra coherencia entre lo que dice y hace. Es propositivo y no reactivo.</v>
      </c>
      <c r="I81" s="113"/>
      <c r="J81" s="114"/>
      <c r="K81" s="124">
        <v>4</v>
      </c>
      <c r="L81" s="125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 x14ac:dyDescent="0.25">
      <c r="A82" s="143"/>
      <c r="B82" s="143"/>
      <c r="C82" s="144"/>
      <c r="D82" s="132"/>
      <c r="E82" s="133"/>
      <c r="F82" s="133"/>
      <c r="G82" s="134"/>
      <c r="H82" s="115"/>
      <c r="I82" s="116"/>
      <c r="J82" s="117"/>
      <c r="K82" s="127">
        <v>4</v>
      </c>
      <c r="L82" s="128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 x14ac:dyDescent="0.25">
      <c r="A83" s="124" t="s">
        <v>109</v>
      </c>
      <c r="B83" s="145"/>
      <c r="C83" s="146"/>
      <c r="D83" s="129" t="str">
        <f>VLOOKUP(A83,LISTAS!$A$42:$C$54,LISTAS!$B$41,0)</f>
        <v>Personas competitivas, enfocadas al cumplimiento responsable de metas.</v>
      </c>
      <c r="E83" s="130"/>
      <c r="F83" s="130"/>
      <c r="G83" s="131"/>
      <c r="H83" s="112" t="str">
        <f>VLOOKUP(A83,LISTAS!$A$42:$C$54,LISTAS!$C$41,0)</f>
        <v>1) Alinea su quehacer diario enfocándolo al plan estratégico de la empresa. Es resolutivo.
2) Produce resultados y cumple compromisos - alcanza los objetivos y supera las metas.</v>
      </c>
      <c r="I83" s="113"/>
      <c r="J83" s="114"/>
      <c r="K83" s="124">
        <v>4</v>
      </c>
      <c r="L83" s="125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 x14ac:dyDescent="0.25">
      <c r="A84" s="147"/>
      <c r="B84" s="143"/>
      <c r="C84" s="144"/>
      <c r="D84" s="132"/>
      <c r="E84" s="133"/>
      <c r="F84" s="133"/>
      <c r="G84" s="134"/>
      <c r="H84" s="115"/>
      <c r="I84" s="116"/>
      <c r="J84" s="117"/>
      <c r="K84" s="127">
        <v>4</v>
      </c>
      <c r="L84" s="128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 x14ac:dyDescent="0.25">
      <c r="A85" s="124" t="s">
        <v>99</v>
      </c>
      <c r="B85" s="145"/>
      <c r="C85" s="146"/>
      <c r="D85" s="129" t="str">
        <f>VLOOKUP(A85,LISTAS!$A$42:$C$54,LISTAS!$B$41,0)</f>
        <v>Capacidad para construir relaciones de cooperación y confianza con las personas que interactúo para favorecer el logro de  los objetivos de la organización, buscando el beneficio común.</v>
      </c>
      <c r="E85" s="130"/>
      <c r="F85" s="130"/>
      <c r="G85" s="131"/>
      <c r="H85" s="112" t="str">
        <f>VLOOKUP(A85,LISTAS!$A$42:$C$54,LISTAS!$C$41,0)</f>
        <v>1) Trabaja en equipo en pro de objetivos colectivos derribando barreras funcionales, jerárquicas y entre áreas. 
2) Construye y mantiene relaciones interpersonales de confianza y respeto.</v>
      </c>
      <c r="I85" s="113"/>
      <c r="J85" s="114"/>
      <c r="K85" s="124">
        <v>4</v>
      </c>
      <c r="L85" s="125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15" customHeight="1" x14ac:dyDescent="0.25">
      <c r="A86" s="147"/>
      <c r="B86" s="143"/>
      <c r="C86" s="144"/>
      <c r="D86" s="132"/>
      <c r="E86" s="133"/>
      <c r="F86" s="133"/>
      <c r="G86" s="134"/>
      <c r="H86" s="115"/>
      <c r="I86" s="116"/>
      <c r="J86" s="117"/>
      <c r="K86" s="124">
        <v>4</v>
      </c>
      <c r="L86" s="125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 x14ac:dyDescent="0.25">
      <c r="A87" s="124" t="s">
        <v>103</v>
      </c>
      <c r="B87" s="145"/>
      <c r="C87" s="146"/>
      <c r="D87" s="129" t="str">
        <f>VLOOKUP(A87,LISTAS!$A$42:$C$54,LISTAS!$B$41,0)</f>
        <v>Capacidad para identificar y comprender las necesidades y expectativas de nuestros clientes (internos y externos) con empatía.</v>
      </c>
      <c r="E87" s="130"/>
      <c r="F87" s="130"/>
      <c r="G87" s="131"/>
      <c r="H87" s="112" t="str">
        <f>VLOOKUP(A87,LISTAS!$A$42:$C$54,LISTAS!$C$41,0)</f>
        <v>1) Muestra respeto, interés y disposición en comprender las necesidades de clientes, y usuarios; es amable y paciente.
2) Resuelve, atiende con agilidad y oportunidad, busca soluciones de raíz.</v>
      </c>
      <c r="I87" s="113"/>
      <c r="J87" s="114"/>
      <c r="K87" s="124">
        <v>4</v>
      </c>
      <c r="L87" s="125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 x14ac:dyDescent="0.25">
      <c r="A88" s="147"/>
      <c r="B88" s="143"/>
      <c r="C88" s="144"/>
      <c r="D88" s="132"/>
      <c r="E88" s="133"/>
      <c r="F88" s="133"/>
      <c r="G88" s="134"/>
      <c r="H88" s="115"/>
      <c r="I88" s="116"/>
      <c r="J88" s="117"/>
      <c r="K88" s="124">
        <v>4</v>
      </c>
      <c r="L88" s="125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 x14ac:dyDescent="0.25">
      <c r="A89" s="124" t="s">
        <v>105</v>
      </c>
      <c r="B89" s="145"/>
      <c r="C89" s="146"/>
      <c r="D89" s="129" t="str">
        <f>VLOOKUP(A89,LISTAS!$A$42:$C$54,LISTAS!$B$41,0)</f>
        <v>Capacidad para trabajar efectivamente en una variedad de situaciones, con diversos individuos o grupos, valorando las perspectivas diferentes para lograr un proceso de adaptación</v>
      </c>
      <c r="E89" s="130"/>
      <c r="F89" s="130"/>
      <c r="G89" s="131"/>
      <c r="H89" s="112" t="str">
        <f>VLOOKUP(A89,LISTAS!$A$42:$C$54,LISTAS!$C$41,0)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89" s="113"/>
      <c r="J89" s="114"/>
      <c r="K89" s="124">
        <v>4</v>
      </c>
      <c r="L89" s="125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 x14ac:dyDescent="0.25">
      <c r="A90" s="147"/>
      <c r="B90" s="143"/>
      <c r="C90" s="144"/>
      <c r="D90" s="132"/>
      <c r="E90" s="133"/>
      <c r="F90" s="133"/>
      <c r="G90" s="134"/>
      <c r="H90" s="115"/>
      <c r="I90" s="116"/>
      <c r="J90" s="117"/>
      <c r="K90" s="124">
        <v>4</v>
      </c>
      <c r="L90" s="125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49.5" customHeight="1" x14ac:dyDescent="0.25">
      <c r="A91" s="124" t="s">
        <v>107</v>
      </c>
      <c r="B91" s="145"/>
      <c r="C91" s="146"/>
      <c r="D91" s="129" t="str">
        <f>VLOOKUP(A91,LISTAS!$A$42:$C$54,LISTAS!$B$41,0)</f>
        <v>Capacidad de inspirar y movilizar a los equipos de trabajo</v>
      </c>
      <c r="E91" s="130"/>
      <c r="F91" s="130"/>
      <c r="G91" s="131"/>
      <c r="H91" s="112" t="str">
        <f>VLOOKUP(A91,LISTAS!$A$42:$C$54,LISTAS!$C$41,0)</f>
        <v>1) Coordina y organiza eficazmente su equipo, propiciando un adecuado ambiente de trabajo, orientando y dirigiendo a los demás para motivarlos e inducirlos a que se llegue a las metas y objetivos planteados.
2) Promueve ambientes participativos permitiendo que su equipo aporte sus propias ideas y sugerencias.</v>
      </c>
      <c r="I91" s="113"/>
      <c r="J91" s="114"/>
      <c r="K91" s="88">
        <v>4</v>
      </c>
      <c r="L91" s="88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100.5" customHeight="1" x14ac:dyDescent="0.25">
      <c r="A92" s="147"/>
      <c r="B92" s="143"/>
      <c r="C92" s="144"/>
      <c r="D92" s="132"/>
      <c r="E92" s="133"/>
      <c r="F92" s="133"/>
      <c r="G92" s="134"/>
      <c r="H92" s="115"/>
      <c r="I92" s="116"/>
      <c r="J92" s="117"/>
      <c r="K92" s="88">
        <v>4</v>
      </c>
      <c r="L92" s="88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 x14ac:dyDescent="0.25">
      <c r="A93" s="124" t="s">
        <v>111</v>
      </c>
      <c r="B93" s="145"/>
      <c r="C93" s="146"/>
      <c r="D93" s="129" t="str">
        <f>VLOOKUP(A93,LISTAS!$A$42:$C$54,LISTAS!$B$41,0)</f>
        <v>Perspectiva amplia del entorno, la cual facilita hacer proyecciones, determinando adecuadamente planes a largo plazo.</v>
      </c>
      <c r="E93" s="130"/>
      <c r="F93" s="130"/>
      <c r="G93" s="131"/>
      <c r="H93" s="112" t="str">
        <f>VLOOKUP(A93,LISTAS!$A$42:$C$54,LISTAS!$C$41,0)</f>
        <v>1) Logra fijar un objetivo, analiza los medios que tiene para alcanzarlo y los organiza para lograr el fin.
2) Genera planes de acción en pro del cumplimiento de los objetivos.</v>
      </c>
      <c r="I93" s="113"/>
      <c r="J93" s="114"/>
      <c r="K93" s="88">
        <v>4</v>
      </c>
      <c r="L93" s="88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 x14ac:dyDescent="0.25">
      <c r="A94" s="147"/>
      <c r="B94" s="143"/>
      <c r="C94" s="144"/>
      <c r="D94" s="132"/>
      <c r="E94" s="133"/>
      <c r="F94" s="133"/>
      <c r="G94" s="134"/>
      <c r="H94" s="115"/>
      <c r="I94" s="116"/>
      <c r="J94" s="117"/>
      <c r="K94" s="88"/>
      <c r="L94" s="8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 x14ac:dyDescent="0.25">
      <c r="A95" s="124" t="s">
        <v>113</v>
      </c>
      <c r="B95" s="145"/>
      <c r="C95" s="146"/>
      <c r="D95" s="129" t="str">
        <f>VLOOKUP(A95,LISTAS!$A$42:$C$54,LISTAS!$B$41,0)</f>
        <v>Ejecuta el cierre oportuno de los planes de acción establecidos, logrando el cumplimiento de las actividades planteadas y subsanando las causas que dieron lugar a la misma.</v>
      </c>
      <c r="E95" s="130"/>
      <c r="F95" s="130"/>
      <c r="G95" s="131"/>
      <c r="H95" s="112" t="str">
        <f>VLOOKUP(A95,LISTAS!$A$42:$C$54,LISTAS!$C$41,0)</f>
        <v>Ejecuta el cierre oportuno de los planes de acción establecidos, logrando el cumplimiento de las actividades planteadas y subsanando las causas que dieron lugar a la misma.</v>
      </c>
      <c r="I95" s="113"/>
      <c r="J95" s="114"/>
      <c r="K95" s="88">
        <v>4</v>
      </c>
      <c r="L95" s="8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 x14ac:dyDescent="0.25">
      <c r="A96" s="147"/>
      <c r="B96" s="143"/>
      <c r="C96" s="144"/>
      <c r="D96" s="132"/>
      <c r="E96" s="133"/>
      <c r="F96" s="133"/>
      <c r="G96" s="134"/>
      <c r="H96" s="115"/>
      <c r="I96" s="116"/>
      <c r="J96" s="117"/>
      <c r="K96" s="88"/>
      <c r="L96" s="88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 x14ac:dyDescent="0.25">
      <c r="A97" s="124" t="s">
        <v>115</v>
      </c>
      <c r="B97" s="145"/>
      <c r="C97" s="146"/>
      <c r="D97" s="129" t="str">
        <f>VLOOKUP(A97,LISTAS!$A$42:$C$54,LISTAS!$B$41,0)</f>
        <v>Participa y promueve en su equipo el cumplimiento de las responsabilidades transversales que se desprenden de los sistemas de gestión</v>
      </c>
      <c r="E97" s="130"/>
      <c r="F97" s="130"/>
      <c r="G97" s="131"/>
      <c r="H97" s="112" t="str">
        <f>VLOOKUP(A97,LISTAS!$A$42:$C$54,LISTAS!$C$41,0)</f>
        <v>Participa y promueve en su equipo el cumplimiento de las responsabilidades transversales que se desprenden de los sistemas de gestión</v>
      </c>
      <c r="I97" s="113"/>
      <c r="J97" s="114"/>
      <c r="K97" s="88">
        <v>4</v>
      </c>
      <c r="L97" s="8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15" customHeight="1" x14ac:dyDescent="0.25">
      <c r="A98" s="147"/>
      <c r="B98" s="143"/>
      <c r="C98" s="144"/>
      <c r="D98" s="132"/>
      <c r="E98" s="133"/>
      <c r="F98" s="133"/>
      <c r="G98" s="134"/>
      <c r="H98" s="115"/>
      <c r="I98" s="116"/>
      <c r="J98" s="117"/>
      <c r="K98" s="88"/>
      <c r="L98" s="88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 x14ac:dyDescent="0.25">
      <c r="A99" s="124" t="s">
        <v>117</v>
      </c>
      <c r="B99" s="145"/>
      <c r="C99" s="146"/>
      <c r="D99" s="129" t="str">
        <f>VLOOKUP(A99,LISTAS!$A$42:$C$54,LISTAS!$B$41,0)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9" s="130"/>
      <c r="F99" s="130"/>
      <c r="G99" s="131"/>
      <c r="H99" s="112" t="str">
        <f>VLOOKUP(A99,LISTAS!$A$42:$C$54,LISTAS!$C$41,0)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9" s="113"/>
      <c r="J99" s="114"/>
      <c r="K99" s="88">
        <v>4</v>
      </c>
      <c r="L99" s="8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 x14ac:dyDescent="0.25">
      <c r="A100" s="147"/>
      <c r="B100" s="143"/>
      <c r="C100" s="144"/>
      <c r="D100" s="132"/>
      <c r="E100" s="133"/>
      <c r="F100" s="133"/>
      <c r="G100" s="134"/>
      <c r="H100" s="115"/>
      <c r="I100" s="116"/>
      <c r="J100" s="117"/>
      <c r="K100" s="88"/>
      <c r="L100" s="88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5.450000000000003" customHeight="1" x14ac:dyDescent="0.25">
      <c r="A101" s="124" t="s">
        <v>119</v>
      </c>
      <c r="B101" s="145"/>
      <c r="C101" s="146"/>
      <c r="D101" s="129" t="str">
        <f>VLOOKUP(A101,LISTAS!$A$42:$C$54,LISTAS!$B$41,0)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101" s="130"/>
      <c r="F101" s="130"/>
      <c r="G101" s="131"/>
      <c r="H101" s="112" t="str">
        <f>VLOOKUP(A101,LISTAS!$A$42:$C$54,LISTAS!$C$41,0)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101" s="113"/>
      <c r="J101" s="114"/>
      <c r="K101" s="88">
        <v>4</v>
      </c>
      <c r="L101" s="88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41.45" customHeight="1" x14ac:dyDescent="0.25">
      <c r="A102" s="148"/>
      <c r="B102" s="149"/>
      <c r="C102" s="150"/>
      <c r="D102" s="132"/>
      <c r="E102" s="133"/>
      <c r="F102" s="133"/>
      <c r="G102" s="134"/>
      <c r="H102" s="136"/>
      <c r="I102" s="137"/>
      <c r="J102" s="138"/>
      <c r="K102" s="135"/>
      <c r="L102" s="135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78.599999999999994" customHeight="1" x14ac:dyDescent="0.25">
      <c r="A103" s="88" t="s">
        <v>122</v>
      </c>
      <c r="B103" s="88"/>
      <c r="C103" s="88"/>
      <c r="D103" s="129" t="str">
        <f>VLOOKUP(A103,LISTAS!$A$42:$C$54,LISTAS!$B$41,0)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103" s="130"/>
      <c r="F103" s="130"/>
      <c r="G103" s="131"/>
      <c r="H103" s="139" t="str">
        <f>VLOOKUP(A103,LISTAS!$A$42:$C$54,LISTAS!$C$41,0)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103" s="139"/>
      <c r="J103" s="139"/>
      <c r="K103" s="88">
        <v>4</v>
      </c>
      <c r="L103" s="8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58.15" customHeight="1" x14ac:dyDescent="0.25">
      <c r="A104" s="88"/>
      <c r="B104" s="88"/>
      <c r="C104" s="88"/>
      <c r="D104" s="132"/>
      <c r="E104" s="133"/>
      <c r="F104" s="133"/>
      <c r="G104" s="134"/>
      <c r="H104" s="139"/>
      <c r="I104" s="139"/>
      <c r="J104" s="139"/>
      <c r="K104" s="88"/>
      <c r="L104" s="88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93"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  <mergeCell ref="K101:L101"/>
    <mergeCell ref="K102:L102"/>
    <mergeCell ref="K103:L103"/>
    <mergeCell ref="D101:G102"/>
    <mergeCell ref="D103:G104"/>
    <mergeCell ref="H101:J102"/>
    <mergeCell ref="H103:J104"/>
    <mergeCell ref="K98:L98"/>
    <mergeCell ref="K99:L99"/>
    <mergeCell ref="K100:L100"/>
    <mergeCell ref="D97:G98"/>
    <mergeCell ref="D99:G100"/>
    <mergeCell ref="H97:J98"/>
    <mergeCell ref="H99:J100"/>
    <mergeCell ref="K91:L91"/>
    <mergeCell ref="K95:L95"/>
    <mergeCell ref="K96:L96"/>
    <mergeCell ref="K97:L97"/>
    <mergeCell ref="D95:G96"/>
    <mergeCell ref="H95:J96"/>
    <mergeCell ref="K92:L92"/>
    <mergeCell ref="K93:L93"/>
    <mergeCell ref="K94:L94"/>
    <mergeCell ref="D93:G94"/>
    <mergeCell ref="H91:J92"/>
    <mergeCell ref="H93:J94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666750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2</xdr:col>
                    <xdr:colOff>666750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666750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K81:L104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92</v>
      </c>
      <c r="C31" s="29" t="s">
        <v>93</v>
      </c>
    </row>
    <row r="32" spans="1:4" ht="90" x14ac:dyDescent="0.25">
      <c r="A32" s="24" t="s">
        <v>79</v>
      </c>
      <c r="B32" s="30" t="s">
        <v>95</v>
      </c>
      <c r="C32" s="30" t="s">
        <v>94</v>
      </c>
    </row>
    <row r="33" spans="1:3" ht="15" customHeight="1" x14ac:dyDescent="0.25">
      <c r="A33" s="24" t="s">
        <v>80</v>
      </c>
      <c r="B33" s="27"/>
      <c r="C33" s="32">
        <v>5</v>
      </c>
    </row>
    <row r="34" spans="1:3" ht="15" customHeight="1" x14ac:dyDescent="0.25">
      <c r="A34" s="24" t="s">
        <v>81</v>
      </c>
      <c r="B34" s="27"/>
      <c r="C34" s="32">
        <v>4</v>
      </c>
    </row>
    <row r="35" spans="1:3" ht="15" customHeight="1" x14ac:dyDescent="0.25">
      <c r="A35" s="24" t="s">
        <v>82</v>
      </c>
      <c r="B35" s="28"/>
      <c r="C35" s="32">
        <v>3</v>
      </c>
    </row>
    <row r="36" spans="1:3" ht="15" customHeight="1" x14ac:dyDescent="0.25">
      <c r="A36" s="24" t="s">
        <v>83</v>
      </c>
      <c r="C36" s="32">
        <v>2</v>
      </c>
    </row>
    <row r="37" spans="1:3" ht="15" customHeight="1" x14ac:dyDescent="0.25">
      <c r="A37" s="24" t="s">
        <v>84</v>
      </c>
      <c r="C37" s="32">
        <v>1</v>
      </c>
    </row>
    <row r="38" spans="1:3" ht="15" customHeight="1" x14ac:dyDescent="0.25">
      <c r="A38" s="24" t="s">
        <v>85</v>
      </c>
      <c r="C38" s="32" t="s">
        <v>141</v>
      </c>
    </row>
    <row r="39" spans="1:3" ht="15" customHeight="1" x14ac:dyDescent="0.25">
      <c r="A39" s="24" t="s">
        <v>86</v>
      </c>
    </row>
    <row r="40" spans="1:3" ht="15" customHeight="1" x14ac:dyDescent="0.25">
      <c r="A40" s="24" t="s">
        <v>87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129</v>
      </c>
      <c r="B42" s="38" t="s">
        <v>97</v>
      </c>
      <c r="C42" s="38" t="s">
        <v>98</v>
      </c>
    </row>
    <row r="43" spans="1:3" ht="75" x14ac:dyDescent="0.25">
      <c r="A43" s="39" t="s">
        <v>99</v>
      </c>
      <c r="B43" s="33" t="s">
        <v>100</v>
      </c>
      <c r="C43" s="34" t="s">
        <v>134</v>
      </c>
    </row>
    <row r="44" spans="1:3" ht="60" x14ac:dyDescent="0.25">
      <c r="A44" s="34" t="s">
        <v>101</v>
      </c>
      <c r="B44" s="31" t="s">
        <v>102</v>
      </c>
      <c r="C44" s="34" t="s">
        <v>135</v>
      </c>
    </row>
    <row r="45" spans="1:3" ht="75" x14ac:dyDescent="0.25">
      <c r="A45" s="34" t="s">
        <v>103</v>
      </c>
      <c r="B45" s="31" t="s">
        <v>104</v>
      </c>
      <c r="C45" s="34" t="s">
        <v>136</v>
      </c>
    </row>
    <row r="46" spans="1:3" ht="105" x14ac:dyDescent="0.25">
      <c r="A46" s="34" t="s">
        <v>105</v>
      </c>
      <c r="B46" s="40" t="s">
        <v>106</v>
      </c>
      <c r="C46" s="34" t="s">
        <v>137</v>
      </c>
    </row>
    <row r="47" spans="1:3" ht="105" x14ac:dyDescent="0.25">
      <c r="A47" s="34" t="s">
        <v>107</v>
      </c>
      <c r="B47" s="40" t="s">
        <v>108</v>
      </c>
      <c r="C47" s="34" t="s">
        <v>138</v>
      </c>
    </row>
    <row r="48" spans="1:3" ht="75" x14ac:dyDescent="0.25">
      <c r="A48" s="41" t="s">
        <v>109</v>
      </c>
      <c r="B48" s="40" t="s">
        <v>110</v>
      </c>
      <c r="C48" s="34" t="s">
        <v>139</v>
      </c>
    </row>
    <row r="49" spans="1:3" ht="75" x14ac:dyDescent="0.25">
      <c r="A49" s="34" t="s">
        <v>111</v>
      </c>
      <c r="B49" s="31" t="s">
        <v>112</v>
      </c>
      <c r="C49" s="34" t="s">
        <v>140</v>
      </c>
    </row>
    <row r="50" spans="1:3" ht="75" x14ac:dyDescent="0.25">
      <c r="A50" s="34" t="s">
        <v>113</v>
      </c>
      <c r="B50" s="33" t="s">
        <v>114</v>
      </c>
      <c r="C50" s="31" t="s">
        <v>114</v>
      </c>
    </row>
    <row r="51" spans="1:3" ht="60" x14ac:dyDescent="0.25">
      <c r="A51" s="34" t="s">
        <v>115</v>
      </c>
      <c r="B51" s="33" t="s">
        <v>116</v>
      </c>
      <c r="C51" s="31" t="s">
        <v>116</v>
      </c>
    </row>
    <row r="52" spans="1:3" ht="90" x14ac:dyDescent="0.25">
      <c r="A52" s="34" t="s">
        <v>117</v>
      </c>
      <c r="B52" s="33" t="s">
        <v>118</v>
      </c>
      <c r="C52" s="31" t="s">
        <v>118</v>
      </c>
    </row>
    <row r="53" spans="1:3" ht="150" x14ac:dyDescent="0.25">
      <c r="A53" s="34" t="s">
        <v>119</v>
      </c>
      <c r="B53" s="33" t="s">
        <v>120</v>
      </c>
      <c r="C53" s="31" t="s">
        <v>121</v>
      </c>
    </row>
    <row r="54" spans="1:3" ht="120" x14ac:dyDescent="0.25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JEFE DE SEGURIDAD</vt:lpstr>
      <vt:lpstr>LISTAS</vt:lpstr>
      <vt:lpstr>'JEFE DE SEGURIDAD'!Área_de_impresión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2023-06-02T20:42:48Z</dcterms:modified>
</cp:coreProperties>
</file>