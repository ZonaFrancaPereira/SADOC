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C:\Users\Cristian B\Desktop\PERFILES\NUEVOS\OPERACIONES\"/>
    </mc:Choice>
  </mc:AlternateContent>
  <xr:revisionPtr revIDLastSave="0" documentId="13_ncr:1_{755FE8F6-7458-4362-8000-A85DF5B353A4}" xr6:coauthVersionLast="47" xr6:coauthVersionMax="47" xr10:uidLastSave="{00000000-0000-0000-0000-000000000000}"/>
  <bookViews>
    <workbookView xWindow="-120" yWindow="-120" windowWidth="20730" windowHeight="11160" xr2:uid="{00000000-000D-0000-FFFF-FFFF00000000}"/>
  </bookViews>
  <sheets>
    <sheet name="Formato" sheetId="1" r:id="rId1"/>
    <sheet name="LISTAS" sheetId="2" state="hidden" r:id="rId2"/>
  </sheets>
  <definedNames>
    <definedName name="_xlnm.Print_Area" localSheetId="0">Formato!$A$1:$L$104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6" roundtripDataSignature="AMtx7mjbwWreKaua+iUYuanfWbmEab3hVg=="/>
    </ext>
  </extLst>
</workbook>
</file>

<file path=xl/calcChain.xml><?xml version="1.0" encoding="utf-8"?>
<calcChain xmlns="http://schemas.openxmlformats.org/spreadsheetml/2006/main">
  <c r="A38" i="1" l="1"/>
  <c r="H85" i="1"/>
  <c r="H87" i="1"/>
  <c r="H89" i="1"/>
  <c r="H91" i="1"/>
  <c r="H93" i="1"/>
  <c r="H95" i="1"/>
  <c r="H97" i="1"/>
  <c r="H99" i="1"/>
  <c r="H101" i="1"/>
  <c r="H103" i="1"/>
  <c r="D87" i="1"/>
  <c r="D89" i="1"/>
  <c r="D91" i="1"/>
  <c r="D93" i="1"/>
  <c r="D95" i="1"/>
  <c r="D97" i="1"/>
  <c r="D99" i="1"/>
  <c r="D101" i="1"/>
  <c r="D103" i="1"/>
  <c r="D85" i="1"/>
  <c r="H83" i="1"/>
  <c r="D83" i="1"/>
  <c r="D81" i="1"/>
  <c r="H81" i="1"/>
  <c r="G38" i="1" l="1"/>
  <c r="D11" i="1" l="1"/>
  <c r="D10" i="1"/>
  <c r="D9" i="1"/>
</calcChain>
</file>

<file path=xl/sharedStrings.xml><?xml version="1.0" encoding="utf-8"?>
<sst xmlns="http://schemas.openxmlformats.org/spreadsheetml/2006/main" count="247" uniqueCount="166">
  <si>
    <t>Gerencia</t>
  </si>
  <si>
    <t xml:space="preserve">Competencia </t>
  </si>
  <si>
    <t>NO</t>
  </si>
  <si>
    <t>Fecha de Revisión:</t>
  </si>
  <si>
    <t>IDENTIFICACIÓN DEL CARGO</t>
  </si>
  <si>
    <t>Jefe Inmediato</t>
  </si>
  <si>
    <t>Nombre del Cargo</t>
  </si>
  <si>
    <t>Proceso al que Pertence</t>
  </si>
  <si>
    <t>¿Es Cargo Crítico?</t>
  </si>
  <si>
    <t>CARGO</t>
  </si>
  <si>
    <t>Proceso</t>
  </si>
  <si>
    <t>Gerente</t>
  </si>
  <si>
    <t>Analista I operaciones</t>
  </si>
  <si>
    <t>Analista II operaciones</t>
  </si>
  <si>
    <t>Gestión Contable y Financiera</t>
  </si>
  <si>
    <t>Director Técnico</t>
  </si>
  <si>
    <t>Gestión Técnica</t>
  </si>
  <si>
    <t>Auxiliar de Mantenimiento</t>
  </si>
  <si>
    <t>Ayudante de Obra</t>
  </si>
  <si>
    <t>Sistema Integrado de Gestión</t>
  </si>
  <si>
    <t>Coordinador de Tecnología e Informática</t>
  </si>
  <si>
    <t>Gestión de Tecnología e Informática</t>
  </si>
  <si>
    <t>Coordinador Jurídico</t>
  </si>
  <si>
    <t>Gestión Jurídica</t>
  </si>
  <si>
    <t>Administrador PH</t>
  </si>
  <si>
    <t>Propiedad Horizontal</t>
  </si>
  <si>
    <t>Gestión Administrativa</t>
  </si>
  <si>
    <t>Supernumeraria</t>
  </si>
  <si>
    <t>Auxiliar Gestión Documental</t>
  </si>
  <si>
    <t>Auxiliar Seguridad y Salud en el Trabajo</t>
  </si>
  <si>
    <t>Mensajero</t>
  </si>
  <si>
    <t>Residente de Obra</t>
  </si>
  <si>
    <t>Gestión  de Operaciones</t>
  </si>
  <si>
    <t>Gestión de Operaciones</t>
  </si>
  <si>
    <t>Director Contable y Financier</t>
  </si>
  <si>
    <t>Auxiliar Contable y Financiero</t>
  </si>
  <si>
    <t>Coordinador Sistema Integrado de Gestión</t>
  </si>
  <si>
    <t>Auxiliar de Tecnología e Informática</t>
  </si>
  <si>
    <t>Jefe de Seguridad</t>
  </si>
  <si>
    <t>Seguridad</t>
  </si>
  <si>
    <t>Director de Gestión Administrativa</t>
  </si>
  <si>
    <t>Auxiliar de Gestión Administrativa</t>
  </si>
  <si>
    <t>Tipo de Proceso</t>
  </si>
  <si>
    <t>Etratégico</t>
  </si>
  <si>
    <t>Misional</t>
  </si>
  <si>
    <t>Apoyo</t>
  </si>
  <si>
    <t>Base</t>
  </si>
  <si>
    <t>Practicante de Gestión Técnica</t>
  </si>
  <si>
    <t>Auxiliar de Servicios Generales</t>
  </si>
  <si>
    <t>Auxiliar Monitoreo</t>
  </si>
  <si>
    <t>Oficial de Cumplimiento</t>
  </si>
  <si>
    <t>Tipo de Proceso2</t>
  </si>
  <si>
    <t>Asamblea de Accionistas</t>
  </si>
  <si>
    <t>Director de Operaciones</t>
  </si>
  <si>
    <t>¿Tiene Personas a Cargo?</t>
  </si>
  <si>
    <t>MISIÓN DEL CARGO</t>
  </si>
  <si>
    <t>RECURSOS Y CONTROLES DE SEGURIDAD FÍSICA Y DE SST NECESARIOS PARA LA LABOR</t>
  </si>
  <si>
    <t>Recursos de Seguridad Física</t>
  </si>
  <si>
    <t>Recursos de SST</t>
  </si>
  <si>
    <t>Internas</t>
  </si>
  <si>
    <t>Externas</t>
  </si>
  <si>
    <t>PRINCIPALES FUNCIONES Y RESPONSABILIDADES</t>
  </si>
  <si>
    <t>Responsabilidades Complementaria</t>
  </si>
  <si>
    <t>Indicadores de Cargo</t>
  </si>
  <si>
    <t>Autoridad para la Toma de Decisiones</t>
  </si>
  <si>
    <t>CONTACTO Y RELACIONES DE TRABAJO</t>
  </si>
  <si>
    <t>Contacto</t>
  </si>
  <si>
    <t>Propósito</t>
  </si>
  <si>
    <t>Tipo de Contacto</t>
  </si>
  <si>
    <t>Frecuencia de Contacto</t>
  </si>
  <si>
    <t>Clinete Interno</t>
  </si>
  <si>
    <t>Cliente Externo</t>
  </si>
  <si>
    <t>Disponibilidad para Viajar</t>
  </si>
  <si>
    <t>INFORMACIÓN DEL PERFIL Y REQUERIMIETOS DEL CARGO</t>
  </si>
  <si>
    <t>Formación Académica</t>
  </si>
  <si>
    <t>Experiencia</t>
  </si>
  <si>
    <t>Otros Conocimientos y Habilidades</t>
  </si>
  <si>
    <t>Requiere Licencia de Conducción</t>
  </si>
  <si>
    <t>Tipo de Licencia</t>
  </si>
  <si>
    <t>A1: motos de bajo cilindraje.</t>
  </si>
  <si>
    <t>A2: motos de alto cilindraje.</t>
  </si>
  <si>
    <t>B1: autos particulares.</t>
  </si>
  <si>
    <t>B2: camiones y buses de uso particular.</t>
  </si>
  <si>
    <t>B3: vehículos articulados particulares.</t>
  </si>
  <si>
    <t>C1: autos pequeños de servicio público.</t>
  </si>
  <si>
    <t>C2: autos grandes de servicio público.</t>
  </si>
  <si>
    <t>C3: vehículos articulados de servicio público</t>
  </si>
  <si>
    <t>NO APLICA</t>
  </si>
  <si>
    <t>Requiere Vhículo Propio</t>
  </si>
  <si>
    <t>Tipo de Vehículo</t>
  </si>
  <si>
    <t>AUTORIZACIÓN DE ACCESO A ÁREAS CRÍTICAS DE ACUERDO A LA LABOR</t>
  </si>
  <si>
    <t>REQUISITOS DE SEGURIDA PARA CARGOS CRÍTICOS</t>
  </si>
  <si>
    <t>Seguridad Física</t>
  </si>
  <si>
    <t>Requisitos de SST</t>
  </si>
  <si>
    <t>• No presentar resultado positivo en pruebas de consumo
• Concepto médico ocupacional favorable para la realización de la labor</t>
  </si>
  <si>
    <t>• No presentar ningún antecedente
• No presentar resultado positivo en pruebas de consumo
• Resultado satisfactorio en la prueba de confiabilidad.
• Concepto favorable en visitas domiciliarias.</t>
  </si>
  <si>
    <t>Requisitos de Seguridad Física</t>
  </si>
  <si>
    <t xml:space="preserve">DEFINICIÓN </t>
  </si>
  <si>
    <t xml:space="preserve">COMPORTAMIENTOS </t>
  </si>
  <si>
    <t>Trabajo en equipo</t>
  </si>
  <si>
    <t>Capacidad para construir relaciones de cooperación y confianza con las personas que interactúo para favorecer el logro de  los objetivos de la organización, buscando el beneficio común.</t>
  </si>
  <si>
    <t>Comunicación asertiva</t>
  </si>
  <si>
    <t>Capacidad para escuchar y expresarse de manera clara y oportuna basado en hechos concretos y verificados.</t>
  </si>
  <si>
    <t>Orientación al servicio</t>
  </si>
  <si>
    <t>Capacidad para identificar y comprender las necesidades y expectativas de nuestros clientes (internos y externos) con empatía.</t>
  </si>
  <si>
    <t>Orientación al cambio</t>
  </si>
  <si>
    <t>Capacidad para trabajar efectivamente en una variedad de situaciones, con diversos individuos o grupos, valorando las perspectivas diferentes para lograr un proceso de adaptación</t>
  </si>
  <si>
    <t>Liderazgo</t>
  </si>
  <si>
    <t>Capacidad de inspirar y movilizar a los equipos de trabajo</t>
  </si>
  <si>
    <t>Orientación al logro</t>
  </si>
  <si>
    <t>Personas competitivas, enfocadas al cumplimiento responsable de metas.</t>
  </si>
  <si>
    <t>Pensamiento y ejecución estratégica</t>
  </si>
  <si>
    <t>Perspectiva amplia del entorno, la cual facilita hacer proyecciones, determinando adecuadamente planes a largo plazo.</t>
  </si>
  <si>
    <t>Oportunidad ACPM</t>
  </si>
  <si>
    <t>Ejecuta el cierre oportuno de los planes de acción establecidos, logrando el cumplimiento de las actividades planteadas y subsanando las causas que dieron lugar a la misma.</t>
  </si>
  <si>
    <t>Participación</t>
  </si>
  <si>
    <t>Participa y promueve en su equipo el cumplimiento de las responsabilidades transversales que se desprenden de los sistemas de gestión</t>
  </si>
  <si>
    <t>Uso de recursos de seguridad física y de SST asignados al cargo</t>
  </si>
  <si>
    <t>Usa adecuadamente los recursos de seguridad física, como claves, llaves, botón de pánico, etc. Y de SST, como EPP, equipos de protección contra caídas, etc. que la empresa le entrega para el desarrollo de su labor</t>
  </si>
  <si>
    <t>Código de Ética, Conducta y Buen Gobierno</t>
  </si>
  <si>
    <t>Da cumplimiento, durante el desarrollo de sus labores y en todo momento, a las normas que establecida en el Código de Ética y Buen Gobierno de la empresa, tales como transparencia e integridad, imparcialidad, confidencialidad, legalidad, colaboración, equidad, trato respetuoso y buen comportamiento, diligencia, buen uso de instalaciones, respeto de propiedad intelectual, etc.</t>
  </si>
  <si>
    <t>Da cumplimiento, durante el desarrollo de sus labores y en todo momento, a las normas que establecida en el Código de Ética y Buen Gobierno de la empresa, tales como transparencia e integridad, imparcialidad, confidencialidad, legalidad, colaboración, equidad, buen comportamiento, diligencia, buen uso de instalaciones, respeto de propiedad intelectual, etc.</t>
  </si>
  <si>
    <t>Política de Conducta Empresarial Responsable (CER)</t>
  </si>
  <si>
    <t>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t>
  </si>
  <si>
    <t>Columna1</t>
  </si>
  <si>
    <t>Columna2</t>
  </si>
  <si>
    <t>Columna3</t>
  </si>
  <si>
    <t>Columna4</t>
  </si>
  <si>
    <t>Columna5</t>
  </si>
  <si>
    <t>COMPETENCIA</t>
  </si>
  <si>
    <t>Definición</t>
  </si>
  <si>
    <t>Comportamiento</t>
  </si>
  <si>
    <t>Calificación Requerida</t>
  </si>
  <si>
    <t>COMPETENCIAS Y COMPORTAMIENTOS</t>
  </si>
  <si>
    <r>
      <rPr>
        <b/>
        <sz val="11"/>
        <color theme="1"/>
        <rFont val="Calibri"/>
        <family val="2"/>
        <scheme val="minor"/>
      </rPr>
      <t>1)</t>
    </r>
    <r>
      <rPr>
        <sz val="11"/>
        <color theme="1"/>
        <rFont val="Calibri"/>
        <family val="2"/>
        <scheme val="minor"/>
      </rPr>
      <t xml:space="preserve"> Trabaja en equipo en pro de objetivos colectivos derribando barreras funcionales, jerárquicas y entre áreas. 
</t>
    </r>
    <r>
      <rPr>
        <b/>
        <sz val="11"/>
        <color theme="1"/>
        <rFont val="Calibri"/>
        <family val="2"/>
        <scheme val="minor"/>
      </rPr>
      <t>2)</t>
    </r>
    <r>
      <rPr>
        <sz val="11"/>
        <color theme="1"/>
        <rFont val="Calibri"/>
        <family val="2"/>
        <scheme val="minor"/>
      </rPr>
      <t xml:space="preserve"> Construye y mantiene relaciones interpersonales de confianza y respeto.</t>
    </r>
  </si>
  <si>
    <r>
      <rPr>
        <b/>
        <sz val="11"/>
        <color theme="1"/>
        <rFont val="Calibri"/>
        <family val="2"/>
        <scheme val="minor"/>
      </rPr>
      <t>1)</t>
    </r>
    <r>
      <rPr>
        <sz val="11"/>
        <color theme="1"/>
        <rFont val="Calibri"/>
        <family val="2"/>
        <scheme val="minor"/>
      </rPr>
      <t xml:space="preserve"> Se expresa de manera directa, sincera y asertiva.
</t>
    </r>
    <r>
      <rPr>
        <b/>
        <sz val="11"/>
        <color theme="1"/>
        <rFont val="Calibri"/>
        <family val="2"/>
        <scheme val="minor"/>
      </rPr>
      <t>2)</t>
    </r>
    <r>
      <rPr>
        <sz val="11"/>
        <color theme="1"/>
        <rFont val="Calibri"/>
        <family val="2"/>
        <scheme val="minor"/>
      </rPr>
      <t xml:space="preserve"> Demuestra coherencia entre lo que dice y hace. Es propositivo y no reactivo.</t>
    </r>
  </si>
  <si>
    <r>
      <rPr>
        <b/>
        <sz val="11"/>
        <color theme="1"/>
        <rFont val="Calibri"/>
        <family val="2"/>
        <scheme val="minor"/>
      </rPr>
      <t>1)</t>
    </r>
    <r>
      <rPr>
        <sz val="11"/>
        <color theme="1"/>
        <rFont val="Calibri"/>
        <family val="2"/>
        <scheme val="minor"/>
      </rPr>
      <t xml:space="preserve"> Muestra respeto, interés y disposición en comprender las necesidades de clientes, y usuarios; es amable y paciente.
</t>
    </r>
    <r>
      <rPr>
        <b/>
        <sz val="11"/>
        <color theme="1"/>
        <rFont val="Calibri"/>
        <family val="2"/>
        <scheme val="minor"/>
      </rPr>
      <t>2)</t>
    </r>
    <r>
      <rPr>
        <sz val="11"/>
        <color theme="1"/>
        <rFont val="Calibri"/>
        <family val="2"/>
        <scheme val="minor"/>
      </rPr>
      <t xml:space="preserve"> Resuelve, atiende con agilidad y oportunidad, busca soluciones de raíz.</t>
    </r>
  </si>
  <si>
    <r>
      <rPr>
        <b/>
        <sz val="11"/>
        <color theme="1"/>
        <rFont val="Calibri"/>
        <family val="2"/>
        <scheme val="minor"/>
      </rPr>
      <t>1)</t>
    </r>
    <r>
      <rPr>
        <sz val="11"/>
        <color theme="1"/>
        <rFont val="Calibri"/>
        <family val="2"/>
        <scheme val="minor"/>
      </rPr>
      <t xml:space="preserve"> Demuestra una actitud positiva al cambio y rompe paradigmas, aceptando nuevas y diferentes opiniones o puntos de vista para lograr mejores prácticas.
</t>
    </r>
    <r>
      <rPr>
        <b/>
        <sz val="11"/>
        <color theme="1"/>
        <rFont val="Calibri"/>
        <family val="2"/>
        <scheme val="minor"/>
      </rPr>
      <t>2)</t>
    </r>
    <r>
      <rPr>
        <sz val="11"/>
        <color theme="1"/>
        <rFont val="Calibri"/>
        <family val="2"/>
        <scheme val="minor"/>
      </rPr>
      <t xml:space="preserve"> Adquiere nuevos conocimientos y desarrolla nuevas habilidades. Comparte su conocimiento, en beneficio de la generación de valor.</t>
    </r>
  </si>
  <si>
    <r>
      <rPr>
        <b/>
        <sz val="11"/>
        <color theme="1"/>
        <rFont val="Calibri"/>
        <family val="2"/>
        <scheme val="minor"/>
      </rPr>
      <t>1)</t>
    </r>
    <r>
      <rPr>
        <sz val="11"/>
        <color theme="1"/>
        <rFont val="Calibri"/>
        <family val="2"/>
        <scheme val="minor"/>
      </rPr>
      <t xml:space="preserve"> Coordina y organiza eficazmente su equipo, propiciando un adecuado ambiente de trabajo, orientando y dirigiendo a los demás para motivarlos e inducirlos a que se llegue a las metas y objetivos planteados.
</t>
    </r>
    <r>
      <rPr>
        <b/>
        <sz val="11"/>
        <color theme="1"/>
        <rFont val="Calibri"/>
        <family val="2"/>
        <scheme val="minor"/>
      </rPr>
      <t>2)</t>
    </r>
    <r>
      <rPr>
        <sz val="11"/>
        <color theme="1"/>
        <rFont val="Calibri"/>
        <family val="2"/>
        <scheme val="minor"/>
      </rPr>
      <t xml:space="preserve"> Promueve ambientes participativos permitiendo que su equipo aporte sus propias ideas y sugerencias.</t>
    </r>
  </si>
  <si>
    <r>
      <rPr>
        <b/>
        <sz val="11"/>
        <color theme="1"/>
        <rFont val="Calibri"/>
        <family val="2"/>
        <scheme val="minor"/>
      </rPr>
      <t>1)</t>
    </r>
    <r>
      <rPr>
        <sz val="11"/>
        <color theme="1"/>
        <rFont val="Calibri"/>
        <family val="2"/>
        <scheme val="minor"/>
      </rPr>
      <t xml:space="preserve"> Alinea su quehacer diario enfocándolo al plan estratégico de la empresa. Es resolutivo.
</t>
    </r>
    <r>
      <rPr>
        <b/>
        <sz val="11"/>
        <color theme="1"/>
        <rFont val="Calibri"/>
        <family val="2"/>
        <scheme val="minor"/>
      </rPr>
      <t>2)</t>
    </r>
    <r>
      <rPr>
        <sz val="11"/>
        <color theme="1"/>
        <rFont val="Calibri"/>
        <family val="2"/>
        <scheme val="minor"/>
      </rPr>
      <t xml:space="preserve"> Produce resultados y cumple compromisos - alcanza los objetivos y supera las metas.</t>
    </r>
  </si>
  <si>
    <r>
      <rPr>
        <b/>
        <sz val="11"/>
        <color theme="1"/>
        <rFont val="Calibri"/>
        <family val="2"/>
        <scheme val="minor"/>
      </rPr>
      <t>1)</t>
    </r>
    <r>
      <rPr>
        <sz val="11"/>
        <color theme="1"/>
        <rFont val="Calibri"/>
        <family val="2"/>
        <scheme val="minor"/>
      </rPr>
      <t xml:space="preserve"> Logra fijar un objetivo, analiza los medios que tiene para alcanzarlo y los organiza para lograr el fin.
</t>
    </r>
    <r>
      <rPr>
        <b/>
        <sz val="11"/>
        <color theme="1"/>
        <rFont val="Calibri"/>
        <family val="2"/>
        <scheme val="minor"/>
      </rPr>
      <t>2)</t>
    </r>
    <r>
      <rPr>
        <sz val="11"/>
        <color theme="1"/>
        <rFont val="Calibri"/>
        <family val="2"/>
        <scheme val="minor"/>
      </rPr>
      <t xml:space="preserve"> Genera planes de acción en pro del cumplimiento de los objetivos.</t>
    </r>
  </si>
  <si>
    <t>No Aplica</t>
  </si>
  <si>
    <t>FO-GH-09</t>
  </si>
  <si>
    <t>FECHA DE IMPLEMENTACIÓN</t>
  </si>
  <si>
    <t>FECHA DE ACTUALIZACIÓN</t>
  </si>
  <si>
    <t>VERSIÓN</t>
  </si>
  <si>
    <t>PÁGINA</t>
  </si>
  <si>
    <t>CÓDIGO</t>
  </si>
  <si>
    <t>1 de 1</t>
  </si>
  <si>
    <t xml:space="preserve">Especifique las competencias y comportamientos requeridos para el puesto y el nivel requerido de acuerdo al mismo. </t>
  </si>
  <si>
    <t>PERFIL DEL CARGO</t>
  </si>
  <si>
    <t>SI</t>
  </si>
  <si>
    <t>Garantizar que la mercancía que ingresa a Zona Franca y autorizaciones de embarque que ingresan como exportación de Colombia a Zona Franca cumple con los parámetros del Régimen Franco y exigencias de las entidades de Control e ingresar en forma efectiva la información exigida por el proceso respectivo.</t>
  </si>
  <si>
    <t>o	EN AUTORIZACIONES:
•	Verificar que los documentos de Transporte (BL, Carta de Porte) estén consignados o endosados a un usuario de la Zona Franca.
•	Conocer las actividades calificadas de los usuarios.
•	Aprobar sus ítems, matrices y FMM, de acuerdo a las actividades calificadas cuando se requiera.
•	Verificar que las mercancías ingresadas con beneficios de régimen franco por las empresas cumplan con las actividades calificadas de los usuarios.
•	Recibir la mercancía que llega del exterior a Zona Franca, verificarla contra        documentos y autorizar las operaciones de ingreso y salida de mercancías (TAN - RM) desde y hacia el territorio Aduanero Nacional y Resto del Mundo. 
•	Verificar contra documentos peso, número de bultos, placa, términos del tránsito, precintos, entre otros.
•	Elaborar manifiestos de carga, registros de finalización y planillas de recepción.
•	Enviar los documentos de finalización de tránsitos a los usuarios calificados.
•	Enviar los documentos originales de tránsitos con sus respectivos soportes a la DIAN, una vez estos se encuentren finalizados.
•	Validar la veracidad, calidad y coherencia de la información de los documentos tales como DTA, Planillas de Traslado, DTAI Cabotaje, entre otros. 
•	Revisar y aprobar documentos correspondientes a ingresos (RM – TAN) y salidas (RM-TAN) cuando se requiera.
•	Hacer seguimiento en el sistema informático de la DIAN, a los ingresos pendientes desde el resto del mundo.
EN APOYO
•	Envío de reporte al DANE, correspondiente a las operaciones de cada mes vencido.
•	Seguimiento de la presentación de la DEI, a los usuarios que les corresponde.
•	Seguimiento a FMMS pendientes por ejecutar.
•	Elaboración de actas de los comités de usuario calificados.
•	Seguimiento al cese de actividades de los usuarios calificados. 
•	Control y seguimiento a las salidas temporales, (proveedores y vencimientos)
•	Seguimiento y Auditoria a los FMMS aprobados por los analistas. 
•	Seguimiento a los formularios de servicio y consumibles por parte de los usuarios calificados.
•	Archivar los documentos de la operación, asegurando la calidad (completa y correcta), oportunidad y disponibilidad inmediata cuando se requieran.
•	Apoyar la elaboración de los indicadores de gestión del proceso.
•	Recolectar la información y elaborar los indicadores según las necesidades y registros del sistema de calidad del proceso.
•	Apoyar el Sistema Integral para la Prevención de Lavado de Activos y Financiación de Terrorismo - SIPLA.
•	Presentar información sobre operaciones sospechosas.
•	Revisión de Formularios de Movimiento de Mercancías y certificados de integración cuando se requiera.
•	Monitorear el sistema de control de inventarios, con el fin de validar que los formularios de movimiento de mercancías  se revisen dentro de los tiempos establecidos según la promesa de valor.
•	Velar porque sean atendidas las solicitudes realizadas por los usuarios de forma oportuna.
•	Tramitar los requerimientos de los usuarios ante la empresa del soporte del sistema de control de inventarios.
•	Procesar las solicitudes de modificación que realicen los usuarios que estén bajo su cargo. 
•	Llevar control de la vigencia de las pólizas de cumplimiento de los usuarios calificados.
•	Controlar y mantener actualizado el registro de firmas autorizadas, áreas de ocupación y la información general de los usuarios calificados.
•	Analizar documentos conforme al requerimiento de la operación del usuario.
•	Apoyar el inicio de operaciones de los usuarios de la Zona Franca Internacional de Pereira.
•	Acompañar, asesorar y dar soporte.
•	Capacitar a los nuevos usuarios en el régimen franco y en el sistema APPOLO.
•	Acompañar, capacitar y dar la inducción a los nuevos funcionarios del área de Operaciones. 
•	Asegurar que toda actividad o gestión de su cargo cumpla con los requisitos y estándares de seguridad establecidos en el Sistema de Gestión de Calidad, SG-SST, SGA y Control y Seguridad BASC.
•	Dar apoyo a la dirección del proceso en la actualización de formatos y procedimientos de operaciones cuando se requiera.
•	Asistir a reuniones y/o comités establecidos al interior de la compañía o cuándo se estime conveniente, presentando los informes o análisis que se estimen convenientes.</t>
  </si>
  <si>
    <t>El Documento Anexo Roles y Responsabilidades transversales, hace parte constitutiva de este documento.</t>
  </si>
  <si>
    <t>Los Indicadores para medición del Perfil de Cargo son los definidos cada año en la evaluación de desempeño.</t>
  </si>
  <si>
    <t>Toma decisiones a nivel operativo, para el desarrollo adecuado de sus funciones establecidas en los procedimientos.
Tiene autoridad para la administración de las operaciones de comercio exterior que se realicen desde y hacia la Zona Franca Internacional de Pereira.
Toda decisión que impacte los procesos  o el presupuesto del área, debe ser consultada con el Jefe inmediato.</t>
  </si>
  <si>
    <t>Atender los requerimientos de los demás procesos de la compañía en cuanto a los temas de operaciones.</t>
  </si>
  <si>
    <t xml:space="preserve">
Interno</t>
  </si>
  <si>
    <t>Diario</t>
  </si>
  <si>
    <t>Atender los requerimientos de los usuarios calificados, así como de las entidades de control DIAN, Ministerio de Comercio, Industria y Turismo.</t>
  </si>
  <si>
    <t>Externo</t>
  </si>
  <si>
    <t>Técnico o Tecnólogo en Comercio Exterior, Comercio Internacional y/o carreras administrativas o afines.</t>
  </si>
  <si>
    <t xml:space="preserve">
 3 años de experiencia.</t>
  </si>
  <si>
    <t xml:space="preserve">
•	Régimen Franco y/o Comercio Exterior. </t>
  </si>
  <si>
    <t>Ocasionalmente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</si>
</sst>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Fira Sans"/>
    </font>
    <font>
      <b/>
      <sz val="10"/>
      <color theme="1"/>
      <name val="Fira Sans"/>
    </font>
    <font>
      <sz val="11"/>
      <name val="Calibri"/>
      <family val="2"/>
    </font>
    <font>
      <b/>
      <sz val="10"/>
      <color theme="0"/>
      <name val="Fira Sans"/>
    </font>
    <font>
      <sz val="10"/>
      <color theme="0"/>
      <name val="Fira Sans"/>
    </font>
    <font>
      <sz val="10"/>
      <color rgb="FF000000"/>
      <name val="Fira Sans"/>
    </font>
    <font>
      <b/>
      <sz val="10"/>
      <name val="Fira Sans"/>
    </font>
    <font>
      <sz val="10"/>
      <name val="Fira Sans"/>
    </font>
    <font>
      <b/>
      <sz val="12"/>
      <color theme="1"/>
      <name val="Arial"/>
      <family val="2"/>
    </font>
    <font>
      <sz val="12"/>
      <color rgb="FF000000"/>
      <name val="Arial"/>
      <family val="2"/>
    </font>
    <font>
      <u/>
      <sz val="10"/>
      <color theme="1"/>
      <name val="Fira Sans"/>
    </font>
    <font>
      <u/>
      <sz val="10"/>
      <name val="Fira Sans"/>
    </font>
    <font>
      <sz val="8"/>
      <color rgb="FF000000"/>
      <name val="Tahoma"/>
      <family val="2"/>
    </font>
    <font>
      <sz val="10"/>
      <color rgb="FF202124"/>
      <name val="Arial"/>
      <family val="2"/>
    </font>
    <font>
      <sz val="11"/>
      <color theme="1"/>
      <name val="Arial"/>
      <family val="2"/>
    </font>
    <font>
      <sz val="11"/>
      <color theme="1"/>
      <name val="Symbol"/>
      <family val="1"/>
      <charset val="2"/>
    </font>
    <font>
      <b/>
      <sz val="11"/>
      <name val="Arial"/>
      <family val="2"/>
    </font>
    <font>
      <b/>
      <sz val="11"/>
      <color theme="1"/>
      <name val="Calibri"/>
      <family val="2"/>
      <scheme val="minor"/>
    </font>
    <font>
      <b/>
      <sz val="11"/>
      <name val="Calibri"/>
      <family val="2"/>
    </font>
    <font>
      <b/>
      <sz val="10"/>
      <color rgb="FF202124"/>
      <name val="Arial"/>
      <family val="2"/>
    </font>
    <font>
      <sz val="10"/>
      <color theme="1"/>
      <name val="Fira Sans"/>
      <family val="2"/>
    </font>
    <font>
      <sz val="10"/>
      <name val="Fira Sans"/>
      <family val="2"/>
    </font>
  </fonts>
  <fills count="8">
    <fill>
      <patternFill patternType="none"/>
    </fill>
    <fill>
      <patternFill patternType="gray125"/>
    </fill>
    <fill>
      <patternFill patternType="solid">
        <fgColor rgb="FF1EA5AE"/>
        <bgColor rgb="FF1EA5AE"/>
      </patternFill>
    </fill>
    <fill>
      <patternFill patternType="solid">
        <fgColor rgb="FFFF355E"/>
        <bgColor rgb="FFFF355E"/>
      </patternFill>
    </fill>
    <fill>
      <patternFill patternType="solid">
        <fgColor theme="0"/>
        <bgColor theme="0"/>
      </patternFill>
    </fill>
    <fill>
      <patternFill patternType="solid">
        <fgColor rgb="FFD8D8D8"/>
        <bgColor rgb="FFD8D8D8"/>
      </patternFill>
    </fill>
    <fill>
      <patternFill patternType="solid">
        <fgColor rgb="FF7F7F7F"/>
        <bgColor rgb="FF7F7F7F"/>
      </patternFill>
    </fill>
    <fill>
      <patternFill patternType="solid">
        <fgColor rgb="FF92D050"/>
        <bgColor indexed="64"/>
      </patternFill>
    </fill>
  </fills>
  <borders count="34">
    <border>
      <left/>
      <right/>
      <top/>
      <bottom/>
      <diagonal/>
    </border>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right/>
      <top style="thin">
        <color rgb="FF000000"/>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rgb="FF000000"/>
      </right>
      <top style="thin">
        <color indexed="64"/>
      </top>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thin">
        <color indexed="64"/>
      </right>
      <top/>
      <bottom style="thin">
        <color rgb="FF000000"/>
      </bottom>
      <diagonal/>
    </border>
    <border>
      <left style="thin">
        <color indexed="64"/>
      </left>
      <right/>
      <top style="thin">
        <color rgb="FF000000"/>
      </top>
      <bottom/>
      <diagonal/>
    </border>
    <border>
      <left style="thin">
        <color indexed="64"/>
      </left>
      <right/>
      <top/>
      <bottom style="thin">
        <color rgb="FF000000"/>
      </bottom>
      <diagonal/>
    </border>
    <border>
      <left/>
      <right style="thin">
        <color indexed="64"/>
      </right>
      <top style="thin">
        <color rgb="FF000000"/>
      </top>
      <bottom/>
      <diagonal/>
    </border>
  </borders>
  <cellStyleXfs count="1">
    <xf numFmtId="0" fontId="0" fillId="0" borderId="0"/>
  </cellStyleXfs>
  <cellXfs count="149">
    <xf numFmtId="0" fontId="0" fillId="0" borderId="0" xfId="0"/>
    <xf numFmtId="0" fontId="5" fillId="0" borderId="0" xfId="0" applyFont="1"/>
    <xf numFmtId="0" fontId="5" fillId="4" borderId="1" xfId="0" applyFont="1" applyFill="1" applyBorder="1" applyAlignment="1">
      <alignment horizontal="center"/>
    </xf>
    <xf numFmtId="0" fontId="5" fillId="4" borderId="1" xfId="0" applyFont="1" applyFill="1" applyBorder="1"/>
    <xf numFmtId="0" fontId="5" fillId="4" borderId="6" xfId="0" applyFont="1" applyFill="1" applyBorder="1"/>
    <xf numFmtId="0" fontId="0" fillId="0" borderId="4" xfId="0" applyBorder="1"/>
    <xf numFmtId="0" fontId="5" fillId="0" borderId="4" xfId="0" applyFont="1" applyBorder="1"/>
    <xf numFmtId="0" fontId="7" fillId="0" borderId="4" xfId="0" applyFont="1" applyBorder="1"/>
    <xf numFmtId="0" fontId="9" fillId="2" borderId="8" xfId="0" applyFont="1" applyFill="1" applyBorder="1" applyAlignment="1">
      <alignment horizontal="center" vertical="center" wrapText="1"/>
    </xf>
    <xf numFmtId="0" fontId="14" fillId="0" borderId="7" xfId="0" applyFont="1" applyBorder="1" applyAlignment="1" applyProtection="1">
      <alignment horizontal="center" vertical="center" wrapText="1"/>
      <protection hidden="1"/>
    </xf>
    <xf numFmtId="0" fontId="14" fillId="0" borderId="9" xfId="0" applyFont="1" applyBorder="1" applyAlignment="1" applyProtection="1">
      <alignment horizontal="center" vertical="center" wrapText="1"/>
      <protection hidden="1"/>
    </xf>
    <xf numFmtId="0" fontId="14" fillId="0" borderId="8" xfId="0" applyFont="1" applyBorder="1" applyAlignment="1" applyProtection="1">
      <alignment horizontal="center" vertical="center" wrapText="1"/>
      <protection hidden="1"/>
    </xf>
    <xf numFmtId="0" fontId="13" fillId="7" borderId="12" xfId="0" applyFont="1" applyFill="1" applyBorder="1" applyAlignment="1" applyProtection="1">
      <alignment horizontal="center" vertical="center" wrapText="1"/>
      <protection hidden="1"/>
    </xf>
    <xf numFmtId="0" fontId="13" fillId="7" borderId="13" xfId="0" applyFont="1" applyFill="1" applyBorder="1" applyAlignment="1" applyProtection="1">
      <alignment horizontal="center" vertical="center" wrapText="1"/>
      <protection hidden="1"/>
    </xf>
    <xf numFmtId="0" fontId="13" fillId="7" borderId="14" xfId="0" applyFont="1" applyFill="1" applyBorder="1" applyAlignment="1" applyProtection="1">
      <alignment horizontal="center" vertical="center" wrapText="1"/>
      <protection hidden="1"/>
    </xf>
    <xf numFmtId="0" fontId="14" fillId="0" borderId="15" xfId="0" applyFont="1" applyBorder="1" applyAlignment="1" applyProtection="1">
      <alignment horizontal="center" vertical="center" wrapText="1"/>
      <protection hidden="1"/>
    </xf>
    <xf numFmtId="0" fontId="14" fillId="0" borderId="16" xfId="0" applyFont="1" applyBorder="1" applyAlignment="1" applyProtection="1">
      <alignment horizontal="center" vertical="center" wrapText="1"/>
      <protection hidden="1"/>
    </xf>
    <xf numFmtId="0" fontId="14" fillId="0" borderId="17" xfId="0" applyFont="1" applyBorder="1" applyAlignment="1" applyProtection="1">
      <alignment horizontal="center" vertical="center" wrapText="1"/>
      <protection hidden="1"/>
    </xf>
    <xf numFmtId="49" fontId="12" fillId="0" borderId="18" xfId="0" applyNumberFormat="1" applyFont="1" applyBorder="1" applyAlignment="1">
      <alignment vertical="center"/>
    </xf>
    <xf numFmtId="49" fontId="12" fillId="0" borderId="15" xfId="0" applyNumberFormat="1" applyFont="1" applyBorder="1" applyAlignment="1">
      <alignment vertical="center"/>
    </xf>
    <xf numFmtId="0" fontId="0" fillId="0" borderId="4" xfId="0" applyBorder="1" applyAlignment="1">
      <alignment vertical="center"/>
    </xf>
    <xf numFmtId="0" fontId="9" fillId="0" borderId="4" xfId="0" applyFont="1" applyBorder="1" applyAlignment="1">
      <alignment vertical="center" wrapText="1"/>
    </xf>
    <xf numFmtId="0" fontId="0" fillId="0" borderId="8" xfId="0" applyBorder="1" applyAlignment="1">
      <alignment horizontal="center" vertical="center" wrapText="1"/>
    </xf>
    <xf numFmtId="0" fontId="18" fillId="0" borderId="0" xfId="0" applyFont="1"/>
    <xf numFmtId="0" fontId="0" fillId="0" borderId="4" xfId="0" applyBorder="1" applyAlignment="1">
      <alignment horizontal="center" vertical="center"/>
    </xf>
    <xf numFmtId="0" fontId="0" fillId="0" borderId="4" xfId="0" applyBorder="1" applyAlignment="1">
      <alignment horizontal="center" vertical="center" wrapText="1"/>
    </xf>
    <xf numFmtId="0" fontId="20" fillId="0" borderId="0" xfId="0" applyFont="1" applyAlignment="1">
      <alignment horizontal="justify" vertical="center"/>
    </xf>
    <xf numFmtId="0" fontId="19" fillId="0" borderId="0" xfId="0" applyFont="1"/>
    <xf numFmtId="0" fontId="21" fillId="0" borderId="0" xfId="0" applyFont="1" applyAlignment="1">
      <alignment horizontal="center" vertical="center"/>
    </xf>
    <xf numFmtId="0" fontId="4" fillId="0" borderId="0" xfId="0" applyFont="1" applyAlignment="1">
      <alignment vertical="center" wrapText="1"/>
    </xf>
    <xf numFmtId="0" fontId="0" fillId="0" borderId="7" xfId="0" applyBorder="1" applyAlignment="1">
      <alignment horizontal="justify" vertical="center" wrapText="1"/>
    </xf>
    <xf numFmtId="0" fontId="3" fillId="0" borderId="0" xfId="0" applyFont="1"/>
    <xf numFmtId="0" fontId="0" fillId="0" borderId="7" xfId="0" applyBorder="1" applyAlignment="1">
      <alignment horizontal="justify" wrapText="1"/>
    </xf>
    <xf numFmtId="0" fontId="3" fillId="0" borderId="7" xfId="0" applyFont="1" applyBorder="1" applyAlignment="1">
      <alignment horizontal="justify" vertical="center" wrapText="1"/>
    </xf>
    <xf numFmtId="0" fontId="7" fillId="0" borderId="5" xfId="0" applyFont="1" applyBorder="1"/>
    <xf numFmtId="0" fontId="5" fillId="4" borderId="4" xfId="0" applyFont="1" applyFill="1" applyBorder="1"/>
    <xf numFmtId="0" fontId="24" fillId="0" borderId="7" xfId="0" applyFont="1" applyBorder="1" applyAlignment="1">
      <alignment horizontal="justify" wrapText="1"/>
    </xf>
    <xf numFmtId="0" fontId="22" fillId="0" borderId="7" xfId="0" applyFont="1" applyBorder="1" applyAlignment="1">
      <alignment horizontal="justify" wrapText="1"/>
    </xf>
    <xf numFmtId="0" fontId="3" fillId="0" borderId="16" xfId="0" applyFont="1" applyBorder="1" applyAlignment="1">
      <alignment vertical="center" wrapText="1"/>
    </xf>
    <xf numFmtId="0" fontId="0" fillId="0" borderId="16" xfId="0" applyBorder="1" applyAlignment="1">
      <alignment horizontal="justify" vertical="center" wrapText="1"/>
    </xf>
    <xf numFmtId="0" fontId="3" fillId="0" borderId="16" xfId="0" applyFont="1" applyBorder="1" applyAlignment="1">
      <alignment horizontal="justify" vertical="center" wrapText="1"/>
    </xf>
    <xf numFmtId="0" fontId="0" fillId="0" borderId="7" xfId="0" applyBorder="1" applyAlignment="1">
      <alignment horizontal="justify" vertical="center" wrapText="1"/>
    </xf>
    <xf numFmtId="0" fontId="9" fillId="2" borderId="7" xfId="0" applyFont="1" applyFill="1"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7" xfId="0" applyBorder="1" applyAlignment="1">
      <alignment horizontal="center" vertical="center" wrapText="1"/>
    </xf>
    <xf numFmtId="0" fontId="8" fillId="2" borderId="7" xfId="0" applyFont="1" applyFill="1" applyBorder="1" applyAlignment="1">
      <alignment horizontal="center" vertical="center"/>
    </xf>
    <xf numFmtId="0" fontId="0" fillId="0" borderId="4" xfId="0" applyBorder="1" applyAlignment="1">
      <alignment horizontal="center" vertical="center"/>
    </xf>
    <xf numFmtId="0" fontId="8" fillId="2" borderId="8" xfId="0" applyFont="1" applyFill="1" applyBorder="1" applyAlignment="1">
      <alignment horizontal="center" vertical="center"/>
    </xf>
    <xf numFmtId="0" fontId="23" fillId="0" borderId="10" xfId="0" applyFont="1" applyBorder="1"/>
    <xf numFmtId="0" fontId="23" fillId="0" borderId="9" xfId="0" applyFont="1" applyBorder="1"/>
    <xf numFmtId="0" fontId="8" fillId="3" borderId="21" xfId="0" applyFont="1" applyFill="1" applyBorder="1" applyAlignment="1">
      <alignment horizontal="center" vertical="center"/>
    </xf>
    <xf numFmtId="0" fontId="7" fillId="0" borderId="20" xfId="0" applyFont="1" applyBorder="1"/>
    <xf numFmtId="0" fontId="7" fillId="0" borderId="22" xfId="0" applyFont="1" applyBorder="1"/>
    <xf numFmtId="0" fontId="9" fillId="0" borderId="4" xfId="0" applyFont="1" applyBorder="1" applyAlignment="1">
      <alignment horizontal="center" vertical="center" wrapText="1"/>
    </xf>
    <xf numFmtId="0" fontId="5" fillId="0" borderId="10" xfId="0" applyFont="1" applyBorder="1" applyAlignment="1">
      <alignment horizontal="center"/>
    </xf>
    <xf numFmtId="0" fontId="12" fillId="0" borderId="10" xfId="0" applyFont="1" applyBorder="1" applyAlignment="1">
      <alignment horizontal="center"/>
    </xf>
    <xf numFmtId="0" fontId="5" fillId="0" borderId="13" xfId="0" applyFont="1" applyBorder="1" applyAlignment="1">
      <alignment horizontal="justify" vertical="center" wrapText="1"/>
    </xf>
    <xf numFmtId="0" fontId="9" fillId="0" borderId="13" xfId="0" applyFont="1" applyBorder="1" applyAlignment="1">
      <alignment horizontal="justify" vertical="center" wrapText="1"/>
    </xf>
    <xf numFmtId="0" fontId="12" fillId="0" borderId="13" xfId="0" applyFont="1" applyBorder="1" applyAlignment="1">
      <alignment horizontal="justify" vertical="center" wrapText="1"/>
    </xf>
    <xf numFmtId="0" fontId="11" fillId="0" borderId="7" xfId="0" applyFont="1" applyBorder="1" applyAlignment="1">
      <alignment horizontal="center" vertical="center"/>
    </xf>
    <xf numFmtId="0" fontId="9" fillId="2" borderId="7" xfId="0" applyFont="1" applyFill="1" applyBorder="1" applyAlignment="1">
      <alignment horizontal="left" vertical="center" wrapText="1"/>
    </xf>
    <xf numFmtId="14" fontId="5" fillId="0" borderId="7" xfId="0" applyNumberFormat="1" applyFont="1" applyBorder="1" applyAlignment="1">
      <alignment horizontal="center" vertical="center" wrapText="1"/>
    </xf>
    <xf numFmtId="0" fontId="9" fillId="2" borderId="8" xfId="0" applyFont="1" applyFill="1" applyBorder="1" applyAlignment="1">
      <alignment horizontal="left" vertical="center" wrapText="1"/>
    </xf>
    <xf numFmtId="0" fontId="9" fillId="2" borderId="10" xfId="0" applyFont="1" applyFill="1" applyBorder="1" applyAlignment="1">
      <alignment horizontal="left" vertical="center" wrapText="1"/>
    </xf>
    <xf numFmtId="0" fontId="9" fillId="2" borderId="11" xfId="0" applyFont="1" applyFill="1" applyBorder="1" applyAlignment="1">
      <alignment horizontal="left" vertical="center" wrapText="1"/>
    </xf>
    <xf numFmtId="0" fontId="11" fillId="0" borderId="7" xfId="0" applyFont="1" applyBorder="1" applyAlignment="1">
      <alignment horizontal="center" vertical="center" wrapText="1"/>
    </xf>
    <xf numFmtId="0" fontId="10" fillId="0" borderId="2" xfId="0" applyFont="1" applyBorder="1" applyAlignment="1">
      <alignment horizontal="center"/>
    </xf>
    <xf numFmtId="0" fontId="7" fillId="0" borderId="5" xfId="0" applyFont="1" applyBorder="1"/>
    <xf numFmtId="0" fontId="7" fillId="0" borderId="3" xfId="0" applyFont="1" applyBorder="1"/>
    <xf numFmtId="0" fontId="5" fillId="0" borderId="2" xfId="0" applyFont="1" applyBorder="1" applyAlignment="1">
      <alignment horizontal="center"/>
    </xf>
    <xf numFmtId="0" fontId="22" fillId="0" borderId="8" xfId="0" applyFont="1" applyBorder="1" applyAlignment="1">
      <alignment horizontal="center" vertical="center" wrapText="1"/>
    </xf>
    <xf numFmtId="0" fontId="22" fillId="0" borderId="9"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9" xfId="0" applyFont="1" applyBorder="1" applyAlignment="1">
      <alignment horizontal="center" vertical="center" wrapText="1"/>
    </xf>
    <xf numFmtId="0" fontId="7" fillId="0" borderId="8" xfId="0" applyFont="1" applyBorder="1" applyAlignment="1">
      <alignment horizontal="center" vertical="center" wrapText="1"/>
    </xf>
    <xf numFmtId="0" fontId="7" fillId="0" borderId="9" xfId="0" applyFont="1" applyBorder="1" applyAlignment="1">
      <alignment horizontal="center" vertical="center" wrapText="1"/>
    </xf>
    <xf numFmtId="0" fontId="25" fillId="0" borderId="8" xfId="0" applyFont="1" applyBorder="1" applyAlignment="1">
      <alignment horizontal="justify" vertical="center"/>
    </xf>
    <xf numFmtId="0" fontId="5" fillId="0" borderId="10" xfId="0" applyFont="1" applyBorder="1" applyAlignment="1">
      <alignment horizontal="justify" vertical="center"/>
    </xf>
    <xf numFmtId="0" fontId="5" fillId="0" borderId="9" xfId="0" applyFont="1" applyBorder="1" applyAlignment="1">
      <alignment horizontal="justify" vertical="center"/>
    </xf>
    <xf numFmtId="0" fontId="9" fillId="2" borderId="8"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9" fillId="2" borderId="11" xfId="0" applyFont="1" applyFill="1" applyBorder="1" applyAlignment="1">
      <alignment horizontal="center" vertical="center" wrapText="1"/>
    </xf>
    <xf numFmtId="0" fontId="5" fillId="0" borderId="7" xfId="0" applyFont="1" applyBorder="1" applyAlignment="1">
      <alignment horizontal="center" vertical="center"/>
    </xf>
    <xf numFmtId="0" fontId="25" fillId="0" borderId="7" xfId="0" applyFont="1" applyBorder="1" applyAlignment="1">
      <alignment horizontal="center" vertical="center" wrapText="1"/>
    </xf>
    <xf numFmtId="0" fontId="5" fillId="0" borderId="7" xfId="0" applyFont="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center" vertical="center"/>
    </xf>
    <xf numFmtId="49" fontId="26" fillId="0" borderId="7" xfId="0" applyNumberFormat="1" applyFont="1" applyBorder="1" applyAlignment="1">
      <alignment horizontal="left" vertical="center" wrapText="1"/>
    </xf>
    <xf numFmtId="49" fontId="12" fillId="0" borderId="7" xfId="0" applyNumberFormat="1" applyFont="1" applyBorder="1" applyAlignment="1">
      <alignment horizontal="left" vertical="center" wrapText="1"/>
    </xf>
    <xf numFmtId="0" fontId="9" fillId="2" borderId="9" xfId="0" applyFont="1" applyFill="1" applyBorder="1" applyAlignment="1">
      <alignment horizontal="center" vertical="center" wrapText="1"/>
    </xf>
    <xf numFmtId="0" fontId="8" fillId="0" borderId="4" xfId="0" applyFont="1" applyBorder="1" applyAlignment="1">
      <alignment horizontal="center" vertical="center"/>
    </xf>
    <xf numFmtId="0" fontId="9" fillId="2" borderId="16" xfId="0" applyFont="1" applyFill="1" applyBorder="1" applyAlignment="1">
      <alignment horizontal="center" vertical="center" wrapText="1"/>
    </xf>
    <xf numFmtId="0" fontId="25" fillId="4" borderId="7"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5" fillId="4" borderId="7" xfId="0" applyFont="1" applyFill="1" applyBorder="1" applyAlignment="1">
      <alignment horizontal="center" vertical="center"/>
    </xf>
    <xf numFmtId="0" fontId="5" fillId="0" borderId="17"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9" xfId="0" applyFont="1" applyBorder="1" applyAlignment="1">
      <alignment horizontal="center" vertical="center" wrapText="1"/>
    </xf>
    <xf numFmtId="0" fontId="0" fillId="0" borderId="18" xfId="0" applyBorder="1" applyAlignment="1">
      <alignment horizontal="center"/>
    </xf>
    <xf numFmtId="0" fontId="2" fillId="0" borderId="7" xfId="0" applyFont="1" applyBorder="1" applyAlignment="1">
      <alignment horizontal="center" vertical="center" wrapText="1"/>
    </xf>
    <xf numFmtId="49" fontId="12" fillId="0" borderId="4" xfId="0" applyNumberFormat="1" applyFont="1" applyBorder="1" applyAlignment="1">
      <alignment horizontal="center" vertical="center"/>
    </xf>
    <xf numFmtId="0" fontId="2" fillId="0" borderId="8" xfId="0" applyFont="1" applyBorder="1" applyAlignment="1">
      <alignment horizontal="center" vertical="center" wrapText="1"/>
    </xf>
    <xf numFmtId="0" fontId="0" fillId="0" borderId="9" xfId="0" applyBorder="1" applyAlignment="1">
      <alignment horizontal="center" vertical="center" wrapText="1"/>
    </xf>
    <xf numFmtId="0" fontId="0" fillId="0" borderId="7" xfId="0" applyBorder="1" applyAlignment="1">
      <alignment horizontal="center" vertical="center"/>
    </xf>
    <xf numFmtId="0" fontId="15" fillId="0" borderId="13" xfId="0" applyFont="1" applyBorder="1" applyAlignment="1">
      <alignment horizontal="justify" vertical="center" wrapText="1"/>
    </xf>
    <xf numFmtId="0" fontId="16" fillId="0" borderId="13" xfId="0" applyFont="1" applyBorder="1" applyAlignment="1">
      <alignment horizontal="justify" vertical="center" wrapText="1"/>
    </xf>
    <xf numFmtId="0" fontId="5" fillId="0" borderId="31" xfId="0" applyFont="1" applyBorder="1" applyAlignment="1">
      <alignment horizontal="justify" vertical="center" wrapText="1"/>
    </xf>
    <xf numFmtId="0" fontId="5" fillId="0" borderId="6" xfId="0" applyFont="1" applyBorder="1" applyAlignment="1">
      <alignment horizontal="justify" vertical="center" wrapText="1"/>
    </xf>
    <xf numFmtId="0" fontId="5" fillId="0" borderId="26" xfId="0" applyFont="1" applyBorder="1" applyAlignment="1">
      <alignment horizontal="justify" vertical="center" wrapText="1"/>
    </xf>
    <xf numFmtId="0" fontId="5" fillId="0" borderId="32" xfId="0" applyFont="1" applyBorder="1" applyAlignment="1">
      <alignment horizontal="justify" vertical="center" wrapText="1"/>
    </xf>
    <xf numFmtId="0" fontId="5" fillId="0" borderId="20" xfId="0" applyFont="1" applyBorder="1" applyAlignment="1">
      <alignment horizontal="justify" vertical="center" wrapText="1"/>
    </xf>
    <xf numFmtId="0" fontId="5" fillId="0" borderId="22" xfId="0" applyFont="1" applyBorder="1" applyAlignment="1">
      <alignment horizontal="justify" vertical="center" wrapText="1"/>
    </xf>
    <xf numFmtId="0" fontId="8" fillId="0" borderId="6" xfId="0" applyFont="1" applyBorder="1" applyAlignment="1">
      <alignment horizontal="center" vertical="center"/>
    </xf>
    <xf numFmtId="0" fontId="8" fillId="0" borderId="26" xfId="0" applyFont="1" applyBorder="1" applyAlignment="1">
      <alignment horizontal="center" vertical="center"/>
    </xf>
    <xf numFmtId="0" fontId="0" fillId="0" borderId="4" xfId="0" applyBorder="1" applyAlignment="1">
      <alignment horizontal="center"/>
    </xf>
    <xf numFmtId="0" fontId="6" fillId="5" borderId="7"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5" fillId="0" borderId="29" xfId="0" applyFont="1" applyBorder="1" applyAlignment="1">
      <alignment horizontal="center" vertical="center" wrapText="1"/>
    </xf>
    <xf numFmtId="0" fontId="5" fillId="0" borderId="26" xfId="0" applyFont="1" applyBorder="1" applyAlignment="1">
      <alignment horizontal="center" vertical="center" wrapText="1"/>
    </xf>
    <xf numFmtId="0" fontId="7" fillId="0" borderId="5" xfId="0" applyFont="1" applyBorder="1" applyAlignment="1">
      <alignment horizont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12" fillId="0" borderId="17" xfId="0" applyFont="1" applyBorder="1" applyAlignment="1">
      <alignment horizontal="justify" vertical="center" wrapText="1"/>
    </xf>
    <xf numFmtId="0" fontId="12" fillId="0" borderId="18" xfId="0" applyFont="1" applyBorder="1" applyAlignment="1">
      <alignment horizontal="justify" vertical="center" wrapText="1"/>
    </xf>
    <xf numFmtId="0" fontId="12" fillId="0" borderId="15" xfId="0" applyFont="1" applyBorder="1" applyAlignment="1">
      <alignment horizontal="justify" vertical="center" wrapText="1"/>
    </xf>
    <xf numFmtId="0" fontId="12" fillId="0" borderId="14" xfId="0" applyFont="1" applyBorder="1" applyAlignment="1">
      <alignment horizontal="justify" vertical="center" wrapText="1"/>
    </xf>
    <xf numFmtId="0" fontId="12" fillId="0" borderId="25" xfId="0" applyFont="1" applyBorder="1" applyAlignment="1">
      <alignment horizontal="justify" vertical="center" wrapText="1"/>
    </xf>
    <xf numFmtId="0" fontId="12" fillId="0" borderId="12" xfId="0" applyFont="1" applyBorder="1" applyAlignment="1">
      <alignment horizontal="justify" vertical="center" wrapText="1"/>
    </xf>
    <xf numFmtId="0" fontId="5" fillId="0" borderId="16" xfId="0" applyFont="1" applyBorder="1" applyAlignment="1">
      <alignment horizontal="center" vertical="center" wrapText="1"/>
    </xf>
    <xf numFmtId="0" fontId="5" fillId="0" borderId="23" xfId="0" applyFont="1" applyBorder="1" applyAlignment="1">
      <alignment horizontal="justify" vertical="center" wrapText="1"/>
    </xf>
    <xf numFmtId="0" fontId="5" fillId="0" borderId="4" xfId="0" applyFont="1" applyBorder="1" applyAlignment="1">
      <alignment horizontal="justify" vertical="center" wrapText="1"/>
    </xf>
    <xf numFmtId="0" fontId="5" fillId="0" borderId="28" xfId="0" applyFont="1" applyBorder="1" applyAlignment="1">
      <alignment horizontal="justify" vertical="center" wrapText="1"/>
    </xf>
    <xf numFmtId="0" fontId="5" fillId="0" borderId="7" xfId="0" applyFont="1" applyBorder="1" applyAlignment="1">
      <alignment horizontal="justify" vertical="center" wrapText="1"/>
    </xf>
    <xf numFmtId="14" fontId="7" fillId="0" borderId="8" xfId="0" applyNumberFormat="1" applyFont="1" applyBorder="1" applyAlignment="1">
      <alignment horizontal="center" vertical="center" wrapText="1"/>
    </xf>
    <xf numFmtId="0" fontId="7" fillId="0" borderId="10"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20" xfId="0" applyFont="1" applyBorder="1" applyAlignment="1">
      <alignment horizontal="center" vertical="center" wrapText="1"/>
    </xf>
    <xf numFmtId="0" fontId="5" fillId="0" borderId="30" xfId="0" applyFont="1" applyBorder="1" applyAlignment="1">
      <alignment horizontal="center" vertical="center" wrapText="1"/>
    </xf>
    <xf numFmtId="0" fontId="5" fillId="0" borderId="6"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4" xfId="0" applyFont="1" applyBorder="1" applyAlignment="1">
      <alignment horizontal="center" vertical="center" wrapText="1"/>
    </xf>
    <xf numFmtId="0" fontId="5" fillId="0" borderId="24" xfId="0" applyFont="1" applyBorder="1" applyAlignment="1">
      <alignment horizontal="center" vertical="center" wrapText="1"/>
    </xf>
  </cellXfs>
  <cellStyles count="1">
    <cellStyle name="Normal" xfId="0" builtinId="0"/>
  </cellStyles>
  <dxfs count="8">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Arial"/>
        <scheme val="none"/>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50</xdr:row>
          <xdr:rowOff>28575</xdr:rowOff>
        </xdr:from>
        <xdr:to>
          <xdr:col>3</xdr:col>
          <xdr:colOff>0</xdr:colOff>
          <xdr:row>51</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Botón de Pánico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28575</xdr:rowOff>
        </xdr:from>
        <xdr:to>
          <xdr:col>3</xdr:col>
          <xdr:colOff>0</xdr:colOff>
          <xdr:row>52</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clave de alarma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28575</xdr:rowOff>
        </xdr:from>
        <xdr:to>
          <xdr:col>3</xdr:col>
          <xdr:colOff>0</xdr:colOff>
          <xdr:row>53</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llaves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28575</xdr:rowOff>
        </xdr:from>
        <xdr:to>
          <xdr:col>3</xdr:col>
          <xdr:colOff>0</xdr:colOff>
          <xdr:row>54</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Huella de ingreso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28575</xdr:rowOff>
        </xdr:from>
        <xdr:to>
          <xdr:col>3</xdr:col>
          <xdr:colOff>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Clave de ingreso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28575</xdr:rowOff>
        </xdr:from>
        <xdr:to>
          <xdr:col>3</xdr:col>
          <xdr:colOff>0</xdr:colOff>
          <xdr:row>56</xdr:row>
          <xdr:rowOff>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cámaras de seguridad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28575</xdr:rowOff>
        </xdr:from>
        <xdr:to>
          <xdr:col>3</xdr:col>
          <xdr:colOff>0</xdr:colOff>
          <xdr:row>57</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Radio de telecomunicaciones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28575</xdr:rowOff>
        </xdr:from>
        <xdr:to>
          <xdr:col>3</xdr:col>
          <xdr:colOff>0</xdr:colOff>
          <xdr:row>58</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Celular 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28575</xdr:rowOff>
        </xdr:from>
        <xdr:to>
          <xdr:col>3</xdr:col>
          <xdr:colOff>0</xdr:colOff>
          <xdr:row>59</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50</xdr:row>
          <xdr:rowOff>19050</xdr:rowOff>
        </xdr:from>
        <xdr:to>
          <xdr:col>8</xdr:col>
          <xdr:colOff>314325</xdr:colOff>
          <xdr:row>50</xdr:row>
          <xdr:rowOff>152400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Casco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51</xdr:row>
          <xdr:rowOff>28575</xdr:rowOff>
        </xdr:from>
        <xdr:to>
          <xdr:col>8</xdr:col>
          <xdr:colOff>314325</xdr:colOff>
          <xdr:row>52</xdr:row>
          <xdr:rowOff>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Gafas de seguridad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52</xdr:row>
          <xdr:rowOff>28575</xdr:rowOff>
        </xdr:from>
        <xdr:to>
          <xdr:col>8</xdr:col>
          <xdr:colOff>314325</xdr:colOff>
          <xdr:row>53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Guantes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53</xdr:row>
          <xdr:rowOff>28575</xdr:rowOff>
        </xdr:from>
        <xdr:to>
          <xdr:col>8</xdr:col>
          <xdr:colOff>314325</xdr:colOff>
          <xdr:row>54</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Protección auditiva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54</xdr:row>
          <xdr:rowOff>28575</xdr:rowOff>
        </xdr:from>
        <xdr:to>
          <xdr:col>8</xdr:col>
          <xdr:colOff>314325</xdr:colOff>
          <xdr:row>55</xdr:row>
          <xdr:rowOff>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Protección respiratoria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55</xdr:row>
          <xdr:rowOff>28575</xdr:rowOff>
        </xdr:from>
        <xdr:to>
          <xdr:col>8</xdr:col>
          <xdr:colOff>314325</xdr:colOff>
          <xdr:row>56</xdr:row>
          <xdr:rowOff>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Equipo de protección contra caídas (EPCC)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56</xdr:row>
          <xdr:rowOff>28575</xdr:rowOff>
        </xdr:from>
        <xdr:to>
          <xdr:col>8</xdr:col>
          <xdr:colOff>314325</xdr:colOff>
          <xdr:row>57</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Equipo de protección guadañador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57</xdr:row>
          <xdr:rowOff>28575</xdr:rowOff>
        </xdr:from>
        <xdr:to>
          <xdr:col>8</xdr:col>
          <xdr:colOff>314325</xdr:colOff>
          <xdr:row>58</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EPP ergonómico oficina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58</xdr:row>
          <xdr:rowOff>28575</xdr:rowOff>
        </xdr:from>
        <xdr:to>
          <xdr:col>8</xdr:col>
          <xdr:colOff>314325</xdr:colOff>
          <xdr:row>59</xdr:row>
          <xdr:rowOff>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59</xdr:row>
          <xdr:rowOff>28575</xdr:rowOff>
        </xdr:from>
        <xdr:to>
          <xdr:col>8</xdr:col>
          <xdr:colOff>314325</xdr:colOff>
          <xdr:row>60</xdr:row>
          <xdr:rowOff>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Otro(s) ¿Cuál (es)?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28575</xdr:rowOff>
        </xdr:from>
        <xdr:to>
          <xdr:col>3</xdr:col>
          <xdr:colOff>0</xdr:colOff>
          <xdr:row>60</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Otro (s) ¿Cuál (es)?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28575</xdr:rowOff>
        </xdr:from>
        <xdr:to>
          <xdr:col>3</xdr:col>
          <xdr:colOff>0</xdr:colOff>
          <xdr:row>66</xdr:row>
          <xdr:rowOff>161925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solidFill>
              <a:srgbClr val="FF0000" mc:Ignorable="a14" a14:legacySpreadsheetColorIndex="1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Centro de Monitoreo del CCTV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67</xdr:row>
          <xdr:rowOff>28575</xdr:rowOff>
        </xdr:from>
        <xdr:to>
          <xdr:col>3</xdr:col>
          <xdr:colOff>0</xdr:colOff>
          <xdr:row>67</xdr:row>
          <xdr:rowOff>161925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solidFill>
              <a:srgbClr val="00FFFF" mc:Ignorable="a14" a14:legacySpreadsheetColorIndex="1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Archivo de la Compañía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68</xdr:row>
          <xdr:rowOff>28575</xdr:rowOff>
        </xdr:from>
        <xdr:to>
          <xdr:col>3</xdr:col>
          <xdr:colOff>0</xdr:colOff>
          <xdr:row>68</xdr:row>
          <xdr:rowOff>161925</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solidFill>
              <a:srgbClr val="008000" mc:Ignorable="a14" a14:legacySpreadsheetColorIndex="1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Área de Operaciones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69</xdr:row>
          <xdr:rowOff>28575</xdr:rowOff>
        </xdr:from>
        <xdr:to>
          <xdr:col>3</xdr:col>
          <xdr:colOff>0</xdr:colOff>
          <xdr:row>69</xdr:row>
          <xdr:rowOff>161925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solidFill>
              <a:srgbClr val="008080" mc:Ignorable="a14" a14:legacySpreadsheetColorIndex="2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Rack de Sistemas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70</xdr:row>
          <xdr:rowOff>28575</xdr:rowOff>
        </xdr:from>
        <xdr:to>
          <xdr:col>3</xdr:col>
          <xdr:colOff>0</xdr:colOff>
          <xdr:row>70</xdr:row>
          <xdr:rowOff>161925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solidFill>
              <a:srgbClr val="800080" mc:Ignorable="a14" a14:legacySpreadsheetColorIndex="3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la Gerencia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71</xdr:row>
          <xdr:rowOff>28575</xdr:rowOff>
        </xdr:from>
        <xdr:to>
          <xdr:col>3</xdr:col>
          <xdr:colOff>0</xdr:colOff>
          <xdr:row>71</xdr:row>
          <xdr:rowOff>161925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la Administración 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72</xdr:row>
          <xdr:rowOff>28575</xdr:rowOff>
        </xdr:from>
        <xdr:to>
          <xdr:col>3</xdr:col>
          <xdr:colOff>0</xdr:colOff>
          <xdr:row>72</xdr:row>
          <xdr:rowOff>161925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Contabilidad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66</xdr:row>
          <xdr:rowOff>19050</xdr:rowOff>
        </xdr:from>
        <xdr:to>
          <xdr:col>8</xdr:col>
          <xdr:colOff>514350</xdr:colOff>
          <xdr:row>66</xdr:row>
          <xdr:rowOff>161925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12700">
              <a:solidFill>
                <a:srgbClr val="000000"/>
              </a:solidFill>
              <a:miter lim="800000"/>
              <a:headEnd/>
              <a:tailEnd/>
            </a:ln>
            <a:extLst>
              <a:ext uri="{909E8E84-426E-40DD-AFC4-6F175D3DCCD1}">
                <a14:hiddenFill>
                  <a:solidFill>
                    <a:srgbClr val="000000" mc:Ignorable="a14" a14:legacySpreadsheetColorIndex="8"/>
                  </a:solidFill>
                </a14:hiddenFill>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Perímetro Caimalito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67</xdr:row>
          <xdr:rowOff>28575</xdr:rowOff>
        </xdr:from>
        <xdr:to>
          <xdr:col>8</xdr:col>
          <xdr:colOff>514350</xdr:colOff>
          <xdr:row>67</xdr:row>
          <xdr:rowOff>171450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solidFill>
              <a:srgbClr val="993300" mc:Ignorable="a14" a14:legacySpreadsheetColorIndex="6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Conexión Etapa I y II – Quebrada la Leticia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68</xdr:row>
          <xdr:rowOff>28575</xdr:rowOff>
        </xdr:from>
        <xdr:to>
          <xdr:col>8</xdr:col>
          <xdr:colOff>314325</xdr:colOff>
          <xdr:row>68</xdr:row>
          <xdr:rowOff>161925</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Porterías de Acceso y Salida</a:t>
              </a:r>
            </a:p>
          </xdr:txBody>
        </xdr:sp>
        <xdr:clientData/>
      </xdr:twoCellAnchor>
    </mc:Choice>
    <mc:Fallback/>
  </mc:AlternateContent>
  <xdr:twoCellAnchor editAs="oneCell">
    <xdr:from>
      <xdr:col>0</xdr:col>
      <xdr:colOff>104775</xdr:colOff>
      <xdr:row>0</xdr:row>
      <xdr:rowOff>19050</xdr:rowOff>
    </xdr:from>
    <xdr:to>
      <xdr:col>1</xdr:col>
      <xdr:colOff>619125</xdr:colOff>
      <xdr:row>0</xdr:row>
      <xdr:rowOff>552450</xdr:rowOff>
    </xdr:to>
    <xdr:pic>
      <xdr:nvPicPr>
        <xdr:cNvPr id="32" name="31 Imagen">
          <a:extLst>
            <a:ext uri="{FF2B5EF4-FFF2-40B4-BE49-F238E27FC236}">
              <a16:creationId xmlns:a16="http://schemas.microsoft.com/office/drawing/2014/main" id="{00000000-0008-0000-0000-000020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19050"/>
          <a:ext cx="1181100" cy="5334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2:I28" totalsRowShown="0" headerRowDxfId="7" headerRowBorderDxfId="6" tableBorderDxfId="5" totalsRowBorderDxfId="4">
  <autoFilter ref="A2:I28" xr:uid="{00000000-0009-0000-0100-000001000000}"/>
  <tableColumns count="9">
    <tableColumn id="1" xr3:uid="{00000000-0010-0000-0000-000001000000}" name="CARGO" dataDxfId="3"/>
    <tableColumn id="2" xr3:uid="{00000000-0010-0000-0000-000002000000}" name="Proceso" dataDxfId="2"/>
    <tableColumn id="3" xr3:uid="{00000000-0010-0000-0000-000003000000}" name="Tipo de Proceso" dataDxfId="1"/>
    <tableColumn id="4" xr3:uid="{00000000-0010-0000-0000-000004000000}" name="Tipo de Proceso2" dataDxfId="0"/>
    <tableColumn id="6" xr3:uid="{00000000-0010-0000-0000-000006000000}" name="Columna1"/>
    <tableColumn id="7" xr3:uid="{00000000-0010-0000-0000-000007000000}" name="Columna2"/>
    <tableColumn id="10" xr3:uid="{00000000-0010-0000-0000-00000A000000}" name="Columna3"/>
    <tableColumn id="5" xr3:uid="{00000000-0010-0000-0000-000005000000}" name="Columna4"/>
    <tableColumn id="8" xr3:uid="{00000000-0010-0000-0000-000008000000}" name="Columna5"/>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X999"/>
  <sheetViews>
    <sheetView tabSelected="1" view="pageBreakPreview" topLeftCell="A90" zoomScaleNormal="100" zoomScaleSheetLayoutView="100" workbookViewId="0">
      <selection activeCell="N96" sqref="N96"/>
    </sheetView>
  </sheetViews>
  <sheetFormatPr baseColWidth="10" defaultColWidth="14.42578125" defaultRowHeight="15" customHeight="1" x14ac:dyDescent="0.25"/>
  <cols>
    <col min="1" max="1" width="9.7109375" customWidth="1"/>
    <col min="2" max="2" width="10.7109375" customWidth="1"/>
    <col min="3" max="3" width="9.85546875" customWidth="1"/>
    <col min="4" max="4" width="11.5703125" customWidth="1"/>
    <col min="5" max="5" width="11.28515625" customWidth="1"/>
    <col min="6" max="6" width="10.85546875" customWidth="1"/>
    <col min="7" max="7" width="8.7109375" customWidth="1"/>
    <col min="8" max="8" width="16.85546875" customWidth="1"/>
    <col min="9" max="9" width="15.28515625" customWidth="1"/>
    <col min="10" max="10" width="12.5703125" customWidth="1"/>
    <col min="11" max="11" width="10.140625" customWidth="1"/>
    <col min="12" max="12" width="9.42578125" customWidth="1"/>
    <col min="13" max="24" width="8.7109375" customWidth="1"/>
  </cols>
  <sheetData>
    <row r="1" spans="1:24" ht="47.45" customHeight="1" x14ac:dyDescent="0.25">
      <c r="A1" s="60" t="s">
        <v>150</v>
      </c>
      <c r="B1" s="60"/>
      <c r="C1" s="60"/>
      <c r="D1" s="60"/>
      <c r="E1" s="60"/>
      <c r="F1" s="60"/>
      <c r="G1" s="60"/>
      <c r="H1" s="60"/>
      <c r="I1" s="60"/>
      <c r="J1" s="60"/>
      <c r="K1" s="60"/>
      <c r="L1" s="60"/>
      <c r="M1" s="1"/>
      <c r="N1" s="1"/>
      <c r="O1" s="1"/>
      <c r="P1" s="1"/>
      <c r="Q1" s="1"/>
      <c r="R1" s="1"/>
      <c r="S1" s="1"/>
      <c r="T1" s="1"/>
      <c r="U1" s="1"/>
      <c r="V1" s="1"/>
      <c r="W1" s="1"/>
      <c r="X1" s="1"/>
    </row>
    <row r="2" spans="1:24" ht="14.25" customHeight="1" x14ac:dyDescent="0.25">
      <c r="A2" s="71" t="s">
        <v>147</v>
      </c>
      <c r="B2" s="72"/>
      <c r="C2" s="75" t="s">
        <v>143</v>
      </c>
      <c r="D2" s="76"/>
      <c r="E2" s="77"/>
      <c r="F2" s="75" t="s">
        <v>144</v>
      </c>
      <c r="G2" s="76"/>
      <c r="H2" s="77"/>
      <c r="I2" s="75" t="s">
        <v>145</v>
      </c>
      <c r="J2" s="77"/>
      <c r="K2" s="75" t="s">
        <v>146</v>
      </c>
      <c r="L2" s="77"/>
      <c r="M2" s="6"/>
      <c r="N2" s="1"/>
      <c r="O2" s="1"/>
      <c r="P2" s="1"/>
      <c r="Q2" s="1"/>
      <c r="R2" s="1"/>
      <c r="S2" s="1"/>
      <c r="T2" s="1"/>
      <c r="U2" s="1"/>
      <c r="V2" s="1"/>
      <c r="W2" s="1"/>
      <c r="X2" s="1"/>
    </row>
    <row r="3" spans="1:24" ht="14.25" customHeight="1" x14ac:dyDescent="0.25">
      <c r="A3" s="73" t="s">
        <v>142</v>
      </c>
      <c r="B3" s="74"/>
      <c r="C3" s="138">
        <v>43265</v>
      </c>
      <c r="D3" s="139"/>
      <c r="E3" s="79"/>
      <c r="F3" s="138">
        <v>44979</v>
      </c>
      <c r="G3" s="139"/>
      <c r="H3" s="79"/>
      <c r="I3" s="78">
        <v>3</v>
      </c>
      <c r="J3" s="79"/>
      <c r="K3" s="78" t="s">
        <v>148</v>
      </c>
      <c r="L3" s="79"/>
      <c r="M3" s="6"/>
      <c r="N3" s="1"/>
      <c r="O3" s="1"/>
      <c r="P3" s="1"/>
      <c r="Q3" s="1"/>
      <c r="R3" s="1"/>
      <c r="S3" s="1"/>
      <c r="T3" s="1"/>
      <c r="U3" s="1"/>
      <c r="V3" s="1"/>
      <c r="W3" s="1"/>
      <c r="X3" s="1"/>
    </row>
    <row r="4" spans="1:24" ht="4.1500000000000004" customHeight="1" x14ac:dyDescent="0.25">
      <c r="E4" s="5"/>
      <c r="F4" s="5"/>
      <c r="G4" s="5"/>
      <c r="H4" s="5"/>
      <c r="I4" s="5"/>
      <c r="J4" s="5"/>
      <c r="K4" s="5"/>
      <c r="L4" s="5"/>
      <c r="M4" s="6"/>
      <c r="N4" s="1"/>
      <c r="O4" s="1"/>
      <c r="P4" s="1"/>
      <c r="Q4" s="1"/>
      <c r="R4" s="1"/>
      <c r="S4" s="1"/>
      <c r="T4" s="1"/>
      <c r="U4" s="1"/>
      <c r="V4" s="1"/>
      <c r="W4" s="1"/>
      <c r="X4" s="1"/>
    </row>
    <row r="5" spans="1:24" ht="14.25" customHeight="1" x14ac:dyDescent="0.25">
      <c r="A5" s="61" t="s">
        <v>3</v>
      </c>
      <c r="B5" s="61"/>
      <c r="C5" s="62">
        <v>44984</v>
      </c>
      <c r="D5" s="62"/>
      <c r="E5" s="62"/>
      <c r="F5" s="62"/>
      <c r="G5" s="62"/>
      <c r="H5" s="62"/>
      <c r="I5" s="62"/>
      <c r="J5" s="62"/>
      <c r="K5" s="62"/>
      <c r="L5" s="62"/>
      <c r="M5" s="6"/>
      <c r="N5" s="1"/>
      <c r="O5" s="1"/>
      <c r="P5" s="1"/>
      <c r="Q5" s="1"/>
      <c r="R5" s="1"/>
      <c r="S5" s="1"/>
      <c r="T5" s="1"/>
      <c r="U5" s="1"/>
      <c r="V5" s="1"/>
      <c r="W5" s="1"/>
      <c r="X5" s="1"/>
    </row>
    <row r="6" spans="1:24" ht="4.1500000000000004" customHeight="1" x14ac:dyDescent="0.25">
      <c r="A6" s="7"/>
      <c r="B6" s="5"/>
      <c r="C6" s="7"/>
      <c r="D6" s="6"/>
      <c r="E6" s="6"/>
      <c r="F6" s="6"/>
      <c r="G6" s="6"/>
      <c r="H6" s="6"/>
      <c r="I6" s="6"/>
      <c r="J6" s="6"/>
      <c r="K6" s="6"/>
      <c r="L6" s="6"/>
      <c r="M6" s="6"/>
      <c r="N6" s="1"/>
      <c r="O6" s="1"/>
      <c r="P6" s="1"/>
      <c r="Q6" s="1"/>
      <c r="R6" s="1"/>
      <c r="S6" s="1"/>
      <c r="T6" s="1"/>
      <c r="U6" s="1"/>
      <c r="V6" s="1"/>
      <c r="W6" s="1"/>
      <c r="X6" s="1"/>
    </row>
    <row r="7" spans="1:24" ht="14.25" customHeight="1" x14ac:dyDescent="0.25">
      <c r="A7" s="46" t="s">
        <v>4</v>
      </c>
      <c r="B7" s="46"/>
      <c r="C7" s="46"/>
      <c r="D7" s="46"/>
      <c r="E7" s="46"/>
      <c r="F7" s="46"/>
      <c r="G7" s="46"/>
      <c r="H7" s="46"/>
      <c r="I7" s="46"/>
      <c r="J7" s="46"/>
      <c r="K7" s="46"/>
      <c r="L7" s="46"/>
      <c r="M7" s="6"/>
      <c r="N7" s="1"/>
      <c r="O7" s="1"/>
      <c r="P7" s="1"/>
      <c r="Q7" s="1"/>
      <c r="R7" s="1"/>
      <c r="S7" s="1"/>
      <c r="T7" s="1"/>
      <c r="U7" s="1"/>
      <c r="V7" s="1"/>
      <c r="W7" s="1"/>
      <c r="X7" s="1"/>
    </row>
    <row r="8" spans="1:24" ht="14.25" customHeight="1" x14ac:dyDescent="0.25">
      <c r="A8" s="63" t="s">
        <v>6</v>
      </c>
      <c r="B8" s="64"/>
      <c r="C8" s="65"/>
      <c r="D8" s="67" t="s">
        <v>13</v>
      </c>
      <c r="E8" s="68"/>
      <c r="F8" s="68"/>
      <c r="G8" s="68"/>
      <c r="H8" s="68"/>
      <c r="I8" s="68"/>
      <c r="J8" s="68"/>
      <c r="K8" s="68"/>
      <c r="L8" s="69"/>
      <c r="M8" s="1"/>
      <c r="N8" s="1"/>
      <c r="O8" s="1"/>
      <c r="P8" s="1"/>
      <c r="Q8" s="1"/>
      <c r="R8" s="1"/>
      <c r="S8" s="1"/>
      <c r="T8" s="1"/>
      <c r="U8" s="1"/>
      <c r="V8" s="1"/>
      <c r="W8" s="1"/>
      <c r="X8" s="1"/>
    </row>
    <row r="9" spans="1:24" ht="14.25" customHeight="1" x14ac:dyDescent="0.25">
      <c r="A9" s="63" t="s">
        <v>7</v>
      </c>
      <c r="B9" s="64"/>
      <c r="C9" s="65"/>
      <c r="D9" s="70" t="str">
        <f>VLOOKUP($D$8,LISTAS!$A$2:$D$28,LISTAS!B$1,0)</f>
        <v>Gestión de Operaciones</v>
      </c>
      <c r="E9" s="68"/>
      <c r="F9" s="68"/>
      <c r="G9" s="68"/>
      <c r="H9" s="68"/>
      <c r="I9" s="68"/>
      <c r="J9" s="68"/>
      <c r="K9" s="68"/>
      <c r="L9" s="69"/>
      <c r="M9" s="1"/>
      <c r="N9" s="1"/>
      <c r="O9" s="1"/>
      <c r="P9" s="1"/>
      <c r="Q9" s="1"/>
      <c r="R9" s="1"/>
      <c r="S9" s="1"/>
      <c r="T9" s="1"/>
      <c r="U9" s="1"/>
      <c r="V9" s="1"/>
      <c r="W9" s="1"/>
      <c r="X9" s="1"/>
    </row>
    <row r="10" spans="1:24" ht="14.25" customHeight="1" x14ac:dyDescent="0.25">
      <c r="A10" s="63" t="s">
        <v>42</v>
      </c>
      <c r="B10" s="64"/>
      <c r="C10" s="65"/>
      <c r="D10" s="70" t="str">
        <f>VLOOKUP($D$8,LISTAS!$A$2:$D$28,LISTAS!C$1,0)</f>
        <v>Misional</v>
      </c>
      <c r="E10" s="68"/>
      <c r="F10" s="68"/>
      <c r="G10" s="68"/>
      <c r="H10" s="68"/>
      <c r="I10" s="68"/>
      <c r="J10" s="68"/>
      <c r="K10" s="68"/>
      <c r="L10" s="69"/>
      <c r="M10" s="1"/>
      <c r="N10" s="1"/>
      <c r="O10" s="1"/>
      <c r="P10" s="1"/>
      <c r="Q10" s="1"/>
      <c r="R10" s="1"/>
      <c r="S10" s="1"/>
      <c r="T10" s="1"/>
      <c r="U10" s="1"/>
      <c r="V10" s="1"/>
      <c r="W10" s="1"/>
      <c r="X10" s="1"/>
    </row>
    <row r="11" spans="1:24" ht="14.25" customHeight="1" x14ac:dyDescent="0.25">
      <c r="A11" s="63" t="s">
        <v>5</v>
      </c>
      <c r="B11" s="64"/>
      <c r="C11" s="65"/>
      <c r="D11" s="70" t="str">
        <f>VLOOKUP($D$8,LISTAS!$A$2:$D$28,LISTAS!D$1,0)</f>
        <v>Director de Operaciones</v>
      </c>
      <c r="E11" s="68"/>
      <c r="F11" s="68"/>
      <c r="G11" s="68"/>
      <c r="H11" s="68"/>
      <c r="I11" s="68"/>
      <c r="J11" s="68"/>
      <c r="K11" s="68"/>
      <c r="L11" s="69"/>
      <c r="M11" s="1"/>
      <c r="N11" s="1"/>
      <c r="O11" s="1"/>
      <c r="P11" s="1"/>
      <c r="Q11" s="1"/>
      <c r="R11" s="1"/>
      <c r="S11" s="1"/>
      <c r="T11" s="1"/>
      <c r="U11" s="1"/>
      <c r="V11" s="1"/>
      <c r="W11" s="1"/>
      <c r="X11" s="1"/>
    </row>
    <row r="12" spans="1:24" ht="14.25" customHeight="1" x14ac:dyDescent="0.25">
      <c r="A12" s="63" t="s">
        <v>54</v>
      </c>
      <c r="B12" s="64"/>
      <c r="C12" s="65"/>
      <c r="D12" s="66" t="s">
        <v>151</v>
      </c>
      <c r="E12" s="66"/>
      <c r="F12" s="66"/>
      <c r="G12" s="66"/>
      <c r="H12" s="66"/>
      <c r="I12" s="66"/>
      <c r="J12" s="66"/>
      <c r="K12" s="66"/>
      <c r="L12" s="66"/>
      <c r="M12" s="1"/>
      <c r="N12" s="1"/>
      <c r="O12" s="1"/>
      <c r="P12" s="1"/>
      <c r="Q12" s="1"/>
      <c r="R12" s="1"/>
      <c r="S12" s="1"/>
      <c r="T12" s="1"/>
      <c r="U12" s="1"/>
      <c r="V12" s="1"/>
      <c r="W12" s="1"/>
      <c r="X12" s="1"/>
    </row>
    <row r="13" spans="1:24" ht="14.25" customHeight="1" x14ac:dyDescent="0.25">
      <c r="A13" s="63" t="s">
        <v>8</v>
      </c>
      <c r="B13" s="64"/>
      <c r="C13" s="64"/>
      <c r="D13" s="66" t="s">
        <v>151</v>
      </c>
      <c r="E13" s="66"/>
      <c r="F13" s="66"/>
      <c r="G13" s="66"/>
      <c r="H13" s="66"/>
      <c r="I13" s="66"/>
      <c r="J13" s="66"/>
      <c r="K13" s="66"/>
      <c r="L13" s="66"/>
      <c r="M13" s="1"/>
      <c r="N13" s="1"/>
      <c r="O13" s="1"/>
      <c r="P13" s="1"/>
      <c r="Q13" s="1"/>
      <c r="R13" s="1"/>
      <c r="S13" s="1"/>
      <c r="T13" s="1"/>
      <c r="U13" s="1"/>
      <c r="V13" s="1"/>
      <c r="W13" s="1"/>
      <c r="X13" s="1"/>
    </row>
    <row r="14" spans="1:24" ht="4.1500000000000004" customHeight="1" x14ac:dyDescent="0.25">
      <c r="A14" s="2"/>
      <c r="B14" s="2"/>
      <c r="C14" s="2"/>
      <c r="D14" s="2"/>
      <c r="E14" s="2"/>
      <c r="F14" s="2"/>
      <c r="G14" s="2"/>
      <c r="H14" s="2"/>
      <c r="I14" s="2"/>
      <c r="J14" s="2"/>
      <c r="K14" s="2"/>
      <c r="L14" s="2"/>
      <c r="M14" s="1"/>
      <c r="N14" s="1"/>
      <c r="O14" s="1"/>
      <c r="P14" s="1"/>
      <c r="Q14" s="1"/>
      <c r="R14" s="1"/>
      <c r="S14" s="1"/>
      <c r="T14" s="1"/>
      <c r="U14" s="1"/>
      <c r="V14" s="1"/>
      <c r="W14" s="1"/>
      <c r="X14" s="1"/>
    </row>
    <row r="15" spans="1:24" ht="14.25" customHeight="1" x14ac:dyDescent="0.25">
      <c r="A15" s="46" t="s">
        <v>55</v>
      </c>
      <c r="B15" s="46"/>
      <c r="C15" s="46"/>
      <c r="D15" s="46"/>
      <c r="E15" s="46"/>
      <c r="F15" s="46"/>
      <c r="G15" s="46"/>
      <c r="H15" s="46"/>
      <c r="I15" s="46"/>
      <c r="J15" s="46"/>
      <c r="K15" s="46"/>
      <c r="L15" s="46"/>
      <c r="M15" s="1"/>
      <c r="N15" s="1"/>
      <c r="O15" s="1"/>
      <c r="P15" s="1"/>
      <c r="Q15" s="1"/>
      <c r="R15" s="1"/>
      <c r="S15" s="1"/>
      <c r="T15" s="1"/>
      <c r="U15" s="1"/>
      <c r="V15" s="1"/>
      <c r="W15" s="1"/>
      <c r="X15" s="1"/>
    </row>
    <row r="16" spans="1:24" ht="4.1500000000000004" customHeight="1" x14ac:dyDescent="0.25">
      <c r="A16" s="54"/>
      <c r="B16" s="54"/>
      <c r="C16" s="54"/>
      <c r="D16" s="54"/>
      <c r="E16" s="54"/>
      <c r="F16" s="54"/>
      <c r="G16" s="54"/>
      <c r="H16" s="54"/>
      <c r="I16" s="54"/>
      <c r="J16" s="54"/>
      <c r="K16" s="54"/>
      <c r="L16" s="54"/>
      <c r="M16" s="1"/>
      <c r="N16" s="1"/>
      <c r="O16" s="1"/>
      <c r="P16" s="1"/>
      <c r="Q16" s="1"/>
      <c r="R16" s="1"/>
      <c r="S16" s="1"/>
      <c r="T16" s="1"/>
      <c r="U16" s="1"/>
      <c r="V16" s="1"/>
      <c r="W16" s="1"/>
      <c r="X16" s="1"/>
    </row>
    <row r="17" spans="1:24" ht="38.450000000000003" customHeight="1" x14ac:dyDescent="0.25">
      <c r="A17" s="80" t="s">
        <v>152</v>
      </c>
      <c r="B17" s="81"/>
      <c r="C17" s="81"/>
      <c r="D17" s="81"/>
      <c r="E17" s="81"/>
      <c r="F17" s="81"/>
      <c r="G17" s="81"/>
      <c r="H17" s="81"/>
      <c r="I17" s="81"/>
      <c r="J17" s="81"/>
      <c r="K17" s="81"/>
      <c r="L17" s="82"/>
      <c r="M17" s="1"/>
      <c r="N17" s="1"/>
      <c r="O17" s="1"/>
      <c r="P17" s="1"/>
      <c r="Q17" s="1"/>
      <c r="R17" s="1"/>
      <c r="S17" s="1"/>
      <c r="T17" s="1"/>
      <c r="U17" s="1"/>
      <c r="V17" s="1"/>
      <c r="W17" s="1"/>
      <c r="X17" s="1"/>
    </row>
    <row r="18" spans="1:24" ht="3" customHeight="1" x14ac:dyDescent="0.25">
      <c r="A18" s="100"/>
      <c r="B18" s="100"/>
      <c r="C18" s="100"/>
      <c r="D18" s="100"/>
      <c r="E18" s="100"/>
      <c r="F18" s="100"/>
      <c r="G18" s="100"/>
      <c r="H18" s="100"/>
      <c r="I18" s="100"/>
      <c r="J18" s="100"/>
      <c r="K18" s="100"/>
      <c r="L18" s="100"/>
      <c r="M18" s="1"/>
      <c r="N18" s="1"/>
      <c r="O18" s="1"/>
      <c r="P18" s="1"/>
      <c r="Q18" s="1"/>
      <c r="R18" s="1"/>
      <c r="S18" s="1"/>
      <c r="T18" s="1"/>
      <c r="U18" s="1"/>
      <c r="V18" s="1"/>
      <c r="W18" s="1"/>
      <c r="X18" s="1"/>
    </row>
    <row r="19" spans="1:24" x14ac:dyDescent="0.25">
      <c r="A19" s="46" t="s">
        <v>61</v>
      </c>
      <c r="B19" s="46"/>
      <c r="C19" s="46"/>
      <c r="D19" s="46"/>
      <c r="E19" s="46"/>
      <c r="F19" s="46"/>
      <c r="G19" s="46"/>
      <c r="H19" s="46"/>
      <c r="I19" s="46"/>
      <c r="J19" s="46"/>
      <c r="K19" s="46"/>
      <c r="L19" s="46"/>
      <c r="M19" s="1"/>
      <c r="N19" s="1"/>
      <c r="O19" s="1"/>
      <c r="P19" s="1"/>
      <c r="Q19" s="1"/>
      <c r="R19" s="1"/>
      <c r="S19" s="1"/>
      <c r="T19" s="1"/>
      <c r="U19" s="1"/>
      <c r="V19" s="1"/>
      <c r="W19" s="1"/>
      <c r="X19" s="1"/>
    </row>
    <row r="20" spans="1:24" ht="3.6" customHeight="1" x14ac:dyDescent="0.25">
      <c r="B20" s="18"/>
      <c r="C20" s="18"/>
      <c r="D20" s="18"/>
      <c r="E20" s="18"/>
      <c r="F20" s="18"/>
      <c r="G20" s="18"/>
      <c r="H20" s="18"/>
      <c r="I20" s="18"/>
      <c r="J20" s="18"/>
      <c r="K20" s="18"/>
      <c r="L20" s="19"/>
      <c r="M20" s="1"/>
      <c r="N20" s="1"/>
      <c r="O20" s="1"/>
      <c r="P20" s="1"/>
      <c r="Q20" s="1"/>
      <c r="R20" s="1"/>
      <c r="S20" s="1"/>
      <c r="T20" s="1"/>
      <c r="U20" s="1"/>
      <c r="V20" s="1"/>
      <c r="W20" s="1"/>
      <c r="X20" s="1"/>
    </row>
    <row r="21" spans="1:24" ht="409.5" customHeight="1" x14ac:dyDescent="0.25">
      <c r="A21" s="91" t="s">
        <v>153</v>
      </c>
      <c r="B21" s="92"/>
      <c r="C21" s="92"/>
      <c r="D21" s="92"/>
      <c r="E21" s="92"/>
      <c r="F21" s="92"/>
      <c r="G21" s="92"/>
      <c r="H21" s="92"/>
      <c r="I21" s="92"/>
      <c r="J21" s="92"/>
      <c r="K21" s="92"/>
      <c r="L21" s="92"/>
      <c r="M21" s="1"/>
      <c r="N21" s="1"/>
      <c r="O21" s="1"/>
      <c r="P21" s="1"/>
      <c r="Q21" s="1"/>
      <c r="R21" s="1"/>
      <c r="S21" s="1"/>
      <c r="T21" s="1"/>
      <c r="U21" s="1"/>
      <c r="V21" s="1"/>
      <c r="W21" s="1"/>
      <c r="X21" s="1"/>
    </row>
    <row r="22" spans="1:24" ht="4.1500000000000004" customHeight="1" x14ac:dyDescent="0.25">
      <c r="A22" s="104"/>
      <c r="B22" s="104"/>
      <c r="C22" s="104"/>
      <c r="D22" s="104"/>
      <c r="E22" s="104"/>
      <c r="F22" s="104"/>
      <c r="G22" s="104"/>
      <c r="H22" s="104"/>
      <c r="I22" s="104"/>
      <c r="J22" s="104"/>
      <c r="K22" s="104"/>
      <c r="L22" s="104"/>
      <c r="M22" s="1"/>
      <c r="N22" s="1"/>
      <c r="O22" s="1"/>
      <c r="P22" s="1"/>
      <c r="Q22" s="1"/>
      <c r="R22" s="1"/>
      <c r="S22" s="1"/>
      <c r="T22" s="1"/>
      <c r="U22" s="1"/>
      <c r="V22" s="1"/>
      <c r="W22" s="1"/>
      <c r="X22" s="1"/>
    </row>
    <row r="23" spans="1:24" x14ac:dyDescent="0.25">
      <c r="A23" s="83" t="s">
        <v>62</v>
      </c>
      <c r="B23" s="84"/>
      <c r="C23" s="84"/>
      <c r="D23" s="93"/>
      <c r="E23" s="83" t="s">
        <v>63</v>
      </c>
      <c r="F23" s="84"/>
      <c r="G23" s="84"/>
      <c r="H23" s="93"/>
      <c r="I23" s="83" t="s">
        <v>64</v>
      </c>
      <c r="J23" s="84"/>
      <c r="K23" s="84"/>
      <c r="L23" s="85"/>
      <c r="M23" s="1"/>
      <c r="N23" s="1"/>
      <c r="O23" s="1"/>
      <c r="P23" s="1"/>
      <c r="Q23" s="1"/>
      <c r="R23" s="1"/>
      <c r="S23" s="1"/>
      <c r="T23" s="1"/>
      <c r="U23" s="1"/>
      <c r="V23" s="1"/>
      <c r="W23" s="1"/>
      <c r="X23" s="1"/>
    </row>
    <row r="24" spans="1:24" ht="128.1" customHeight="1" x14ac:dyDescent="0.25">
      <c r="A24" s="96" t="s">
        <v>154</v>
      </c>
      <c r="B24" s="97"/>
      <c r="C24" s="97"/>
      <c r="D24" s="97"/>
      <c r="E24" s="96" t="s">
        <v>155</v>
      </c>
      <c r="F24" s="97"/>
      <c r="G24" s="97"/>
      <c r="H24" s="97"/>
      <c r="I24" s="96" t="s">
        <v>156</v>
      </c>
      <c r="J24" s="98"/>
      <c r="K24" s="98"/>
      <c r="L24" s="98"/>
      <c r="M24" s="1"/>
      <c r="N24" s="1"/>
      <c r="O24" s="1"/>
      <c r="P24" s="1"/>
      <c r="Q24" s="1"/>
      <c r="R24" s="1"/>
      <c r="S24" s="1"/>
      <c r="T24" s="1"/>
      <c r="U24" s="1"/>
      <c r="V24" s="1"/>
      <c r="W24" s="1"/>
      <c r="X24" s="1"/>
    </row>
    <row r="25" spans="1:24" ht="3" customHeight="1" x14ac:dyDescent="0.25">
      <c r="A25" s="99"/>
      <c r="B25" s="100"/>
      <c r="C25" s="100"/>
      <c r="D25" s="100"/>
      <c r="E25" s="100"/>
      <c r="F25" s="100"/>
      <c r="G25" s="100"/>
      <c r="H25" s="100"/>
      <c r="I25" s="100"/>
      <c r="J25" s="100"/>
      <c r="K25" s="100"/>
      <c r="L25" s="101"/>
      <c r="M25" s="1"/>
      <c r="N25" s="1"/>
      <c r="O25" s="1"/>
      <c r="P25" s="1"/>
      <c r="Q25" s="1"/>
      <c r="R25" s="1"/>
      <c r="S25" s="1"/>
      <c r="T25" s="1"/>
      <c r="U25" s="1"/>
      <c r="V25" s="1"/>
      <c r="W25" s="1"/>
      <c r="X25" s="1"/>
    </row>
    <row r="26" spans="1:24" x14ac:dyDescent="0.25">
      <c r="A26" s="46" t="s">
        <v>73</v>
      </c>
      <c r="B26" s="46"/>
      <c r="C26" s="46"/>
      <c r="D26" s="46"/>
      <c r="E26" s="46"/>
      <c r="F26" s="46"/>
      <c r="G26" s="46"/>
      <c r="H26" s="46"/>
      <c r="I26" s="46"/>
      <c r="J26" s="46"/>
      <c r="K26" s="46"/>
      <c r="L26" s="46"/>
      <c r="M26" s="1"/>
      <c r="N26" s="1"/>
      <c r="O26" s="1"/>
      <c r="P26" s="1"/>
      <c r="Q26" s="1"/>
      <c r="R26" s="1"/>
      <c r="S26" s="1"/>
      <c r="T26" s="1"/>
      <c r="U26" s="1"/>
      <c r="V26" s="1"/>
      <c r="W26" s="1"/>
      <c r="X26" s="1"/>
    </row>
    <row r="27" spans="1:24" ht="3.6" customHeight="1" x14ac:dyDescent="0.25">
      <c r="A27" s="102"/>
      <c r="B27" s="102"/>
      <c r="C27" s="102"/>
      <c r="D27" s="102"/>
      <c r="E27" s="102"/>
      <c r="F27" s="102"/>
      <c r="G27" s="102"/>
      <c r="H27" s="102"/>
      <c r="I27" s="102"/>
      <c r="J27" s="102"/>
      <c r="K27" s="102"/>
      <c r="L27" s="102"/>
      <c r="M27" s="1"/>
      <c r="N27" s="1"/>
      <c r="O27" s="1"/>
      <c r="P27" s="1"/>
      <c r="Q27" s="1"/>
      <c r="R27" s="1"/>
      <c r="S27" s="1"/>
      <c r="T27" s="1"/>
      <c r="U27" s="1"/>
      <c r="V27" s="1"/>
      <c r="W27" s="1"/>
      <c r="X27" s="1"/>
    </row>
    <row r="28" spans="1:24" ht="14.45" customHeight="1" x14ac:dyDescent="0.25">
      <c r="A28" s="42" t="s">
        <v>74</v>
      </c>
      <c r="B28" s="42"/>
      <c r="C28" s="42"/>
      <c r="D28" s="21"/>
      <c r="E28" s="83" t="s">
        <v>76</v>
      </c>
      <c r="F28" s="84"/>
      <c r="G28" s="84"/>
      <c r="H28" s="93"/>
      <c r="J28" s="42" t="s">
        <v>75</v>
      </c>
      <c r="K28" s="42"/>
      <c r="L28" s="42"/>
      <c r="M28" s="1"/>
      <c r="N28" s="1"/>
      <c r="O28" s="1"/>
      <c r="P28" s="1"/>
      <c r="Q28" s="1"/>
      <c r="R28" s="1"/>
      <c r="S28" s="1"/>
      <c r="T28" s="1"/>
      <c r="U28" s="1"/>
      <c r="V28" s="1"/>
      <c r="W28" s="1"/>
      <c r="X28" s="1"/>
    </row>
    <row r="29" spans="1:24" ht="54.95" customHeight="1" x14ac:dyDescent="0.25">
      <c r="A29" s="103" t="s">
        <v>162</v>
      </c>
      <c r="B29" s="45"/>
      <c r="C29" s="45"/>
      <c r="D29" s="20"/>
      <c r="E29" s="103" t="s">
        <v>164</v>
      </c>
      <c r="F29" s="45"/>
      <c r="G29" s="45"/>
      <c r="H29" s="45"/>
      <c r="J29" s="105" t="s">
        <v>163</v>
      </c>
      <c r="K29" s="44"/>
      <c r="L29" s="106"/>
      <c r="M29" s="1"/>
      <c r="N29" s="1"/>
      <c r="O29" s="1"/>
      <c r="P29" s="1"/>
      <c r="Q29" s="1"/>
      <c r="R29" s="1"/>
      <c r="S29" s="1"/>
      <c r="T29" s="1"/>
      <c r="U29" s="1"/>
      <c r="V29" s="1"/>
      <c r="W29" s="1"/>
      <c r="X29" s="1"/>
    </row>
    <row r="30" spans="1:24" ht="4.9000000000000004" customHeight="1" x14ac:dyDescent="0.25">
      <c r="M30" s="1"/>
      <c r="N30" s="1"/>
      <c r="O30" s="1"/>
      <c r="P30" s="1"/>
      <c r="Q30" s="1"/>
      <c r="R30" s="1"/>
      <c r="S30" s="1"/>
      <c r="T30" s="1"/>
      <c r="U30" s="1"/>
      <c r="V30" s="1"/>
      <c r="W30" s="1"/>
      <c r="X30" s="1"/>
    </row>
    <row r="31" spans="1:24" ht="36" customHeight="1" x14ac:dyDescent="0.25">
      <c r="A31" s="42" t="s">
        <v>72</v>
      </c>
      <c r="B31" s="42"/>
      <c r="C31" s="42"/>
      <c r="E31" s="83" t="s">
        <v>77</v>
      </c>
      <c r="F31" s="84"/>
      <c r="G31" s="42" t="s">
        <v>78</v>
      </c>
      <c r="H31" s="42"/>
      <c r="J31" s="8" t="s">
        <v>88</v>
      </c>
      <c r="K31" s="42" t="s">
        <v>89</v>
      </c>
      <c r="L31" s="42"/>
      <c r="M31" s="1"/>
      <c r="N31" s="1"/>
      <c r="O31" s="1"/>
      <c r="P31" s="1"/>
      <c r="Q31" s="1"/>
      <c r="R31" s="1"/>
      <c r="S31" s="1"/>
      <c r="T31" s="1"/>
      <c r="U31" s="1"/>
      <c r="V31" s="1"/>
      <c r="W31" s="1"/>
      <c r="X31" s="1"/>
    </row>
    <row r="32" spans="1:24" x14ac:dyDescent="0.25">
      <c r="A32" s="107" t="s">
        <v>165</v>
      </c>
      <c r="B32" s="107"/>
      <c r="C32" s="107"/>
      <c r="E32" s="43" t="s">
        <v>2</v>
      </c>
      <c r="F32" s="44"/>
      <c r="G32" s="45"/>
      <c r="H32" s="45"/>
      <c r="J32" s="22" t="s">
        <v>2</v>
      </c>
      <c r="K32" s="45"/>
      <c r="L32" s="45"/>
      <c r="M32" s="1"/>
      <c r="N32" s="1"/>
      <c r="O32" s="1"/>
      <c r="P32" s="1"/>
      <c r="Q32" s="1"/>
      <c r="R32" s="1"/>
      <c r="S32" s="1"/>
      <c r="T32" s="1"/>
      <c r="U32" s="1"/>
      <c r="V32" s="1"/>
      <c r="W32" s="1"/>
      <c r="X32" s="1"/>
    </row>
    <row r="33" spans="1:24" ht="4.9000000000000004" customHeight="1" x14ac:dyDescent="0.25">
      <c r="A33" s="24"/>
      <c r="B33" s="24"/>
      <c r="C33" s="24"/>
      <c r="E33" s="25"/>
      <c r="F33" s="25"/>
      <c r="G33" s="25"/>
      <c r="H33" s="25"/>
      <c r="J33" s="25"/>
      <c r="K33" s="25"/>
      <c r="L33" s="25"/>
      <c r="M33" s="1"/>
      <c r="N33" s="1"/>
      <c r="O33" s="1"/>
      <c r="P33" s="1"/>
      <c r="Q33" s="1"/>
      <c r="R33" s="1"/>
      <c r="S33" s="1"/>
      <c r="T33" s="1"/>
      <c r="U33" s="1"/>
      <c r="V33" s="1"/>
      <c r="W33" s="1"/>
      <c r="X33" s="1"/>
    </row>
    <row r="34" spans="1:24" x14ac:dyDescent="0.25">
      <c r="A34" s="46" t="s">
        <v>91</v>
      </c>
      <c r="B34" s="46"/>
      <c r="C34" s="46"/>
      <c r="D34" s="46"/>
      <c r="E34" s="46"/>
      <c r="F34" s="46"/>
      <c r="G34" s="46"/>
      <c r="H34" s="46"/>
      <c r="I34" s="46"/>
      <c r="J34" s="46"/>
      <c r="K34" s="46"/>
      <c r="L34" s="46"/>
      <c r="M34" s="1"/>
      <c r="N34" s="1"/>
      <c r="O34" s="1"/>
      <c r="P34" s="1"/>
      <c r="Q34" s="1"/>
      <c r="R34" s="1"/>
      <c r="S34" s="1"/>
      <c r="T34" s="1"/>
      <c r="U34" s="1"/>
      <c r="V34" s="1"/>
      <c r="W34" s="1"/>
      <c r="X34" s="1"/>
    </row>
    <row r="35" spans="1:24" ht="3.6" customHeight="1" x14ac:dyDescent="0.25">
      <c r="A35" s="24"/>
      <c r="B35" s="24"/>
      <c r="C35" s="24"/>
      <c r="E35" s="25"/>
      <c r="F35" s="25"/>
      <c r="G35" s="25"/>
      <c r="H35" s="25"/>
      <c r="J35" s="25"/>
      <c r="K35" s="25"/>
      <c r="L35" s="25"/>
      <c r="M35" s="1"/>
      <c r="N35" s="1"/>
      <c r="O35" s="1"/>
      <c r="P35" s="1"/>
      <c r="Q35" s="1"/>
      <c r="R35" s="1"/>
      <c r="S35" s="1"/>
      <c r="T35" s="1"/>
      <c r="U35" s="1"/>
      <c r="V35" s="1"/>
      <c r="W35" s="1"/>
      <c r="X35" s="1"/>
    </row>
    <row r="36" spans="1:24" x14ac:dyDescent="0.25">
      <c r="A36" s="42" t="s">
        <v>96</v>
      </c>
      <c r="B36" s="42"/>
      <c r="C36" s="42"/>
      <c r="D36" s="42"/>
      <c r="E36" s="42"/>
      <c r="F36" s="42"/>
      <c r="G36" s="42" t="s">
        <v>93</v>
      </c>
      <c r="H36" s="42"/>
      <c r="I36" s="42"/>
      <c r="J36" s="42"/>
      <c r="K36" s="42"/>
      <c r="L36" s="42"/>
      <c r="M36" s="1"/>
      <c r="N36" s="1"/>
      <c r="O36" s="1"/>
      <c r="P36" s="1"/>
      <c r="Q36" s="1"/>
      <c r="R36" s="1"/>
      <c r="S36" s="1"/>
      <c r="T36" s="1"/>
      <c r="U36" s="1"/>
      <c r="V36" s="1"/>
      <c r="W36" s="1"/>
      <c r="X36" s="1"/>
    </row>
    <row r="37" spans="1:24" ht="3.6" customHeight="1" x14ac:dyDescent="0.25">
      <c r="A37" s="47"/>
      <c r="B37" s="47"/>
      <c r="C37" s="47"/>
      <c r="D37" s="47"/>
      <c r="E37" s="47"/>
      <c r="F37" s="47"/>
      <c r="G37" s="47"/>
      <c r="H37" s="47"/>
      <c r="I37" s="47"/>
      <c r="J37" s="47"/>
      <c r="K37" s="47"/>
      <c r="L37" s="47"/>
      <c r="M37" s="1"/>
      <c r="N37" s="1"/>
      <c r="O37" s="1"/>
      <c r="P37" s="1"/>
      <c r="Q37" s="1"/>
      <c r="R37" s="1"/>
      <c r="S37" s="1"/>
      <c r="T37" s="1"/>
      <c r="U37" s="1"/>
      <c r="V37" s="1"/>
      <c r="W37" s="1"/>
      <c r="X37" s="1"/>
    </row>
    <row r="38" spans="1:24" ht="67.900000000000006" customHeight="1" x14ac:dyDescent="0.25">
      <c r="A38" s="41" t="str">
        <f>IF($D$13="SI",LISTAS!B32,"NO APLICA")</f>
        <v>• No presentar ningún antecedente
• No presentar resultado positivo en pruebas de consumo
• Resultado satisfactorio en la prueba de confiabilidad.
• Concepto favorable en visitas domiciliarias.</v>
      </c>
      <c r="B38" s="41"/>
      <c r="C38" s="41"/>
      <c r="D38" s="41"/>
      <c r="E38" s="41"/>
      <c r="F38" s="41"/>
      <c r="G38" s="41" t="str">
        <f>IF($D$13="SI",LISTAS!C32,"NO APLICA")</f>
        <v>• No presentar resultado positivo en pruebas de consumo
• Concepto médico ocupacional favorable para la realización de la labor</v>
      </c>
      <c r="H38" s="41"/>
      <c r="I38" s="41"/>
      <c r="J38" s="41"/>
      <c r="K38" s="41"/>
      <c r="L38" s="41"/>
      <c r="M38" s="1"/>
      <c r="N38" s="1"/>
      <c r="O38" s="1"/>
      <c r="P38" s="1"/>
      <c r="Q38" s="1"/>
      <c r="R38" s="1"/>
      <c r="S38" s="1"/>
      <c r="T38" s="1"/>
      <c r="U38" s="1"/>
      <c r="V38" s="1"/>
      <c r="W38" s="1"/>
      <c r="X38" s="1"/>
    </row>
    <row r="39" spans="1:24" ht="3" customHeight="1" x14ac:dyDescent="0.25">
      <c r="A39" s="24"/>
      <c r="B39" s="24"/>
      <c r="C39" s="24"/>
      <c r="E39" s="25"/>
      <c r="F39" s="25"/>
      <c r="G39" s="25"/>
      <c r="H39" s="25"/>
      <c r="J39" s="25"/>
      <c r="K39" s="25"/>
      <c r="L39" s="25"/>
      <c r="M39" s="1"/>
      <c r="N39" s="1"/>
      <c r="O39" s="1"/>
      <c r="P39" s="1"/>
      <c r="Q39" s="1"/>
      <c r="R39" s="1"/>
      <c r="S39" s="1"/>
      <c r="T39" s="1"/>
      <c r="U39" s="1"/>
      <c r="V39" s="1"/>
      <c r="W39" s="1"/>
      <c r="X39" s="1"/>
    </row>
    <row r="40" spans="1:24" x14ac:dyDescent="0.25">
      <c r="A40" s="46" t="s">
        <v>65</v>
      </c>
      <c r="B40" s="46"/>
      <c r="C40" s="46"/>
      <c r="D40" s="46"/>
      <c r="E40" s="46"/>
      <c r="F40" s="46"/>
      <c r="G40" s="46"/>
      <c r="H40" s="46"/>
      <c r="I40" s="46"/>
      <c r="J40" s="46"/>
      <c r="K40" s="46"/>
      <c r="L40" s="46"/>
      <c r="M40" s="1"/>
      <c r="N40" s="1"/>
      <c r="O40" s="1"/>
      <c r="P40" s="1"/>
      <c r="Q40" s="1"/>
      <c r="R40" s="1"/>
      <c r="S40" s="1"/>
      <c r="T40" s="1"/>
      <c r="U40" s="1"/>
      <c r="V40" s="1"/>
      <c r="W40" s="1"/>
      <c r="X40" s="1"/>
    </row>
    <row r="41" spans="1:24" ht="2.4500000000000002" customHeight="1" x14ac:dyDescent="0.25">
      <c r="A41" s="4"/>
      <c r="B41" s="4"/>
      <c r="C41" s="4"/>
      <c r="D41" s="3"/>
      <c r="E41" s="3"/>
      <c r="F41" s="3"/>
      <c r="G41" s="3"/>
      <c r="H41" s="3"/>
      <c r="I41" s="3"/>
      <c r="J41" s="3"/>
      <c r="K41" s="3"/>
      <c r="L41" s="3"/>
      <c r="M41" s="1"/>
      <c r="N41" s="1"/>
      <c r="O41" s="1"/>
      <c r="P41" s="1"/>
      <c r="Q41" s="1"/>
      <c r="R41" s="1"/>
      <c r="S41" s="1"/>
      <c r="T41" s="1"/>
      <c r="U41" s="1"/>
      <c r="V41" s="1"/>
      <c r="W41" s="1"/>
      <c r="X41" s="1"/>
    </row>
    <row r="42" spans="1:24" x14ac:dyDescent="0.25">
      <c r="A42" s="83" t="s">
        <v>66</v>
      </c>
      <c r="B42" s="84"/>
      <c r="C42" s="85"/>
      <c r="D42" s="83" t="s">
        <v>67</v>
      </c>
      <c r="E42" s="84"/>
      <c r="F42" s="85"/>
      <c r="G42" s="83" t="s">
        <v>68</v>
      </c>
      <c r="H42" s="84"/>
      <c r="I42" s="85"/>
      <c r="J42" s="83" t="s">
        <v>69</v>
      </c>
      <c r="K42" s="84"/>
      <c r="L42" s="85"/>
      <c r="M42" s="1"/>
      <c r="N42" s="1"/>
      <c r="O42" s="1"/>
      <c r="P42" s="1"/>
      <c r="Q42" s="1"/>
      <c r="R42" s="1"/>
      <c r="S42" s="1"/>
      <c r="T42" s="1"/>
      <c r="U42" s="1"/>
      <c r="V42" s="1"/>
      <c r="W42" s="1"/>
      <c r="X42" s="1"/>
    </row>
    <row r="43" spans="1:24" ht="42" customHeight="1" x14ac:dyDescent="0.25">
      <c r="A43" s="86" t="s">
        <v>70</v>
      </c>
      <c r="B43" s="86"/>
      <c r="C43" s="86"/>
      <c r="D43" s="87" t="s">
        <v>157</v>
      </c>
      <c r="E43" s="88"/>
      <c r="F43" s="88"/>
      <c r="G43" s="89" t="s">
        <v>158</v>
      </c>
      <c r="H43" s="90"/>
      <c r="I43" s="90"/>
      <c r="J43" s="89" t="s">
        <v>159</v>
      </c>
      <c r="K43" s="89"/>
      <c r="L43" s="89"/>
      <c r="M43" s="1"/>
      <c r="N43" s="1"/>
      <c r="O43" s="1"/>
      <c r="P43" s="1"/>
      <c r="Q43" s="1"/>
      <c r="R43" s="1"/>
      <c r="S43" s="1"/>
      <c r="T43" s="1"/>
      <c r="U43" s="1"/>
      <c r="V43" s="1"/>
      <c r="W43" s="1"/>
      <c r="X43" s="1"/>
    </row>
    <row r="44" spans="1:24" ht="56.45" customHeight="1" x14ac:dyDescent="0.25">
      <c r="A44" s="86" t="s">
        <v>71</v>
      </c>
      <c r="B44" s="86"/>
      <c r="C44" s="86"/>
      <c r="D44" s="87" t="s">
        <v>160</v>
      </c>
      <c r="E44" s="88"/>
      <c r="F44" s="88"/>
      <c r="G44" s="90" t="s">
        <v>161</v>
      </c>
      <c r="H44" s="90"/>
      <c r="I44" s="90"/>
      <c r="J44" s="89" t="s">
        <v>159</v>
      </c>
      <c r="K44" s="89"/>
      <c r="L44" s="89"/>
      <c r="M44" s="1"/>
      <c r="N44" s="1"/>
      <c r="O44" s="1"/>
      <c r="P44" s="1"/>
      <c r="Q44" s="1"/>
      <c r="R44" s="1"/>
      <c r="S44" s="1"/>
      <c r="T44" s="1"/>
      <c r="U44" s="1"/>
      <c r="V44" s="1"/>
      <c r="W44" s="1"/>
      <c r="X44" s="1"/>
    </row>
    <row r="45" spans="1:24" ht="3" customHeight="1" x14ac:dyDescent="0.25">
      <c r="A45" s="24"/>
      <c r="B45" s="24"/>
      <c r="C45" s="24"/>
      <c r="E45" s="25"/>
      <c r="F45" s="25"/>
      <c r="G45" s="25"/>
      <c r="H45" s="25"/>
      <c r="J45" s="25"/>
      <c r="K45" s="25"/>
      <c r="L45" s="25"/>
      <c r="M45" s="1"/>
      <c r="N45" s="1"/>
      <c r="O45" s="1"/>
      <c r="P45" s="1"/>
      <c r="Q45" s="1"/>
      <c r="R45" s="1"/>
      <c r="S45" s="1"/>
      <c r="T45" s="1"/>
      <c r="U45" s="1"/>
      <c r="V45" s="1"/>
      <c r="W45" s="1"/>
      <c r="X45" s="1"/>
    </row>
    <row r="46" spans="1:24" ht="3" customHeight="1" x14ac:dyDescent="0.25">
      <c r="M46" s="1"/>
      <c r="N46" s="1"/>
      <c r="O46" s="1"/>
      <c r="P46" s="1"/>
      <c r="Q46" s="1"/>
      <c r="R46" s="1"/>
      <c r="S46" s="1"/>
      <c r="T46" s="1"/>
      <c r="U46" s="1"/>
      <c r="V46" s="1"/>
      <c r="W46" s="1"/>
      <c r="X46" s="1"/>
    </row>
    <row r="47" spans="1:24" ht="14.25" customHeight="1" x14ac:dyDescent="0.25">
      <c r="A47" s="46" t="s">
        <v>56</v>
      </c>
      <c r="B47" s="46"/>
      <c r="C47" s="46"/>
      <c r="D47" s="46"/>
      <c r="E47" s="46"/>
      <c r="F47" s="46"/>
      <c r="G47" s="46"/>
      <c r="H47" s="46"/>
      <c r="I47" s="46"/>
      <c r="J47" s="46"/>
      <c r="K47" s="46"/>
      <c r="L47" s="46"/>
      <c r="M47" s="1"/>
      <c r="N47" s="1"/>
      <c r="O47" s="1"/>
      <c r="P47" s="1"/>
      <c r="Q47" s="1"/>
      <c r="R47" s="1"/>
      <c r="S47" s="1"/>
      <c r="T47" s="1"/>
      <c r="U47" s="1"/>
      <c r="V47" s="1"/>
      <c r="W47" s="1"/>
      <c r="X47" s="1"/>
    </row>
    <row r="48" spans="1:24" ht="3" customHeight="1" x14ac:dyDescent="0.25">
      <c r="A48" s="94"/>
      <c r="B48" s="94"/>
      <c r="C48" s="94"/>
      <c r="D48" s="94"/>
      <c r="E48" s="94"/>
      <c r="F48" s="94"/>
      <c r="G48" s="94"/>
      <c r="H48" s="94"/>
      <c r="I48" s="94"/>
      <c r="J48" s="94"/>
      <c r="K48" s="94"/>
      <c r="L48" s="94"/>
      <c r="M48" s="1"/>
      <c r="N48" s="1"/>
      <c r="O48" s="1"/>
      <c r="P48" s="1"/>
      <c r="Q48" s="1"/>
      <c r="R48" s="1"/>
      <c r="S48" s="1"/>
      <c r="T48" s="1"/>
      <c r="U48" s="1"/>
      <c r="V48" s="1"/>
      <c r="W48" s="1"/>
      <c r="X48" s="1"/>
    </row>
    <row r="49" spans="1:24" ht="14.25" customHeight="1" x14ac:dyDescent="0.25">
      <c r="A49" s="95" t="s">
        <v>57</v>
      </c>
      <c r="B49" s="95"/>
      <c r="C49" s="95"/>
      <c r="D49" s="95"/>
      <c r="E49" s="95"/>
      <c r="F49" s="95"/>
      <c r="G49" s="95" t="s">
        <v>58</v>
      </c>
      <c r="H49" s="95"/>
      <c r="I49" s="95"/>
      <c r="J49" s="95"/>
      <c r="K49" s="95"/>
      <c r="L49" s="95"/>
      <c r="M49" s="1"/>
      <c r="N49" s="1"/>
      <c r="O49" s="1"/>
      <c r="P49" s="1"/>
      <c r="Q49" s="1"/>
      <c r="R49" s="1"/>
      <c r="S49" s="1"/>
      <c r="T49" s="1"/>
      <c r="U49" s="1"/>
      <c r="V49" s="1"/>
      <c r="W49" s="1"/>
      <c r="X49" s="1"/>
    </row>
    <row r="50" spans="1:24" ht="3.6" customHeight="1" x14ac:dyDescent="0.25">
      <c r="A50" s="55"/>
      <c r="B50" s="55"/>
      <c r="C50" s="55"/>
      <c r="D50" s="55"/>
      <c r="E50" s="55"/>
      <c r="F50" s="55"/>
      <c r="G50" s="56"/>
      <c r="H50" s="56"/>
      <c r="I50" s="56"/>
      <c r="J50" s="56"/>
      <c r="K50" s="56"/>
      <c r="L50" s="56"/>
      <c r="M50" s="1"/>
      <c r="N50" s="1"/>
      <c r="O50" s="1"/>
      <c r="P50" s="1"/>
      <c r="Q50" s="1"/>
      <c r="R50" s="1"/>
      <c r="S50" s="1"/>
      <c r="T50" s="1"/>
      <c r="U50" s="1"/>
      <c r="V50" s="1"/>
      <c r="W50" s="1"/>
      <c r="X50" s="1"/>
    </row>
    <row r="51" spans="1:24" ht="13.15" customHeight="1" x14ac:dyDescent="0.25">
      <c r="A51" s="57"/>
      <c r="B51" s="57"/>
      <c r="C51" s="57"/>
      <c r="D51" s="57"/>
      <c r="E51" s="57"/>
      <c r="F51" s="57"/>
      <c r="G51" s="59"/>
      <c r="H51" s="59"/>
      <c r="I51" s="59"/>
      <c r="J51" s="59"/>
      <c r="K51" s="59"/>
      <c r="L51" s="59"/>
      <c r="M51" s="1"/>
      <c r="N51" s="1"/>
      <c r="O51" s="1"/>
      <c r="P51" s="1"/>
      <c r="Q51" s="1"/>
      <c r="R51" s="1"/>
      <c r="S51" s="1"/>
      <c r="T51" s="1"/>
      <c r="U51" s="1"/>
      <c r="V51" s="1"/>
      <c r="W51" s="1"/>
      <c r="X51" s="1"/>
    </row>
    <row r="52" spans="1:24" ht="13.15" customHeight="1" x14ac:dyDescent="0.25">
      <c r="A52" s="57"/>
      <c r="B52" s="57"/>
      <c r="C52" s="57"/>
      <c r="D52" s="57"/>
      <c r="E52" s="57"/>
      <c r="F52" s="57"/>
      <c r="G52" s="59"/>
      <c r="H52" s="59"/>
      <c r="I52" s="59"/>
      <c r="J52" s="59"/>
      <c r="K52" s="59"/>
      <c r="L52" s="59"/>
      <c r="M52" s="1"/>
      <c r="N52" s="1"/>
      <c r="O52" s="1"/>
      <c r="P52" s="1"/>
      <c r="Q52" s="1"/>
      <c r="R52" s="1"/>
      <c r="S52" s="1"/>
      <c r="T52" s="1"/>
      <c r="U52" s="1"/>
      <c r="V52" s="1"/>
      <c r="W52" s="1"/>
      <c r="X52" s="1"/>
    </row>
    <row r="53" spans="1:24" ht="13.15" customHeight="1" x14ac:dyDescent="0.25">
      <c r="A53" s="57"/>
      <c r="B53" s="57"/>
      <c r="C53" s="57"/>
      <c r="D53" s="57"/>
      <c r="E53" s="57"/>
      <c r="F53" s="57"/>
      <c r="G53" s="59"/>
      <c r="H53" s="59"/>
      <c r="I53" s="59"/>
      <c r="J53" s="59"/>
      <c r="K53" s="59"/>
      <c r="L53" s="59"/>
      <c r="M53" s="1"/>
      <c r="N53" s="1"/>
      <c r="O53" s="1"/>
      <c r="P53" s="1"/>
      <c r="Q53" s="1"/>
      <c r="R53" s="1"/>
      <c r="S53" s="1"/>
      <c r="T53" s="1"/>
      <c r="U53" s="1"/>
      <c r="V53" s="1"/>
      <c r="W53" s="1"/>
      <c r="X53" s="1"/>
    </row>
    <row r="54" spans="1:24" ht="13.15" customHeight="1" x14ac:dyDescent="0.25">
      <c r="A54" s="57"/>
      <c r="B54" s="57"/>
      <c r="C54" s="57"/>
      <c r="D54" s="57"/>
      <c r="E54" s="57"/>
      <c r="F54" s="57"/>
      <c r="G54" s="59"/>
      <c r="H54" s="59"/>
      <c r="I54" s="59"/>
      <c r="J54" s="59"/>
      <c r="K54" s="59"/>
      <c r="L54" s="59"/>
      <c r="M54" s="1"/>
      <c r="N54" s="1"/>
      <c r="O54" s="1"/>
      <c r="P54" s="1"/>
      <c r="Q54" s="1"/>
      <c r="R54" s="1"/>
      <c r="S54" s="1"/>
      <c r="T54" s="1"/>
      <c r="U54" s="1"/>
      <c r="V54" s="1"/>
      <c r="W54" s="1"/>
      <c r="X54" s="1"/>
    </row>
    <row r="55" spans="1:24" ht="13.15" customHeight="1" x14ac:dyDescent="0.25">
      <c r="A55" s="57"/>
      <c r="B55" s="57"/>
      <c r="C55" s="57"/>
      <c r="D55" s="57"/>
      <c r="E55" s="57"/>
      <c r="F55" s="57"/>
      <c r="G55" s="59"/>
      <c r="H55" s="59"/>
      <c r="I55" s="59"/>
      <c r="J55" s="59"/>
      <c r="K55" s="59"/>
      <c r="L55" s="59"/>
      <c r="M55" s="1"/>
      <c r="N55" s="1"/>
      <c r="O55" s="1"/>
      <c r="P55" s="1"/>
      <c r="Q55" s="1"/>
      <c r="R55" s="1"/>
      <c r="S55" s="1"/>
      <c r="T55" s="1"/>
      <c r="U55" s="1"/>
      <c r="V55" s="1"/>
      <c r="W55" s="1"/>
      <c r="X55" s="1"/>
    </row>
    <row r="56" spans="1:24" ht="13.15" customHeight="1" x14ac:dyDescent="0.25">
      <c r="A56" s="57"/>
      <c r="B56" s="57"/>
      <c r="C56" s="57"/>
      <c r="D56" s="57"/>
      <c r="E56" s="57"/>
      <c r="F56" s="57"/>
      <c r="G56" s="59"/>
      <c r="H56" s="59"/>
      <c r="I56" s="59"/>
      <c r="J56" s="59"/>
      <c r="K56" s="59"/>
      <c r="L56" s="59"/>
      <c r="M56" s="1"/>
      <c r="N56" s="1"/>
      <c r="O56" s="1"/>
      <c r="P56" s="1"/>
      <c r="Q56" s="1"/>
      <c r="R56" s="1"/>
      <c r="S56" s="1"/>
      <c r="T56" s="1"/>
      <c r="U56" s="1"/>
      <c r="V56" s="1"/>
      <c r="W56" s="1"/>
      <c r="X56" s="1"/>
    </row>
    <row r="57" spans="1:24" ht="13.15" customHeight="1" x14ac:dyDescent="0.25">
      <c r="A57" s="57"/>
      <c r="B57" s="57"/>
      <c r="C57" s="57"/>
      <c r="D57" s="57"/>
      <c r="E57" s="57"/>
      <c r="F57" s="57"/>
      <c r="G57" s="59"/>
      <c r="H57" s="59"/>
      <c r="I57" s="59"/>
      <c r="J57" s="59"/>
      <c r="K57" s="59"/>
      <c r="L57" s="59"/>
      <c r="M57" s="1"/>
      <c r="N57" s="1"/>
      <c r="O57" s="1"/>
      <c r="P57" s="1"/>
      <c r="Q57" s="1"/>
      <c r="R57" s="1"/>
      <c r="S57" s="1"/>
      <c r="T57" s="1"/>
      <c r="U57" s="1"/>
      <c r="V57" s="1"/>
      <c r="W57" s="1"/>
      <c r="X57" s="1"/>
    </row>
    <row r="58" spans="1:24" ht="13.15" customHeight="1" x14ac:dyDescent="0.25">
      <c r="A58" s="57"/>
      <c r="B58" s="57"/>
      <c r="C58" s="57"/>
      <c r="D58" s="57"/>
      <c r="E58" s="57"/>
      <c r="F58" s="57"/>
      <c r="G58" s="59"/>
      <c r="H58" s="59"/>
      <c r="I58" s="59"/>
      <c r="J58" s="59"/>
      <c r="K58" s="59"/>
      <c r="L58" s="59"/>
      <c r="M58" s="1"/>
      <c r="N58" s="1"/>
      <c r="O58" s="1"/>
      <c r="P58" s="1"/>
      <c r="Q58" s="1"/>
      <c r="R58" s="1"/>
      <c r="S58" s="1"/>
      <c r="T58" s="1"/>
      <c r="U58" s="1"/>
      <c r="V58" s="1"/>
      <c r="W58" s="1"/>
      <c r="X58" s="1"/>
    </row>
    <row r="59" spans="1:24" ht="13.15" customHeight="1" x14ac:dyDescent="0.25">
      <c r="A59" s="57"/>
      <c r="B59" s="57"/>
      <c r="C59" s="57"/>
      <c r="D59" s="57"/>
      <c r="E59" s="57"/>
      <c r="F59" s="57"/>
      <c r="G59" s="59"/>
      <c r="H59" s="59"/>
      <c r="I59" s="59"/>
      <c r="J59" s="59"/>
      <c r="K59" s="59"/>
      <c r="L59" s="59"/>
      <c r="M59" s="1"/>
      <c r="N59" s="1"/>
      <c r="O59" s="1"/>
      <c r="P59" s="1"/>
      <c r="Q59" s="1"/>
      <c r="R59" s="1"/>
      <c r="S59" s="1"/>
      <c r="T59" s="1"/>
      <c r="U59" s="1"/>
      <c r="V59" s="1"/>
      <c r="W59" s="1"/>
      <c r="X59" s="1"/>
    </row>
    <row r="60" spans="1:24" ht="13.15" customHeight="1" x14ac:dyDescent="0.25">
      <c r="A60" s="57"/>
      <c r="B60" s="57"/>
      <c r="C60" s="57"/>
      <c r="D60" s="57"/>
      <c r="E60" s="57"/>
      <c r="F60" s="57"/>
      <c r="G60" s="59"/>
      <c r="H60" s="59"/>
      <c r="I60" s="59"/>
      <c r="J60" s="59"/>
      <c r="K60" s="59"/>
      <c r="L60" s="59"/>
      <c r="M60" s="1"/>
      <c r="N60" s="1"/>
      <c r="O60" s="1"/>
      <c r="P60" s="1"/>
      <c r="Q60" s="1"/>
      <c r="R60" s="1"/>
      <c r="S60" s="1"/>
      <c r="T60" s="1"/>
      <c r="U60" s="1"/>
      <c r="V60" s="1"/>
      <c r="W60" s="1"/>
      <c r="X60" s="1"/>
    </row>
    <row r="61" spans="1:24" ht="31.15" customHeight="1" x14ac:dyDescent="0.25">
      <c r="A61" s="108"/>
      <c r="B61" s="108"/>
      <c r="C61" s="108"/>
      <c r="D61" s="108"/>
      <c r="E61" s="108"/>
      <c r="F61" s="108"/>
      <c r="G61" s="109"/>
      <c r="H61" s="109"/>
      <c r="I61" s="109"/>
      <c r="J61" s="109"/>
      <c r="K61" s="109"/>
      <c r="L61" s="109"/>
      <c r="M61" s="1"/>
      <c r="N61" s="1"/>
      <c r="O61" s="1"/>
      <c r="P61" s="1"/>
      <c r="Q61" s="1"/>
      <c r="R61" s="1"/>
      <c r="S61" s="1"/>
      <c r="T61" s="1"/>
      <c r="U61" s="1"/>
      <c r="V61" s="1"/>
      <c r="W61" s="1"/>
      <c r="X61" s="1"/>
    </row>
    <row r="62" spans="1:24" ht="4.9000000000000004" customHeight="1" x14ac:dyDescent="0.25">
      <c r="A62" s="3"/>
      <c r="B62" s="3"/>
      <c r="C62" s="3"/>
      <c r="D62" s="3"/>
      <c r="E62" s="3"/>
      <c r="F62" s="3"/>
      <c r="G62" s="3"/>
      <c r="H62" s="3"/>
      <c r="I62" s="3"/>
      <c r="J62" s="3"/>
      <c r="K62" s="3"/>
      <c r="L62" s="3"/>
      <c r="M62" s="1"/>
      <c r="N62" s="1"/>
      <c r="O62" s="1"/>
      <c r="P62" s="1"/>
      <c r="Q62" s="1"/>
      <c r="R62" s="1"/>
      <c r="S62" s="1"/>
      <c r="T62" s="1"/>
      <c r="U62" s="1"/>
      <c r="V62" s="1"/>
      <c r="W62" s="1"/>
      <c r="X62" s="1"/>
    </row>
    <row r="63" spans="1:24" ht="14.25" customHeight="1" x14ac:dyDescent="0.25">
      <c r="A63" s="46" t="s">
        <v>90</v>
      </c>
      <c r="B63" s="46"/>
      <c r="C63" s="46"/>
      <c r="D63" s="46"/>
      <c r="E63" s="46"/>
      <c r="F63" s="46"/>
      <c r="G63" s="46"/>
      <c r="H63" s="46"/>
      <c r="I63" s="46"/>
      <c r="J63" s="46"/>
      <c r="K63" s="46"/>
      <c r="L63" s="46"/>
      <c r="M63" s="1"/>
      <c r="N63" s="1"/>
      <c r="O63" s="1"/>
      <c r="P63" s="1"/>
      <c r="Q63" s="1"/>
      <c r="R63" s="1"/>
      <c r="S63" s="1"/>
      <c r="T63" s="1"/>
      <c r="U63" s="1"/>
      <c r="V63" s="1"/>
      <c r="W63" s="1"/>
      <c r="X63" s="1"/>
    </row>
    <row r="64" spans="1:24" ht="2.4500000000000002" customHeight="1" x14ac:dyDescent="0.25">
      <c r="A64" s="94"/>
      <c r="B64" s="94"/>
      <c r="C64" s="94"/>
      <c r="D64" s="94"/>
      <c r="E64" s="94"/>
      <c r="F64" s="94"/>
      <c r="G64" s="94"/>
      <c r="H64" s="94"/>
      <c r="I64" s="94"/>
      <c r="J64" s="94"/>
      <c r="K64" s="94"/>
      <c r="L64" s="94"/>
      <c r="M64" s="1"/>
      <c r="N64" s="1"/>
      <c r="O64" s="1"/>
      <c r="P64" s="1"/>
      <c r="Q64" s="1"/>
      <c r="R64" s="1"/>
      <c r="S64" s="1"/>
      <c r="T64" s="1"/>
      <c r="U64" s="1"/>
      <c r="V64" s="1"/>
      <c r="W64" s="1"/>
      <c r="X64" s="1"/>
    </row>
    <row r="65" spans="1:24" ht="14.25" customHeight="1" x14ac:dyDescent="0.25">
      <c r="A65" s="95" t="s">
        <v>59</v>
      </c>
      <c r="B65" s="95"/>
      <c r="C65" s="95"/>
      <c r="D65" s="95"/>
      <c r="E65" s="95"/>
      <c r="F65" s="95"/>
      <c r="G65" s="95" t="s">
        <v>60</v>
      </c>
      <c r="H65" s="95"/>
      <c r="I65" s="95"/>
      <c r="J65" s="95"/>
      <c r="K65" s="95"/>
      <c r="L65" s="95"/>
      <c r="M65" s="1"/>
      <c r="N65" s="1"/>
      <c r="O65" s="1"/>
      <c r="P65" s="1"/>
      <c r="Q65" s="1"/>
      <c r="R65" s="1"/>
      <c r="S65" s="1"/>
      <c r="T65" s="1"/>
      <c r="U65" s="1"/>
      <c r="V65" s="1"/>
      <c r="W65" s="1"/>
      <c r="X65" s="1"/>
    </row>
    <row r="66" spans="1:24" ht="3" customHeight="1" x14ac:dyDescent="0.25">
      <c r="A66" s="55"/>
      <c r="B66" s="55"/>
      <c r="C66" s="55"/>
      <c r="D66" s="55"/>
      <c r="E66" s="55"/>
      <c r="F66" s="55"/>
      <c r="G66" s="56"/>
      <c r="H66" s="56"/>
      <c r="I66" s="56"/>
      <c r="J66" s="56"/>
      <c r="K66" s="56"/>
      <c r="L66" s="56"/>
      <c r="M66" s="1"/>
      <c r="N66" s="1"/>
      <c r="O66" s="1"/>
      <c r="P66" s="1"/>
      <c r="Q66" s="1"/>
      <c r="R66" s="1"/>
      <c r="S66" s="1"/>
      <c r="T66" s="1"/>
      <c r="U66" s="1"/>
      <c r="V66" s="1"/>
      <c r="W66" s="1"/>
      <c r="X66" s="1"/>
    </row>
    <row r="67" spans="1:24" ht="14.25" customHeight="1" x14ac:dyDescent="0.25">
      <c r="A67" s="57"/>
      <c r="B67" s="57"/>
      <c r="C67" s="57"/>
      <c r="D67" s="57"/>
      <c r="E67" s="57"/>
      <c r="F67" s="57"/>
      <c r="G67" s="58"/>
      <c r="H67" s="58"/>
      <c r="I67" s="58"/>
      <c r="J67" s="58"/>
      <c r="K67" s="58"/>
      <c r="L67" s="58"/>
      <c r="M67" s="1"/>
      <c r="N67" s="1"/>
      <c r="O67" s="1"/>
      <c r="P67" s="1"/>
      <c r="Q67" s="1"/>
      <c r="R67" s="1"/>
      <c r="S67" s="1"/>
      <c r="T67" s="1"/>
      <c r="U67" s="1"/>
      <c r="V67" s="1"/>
      <c r="W67" s="1"/>
      <c r="X67" s="1"/>
    </row>
    <row r="68" spans="1:24" ht="14.25" customHeight="1" x14ac:dyDescent="0.25">
      <c r="A68" s="57"/>
      <c r="B68" s="57"/>
      <c r="C68" s="57"/>
      <c r="D68" s="57"/>
      <c r="E68" s="57"/>
      <c r="F68" s="57"/>
      <c r="G68" s="59"/>
      <c r="H68" s="59"/>
      <c r="I68" s="59"/>
      <c r="J68" s="59"/>
      <c r="K68" s="59"/>
      <c r="L68" s="59"/>
      <c r="M68" s="1"/>
      <c r="N68" s="1"/>
      <c r="O68" s="1"/>
      <c r="P68" s="1"/>
      <c r="Q68" s="1"/>
      <c r="R68" s="1"/>
      <c r="S68" s="1"/>
      <c r="T68" s="1"/>
      <c r="U68" s="1"/>
      <c r="V68" s="1"/>
      <c r="W68" s="1"/>
      <c r="X68" s="1"/>
    </row>
    <row r="69" spans="1:24" ht="14.25" customHeight="1" x14ac:dyDescent="0.25">
      <c r="A69" s="57"/>
      <c r="B69" s="57"/>
      <c r="C69" s="57"/>
      <c r="D69" s="57"/>
      <c r="E69" s="57"/>
      <c r="F69" s="57"/>
      <c r="G69" s="59"/>
      <c r="H69" s="59"/>
      <c r="I69" s="59"/>
      <c r="J69" s="59"/>
      <c r="K69" s="59"/>
      <c r="L69" s="59"/>
      <c r="M69" s="1"/>
      <c r="N69" s="1"/>
      <c r="O69" s="1"/>
      <c r="P69" s="1"/>
      <c r="Q69" s="1"/>
      <c r="R69" s="1"/>
      <c r="S69" s="1"/>
      <c r="T69" s="1"/>
      <c r="U69" s="1"/>
      <c r="V69" s="1"/>
      <c r="W69" s="1"/>
      <c r="X69" s="1"/>
    </row>
    <row r="70" spans="1:24" ht="14.25" customHeight="1" x14ac:dyDescent="0.25">
      <c r="A70" s="57"/>
      <c r="B70" s="57"/>
      <c r="C70" s="57"/>
      <c r="D70" s="57"/>
      <c r="E70" s="57"/>
      <c r="F70" s="57"/>
      <c r="G70" s="59"/>
      <c r="H70" s="59"/>
      <c r="I70" s="59"/>
      <c r="J70" s="59"/>
      <c r="K70" s="59"/>
      <c r="L70" s="59"/>
      <c r="M70" s="1"/>
      <c r="N70" s="1"/>
      <c r="O70" s="1"/>
      <c r="P70" s="1"/>
      <c r="Q70" s="1"/>
      <c r="R70" s="1"/>
      <c r="S70" s="1"/>
      <c r="T70" s="1"/>
      <c r="U70" s="1"/>
      <c r="V70" s="1"/>
      <c r="W70" s="1"/>
      <c r="X70" s="1"/>
    </row>
    <row r="71" spans="1:24" ht="14.25" customHeight="1" x14ac:dyDescent="0.25">
      <c r="A71" s="57"/>
      <c r="B71" s="57"/>
      <c r="C71" s="57"/>
      <c r="D71" s="57"/>
      <c r="E71" s="57"/>
      <c r="F71" s="57"/>
      <c r="G71" s="59"/>
      <c r="H71" s="59"/>
      <c r="I71" s="59"/>
      <c r="J71" s="59"/>
      <c r="K71" s="59"/>
      <c r="L71" s="59"/>
      <c r="M71" s="1"/>
      <c r="N71" s="1"/>
      <c r="O71" s="1"/>
      <c r="P71" s="1"/>
      <c r="Q71" s="1"/>
      <c r="R71" s="1"/>
      <c r="S71" s="1"/>
      <c r="T71" s="1"/>
      <c r="U71" s="1"/>
      <c r="V71" s="1"/>
      <c r="W71" s="1"/>
      <c r="X71" s="1"/>
    </row>
    <row r="72" spans="1:24" ht="14.25" customHeight="1" x14ac:dyDescent="0.25">
      <c r="A72" s="57"/>
      <c r="B72" s="57"/>
      <c r="C72" s="57"/>
      <c r="D72" s="57"/>
      <c r="E72" s="57"/>
      <c r="F72" s="57"/>
      <c r="G72" s="59"/>
      <c r="H72" s="59"/>
      <c r="I72" s="59"/>
      <c r="J72" s="59"/>
      <c r="K72" s="59"/>
      <c r="L72" s="59"/>
      <c r="M72" s="1"/>
      <c r="N72" s="1"/>
      <c r="O72" s="1"/>
      <c r="P72" s="1"/>
      <c r="Q72" s="1"/>
      <c r="R72" s="1"/>
      <c r="S72" s="1"/>
      <c r="T72" s="1"/>
      <c r="U72" s="1"/>
      <c r="V72" s="1"/>
      <c r="W72" s="1"/>
      <c r="X72" s="1"/>
    </row>
    <row r="73" spans="1:24" ht="14.25" customHeight="1" x14ac:dyDescent="0.25">
      <c r="A73" s="57"/>
      <c r="B73" s="57"/>
      <c r="C73" s="57"/>
      <c r="D73" s="57"/>
      <c r="E73" s="57"/>
      <c r="F73" s="57"/>
      <c r="G73" s="59"/>
      <c r="H73" s="59"/>
      <c r="I73" s="59"/>
      <c r="J73" s="59"/>
      <c r="K73" s="59"/>
      <c r="L73" s="59"/>
      <c r="M73" s="1"/>
      <c r="N73" s="1"/>
      <c r="O73" s="1"/>
      <c r="P73" s="1"/>
      <c r="Q73" s="1"/>
      <c r="R73" s="1"/>
      <c r="S73" s="1"/>
      <c r="T73" s="1"/>
      <c r="U73" s="1"/>
      <c r="V73" s="1"/>
      <c r="W73" s="1"/>
      <c r="X73" s="1"/>
    </row>
    <row r="74" spans="1:24" ht="3" customHeight="1" x14ac:dyDescent="0.25">
      <c r="M74" s="1"/>
      <c r="N74" s="1"/>
      <c r="O74" s="1"/>
      <c r="P74" s="1"/>
      <c r="Q74" s="1"/>
      <c r="R74" s="1"/>
      <c r="S74" s="1"/>
      <c r="T74" s="1"/>
      <c r="U74" s="1"/>
      <c r="V74" s="1"/>
      <c r="W74" s="1"/>
      <c r="X74" s="1"/>
    </row>
    <row r="75" spans="1:24" ht="14.25" customHeight="1" x14ac:dyDescent="0.25">
      <c r="A75" s="48" t="s">
        <v>133</v>
      </c>
      <c r="B75" s="49"/>
      <c r="C75" s="49"/>
      <c r="D75" s="49"/>
      <c r="E75" s="49"/>
      <c r="F75" s="49"/>
      <c r="G75" s="49"/>
      <c r="H75" s="49"/>
      <c r="I75" s="49"/>
      <c r="J75" s="49"/>
      <c r="K75" s="49"/>
      <c r="L75" s="50"/>
      <c r="M75" s="1"/>
      <c r="N75" s="1"/>
      <c r="O75" s="1"/>
      <c r="P75" s="1"/>
      <c r="Q75" s="1"/>
      <c r="R75" s="1"/>
      <c r="S75" s="1"/>
      <c r="T75" s="1"/>
      <c r="U75" s="1"/>
      <c r="V75" s="1"/>
      <c r="W75" s="1"/>
      <c r="X75" s="1"/>
    </row>
    <row r="76" spans="1:24" ht="2.4500000000000002" customHeight="1" x14ac:dyDescent="0.25">
      <c r="A76" s="54"/>
      <c r="B76" s="54"/>
      <c r="C76" s="54"/>
      <c r="D76" s="54"/>
      <c r="E76" s="54"/>
      <c r="F76" s="54"/>
      <c r="G76" s="54"/>
      <c r="H76" s="54"/>
      <c r="I76" s="54"/>
      <c r="J76" s="54"/>
      <c r="K76" s="54"/>
      <c r="L76" s="54"/>
      <c r="M76" s="1"/>
      <c r="N76" s="1"/>
      <c r="O76" s="1"/>
      <c r="P76" s="1"/>
      <c r="Q76" s="1"/>
      <c r="R76" s="1"/>
      <c r="S76" s="1"/>
      <c r="T76" s="1"/>
      <c r="U76" s="1"/>
      <c r="V76" s="1"/>
      <c r="W76" s="1"/>
      <c r="X76" s="1"/>
    </row>
    <row r="77" spans="1:24" ht="14.25" customHeight="1" x14ac:dyDescent="0.25">
      <c r="A77" s="51" t="s">
        <v>149</v>
      </c>
      <c r="B77" s="52"/>
      <c r="C77" s="52"/>
      <c r="D77" s="52"/>
      <c r="E77" s="52"/>
      <c r="F77" s="52"/>
      <c r="G77" s="52"/>
      <c r="H77" s="52"/>
      <c r="I77" s="52"/>
      <c r="J77" s="52"/>
      <c r="K77" s="52"/>
      <c r="L77" s="53"/>
      <c r="M77" s="1"/>
      <c r="N77" s="1"/>
      <c r="O77" s="1"/>
      <c r="P77" s="1"/>
      <c r="Q77" s="1"/>
      <c r="R77" s="1"/>
      <c r="S77" s="1"/>
      <c r="T77" s="1"/>
      <c r="U77" s="1"/>
      <c r="V77" s="1"/>
      <c r="W77" s="1"/>
      <c r="X77" s="1"/>
    </row>
    <row r="78" spans="1:24" ht="2.4500000000000002" customHeight="1" x14ac:dyDescent="0.25">
      <c r="A78" s="116"/>
      <c r="B78" s="116"/>
      <c r="C78" s="116"/>
      <c r="D78" s="116"/>
      <c r="E78" s="116"/>
      <c r="F78" s="116"/>
      <c r="G78" s="116"/>
      <c r="H78" s="116"/>
      <c r="I78" s="116"/>
      <c r="J78" s="116"/>
      <c r="K78" s="116"/>
      <c r="L78" s="117"/>
      <c r="M78" s="1"/>
      <c r="N78" s="1"/>
      <c r="O78" s="1"/>
      <c r="P78" s="1"/>
      <c r="Q78" s="1"/>
      <c r="R78" s="1"/>
      <c r="S78" s="1"/>
      <c r="T78" s="1"/>
      <c r="U78" s="1"/>
      <c r="V78" s="1"/>
      <c r="W78" s="1"/>
      <c r="X78" s="1"/>
    </row>
    <row r="79" spans="1:24" ht="26.45" customHeight="1" x14ac:dyDescent="0.25">
      <c r="A79" s="119" t="s">
        <v>1</v>
      </c>
      <c r="B79" s="119"/>
      <c r="C79" s="119"/>
      <c r="D79" s="119" t="s">
        <v>130</v>
      </c>
      <c r="E79" s="119"/>
      <c r="F79" s="119"/>
      <c r="G79" s="119"/>
      <c r="H79" s="119" t="s">
        <v>131</v>
      </c>
      <c r="I79" s="119"/>
      <c r="J79" s="119"/>
      <c r="K79" s="120" t="s">
        <v>132</v>
      </c>
      <c r="L79" s="121"/>
      <c r="M79" s="1"/>
      <c r="N79" s="1"/>
      <c r="O79" s="1"/>
      <c r="P79" s="1"/>
      <c r="Q79" s="1"/>
      <c r="R79" s="1"/>
      <c r="S79" s="1"/>
      <c r="T79" s="1"/>
      <c r="U79" s="1"/>
      <c r="V79" s="1"/>
      <c r="W79" s="1"/>
      <c r="X79" s="1"/>
    </row>
    <row r="80" spans="1:24" ht="3.6" customHeight="1" x14ac:dyDescent="0.25">
      <c r="A80" s="118"/>
      <c r="B80" s="118"/>
      <c r="C80" s="118"/>
      <c r="D80" s="118"/>
      <c r="E80" s="118"/>
      <c r="F80" s="118"/>
      <c r="G80" s="35"/>
      <c r="I80" s="34"/>
      <c r="J80" s="34"/>
      <c r="K80" s="124"/>
      <c r="L80" s="124"/>
      <c r="M80" s="1"/>
      <c r="N80" s="1"/>
      <c r="O80" s="1"/>
      <c r="P80" s="1"/>
      <c r="Q80" s="1"/>
      <c r="R80" s="1"/>
      <c r="S80" s="1"/>
      <c r="T80" s="1"/>
      <c r="U80" s="1"/>
      <c r="V80" s="1"/>
      <c r="W80" s="1"/>
      <c r="X80" s="1"/>
    </row>
    <row r="81" spans="1:24" ht="47.45" customHeight="1" x14ac:dyDescent="0.25">
      <c r="A81" s="100" t="s">
        <v>99</v>
      </c>
      <c r="B81" s="100"/>
      <c r="C81" s="140"/>
      <c r="D81" s="127" t="str">
        <f>VLOOKUP(A81,LISTAS!$A$42:$C$54,LISTAS!$B$41,0)</f>
        <v>Capacidad para construir relaciones de cooperación y confianza con las personas que interactúo para favorecer el logro de  los objetivos de la organización, buscando el beneficio común.</v>
      </c>
      <c r="E81" s="128"/>
      <c r="F81" s="128"/>
      <c r="G81" s="129"/>
      <c r="H81" s="110" t="str">
        <f>VLOOKUP(A81,LISTAS!$A$42:$C$54,LISTAS!$C$41,0)</f>
        <v>1) Trabaja en equipo en pro de objetivos colectivos derribando barreras funcionales, jerárquicas y entre áreas. 
2) Construye y mantiene relaciones interpersonales de confianza y respeto.</v>
      </c>
      <c r="I81" s="111"/>
      <c r="J81" s="112"/>
      <c r="K81" s="122">
        <v>4</v>
      </c>
      <c r="L81" s="123"/>
      <c r="M81" s="1"/>
      <c r="N81" s="1"/>
      <c r="O81" s="1"/>
      <c r="P81" s="1"/>
      <c r="Q81" s="1"/>
      <c r="R81" s="1"/>
      <c r="S81" s="1"/>
      <c r="T81" s="1"/>
      <c r="U81" s="1"/>
      <c r="V81" s="1"/>
      <c r="W81" s="1"/>
      <c r="X81" s="1"/>
    </row>
    <row r="82" spans="1:24" ht="42" customHeight="1" x14ac:dyDescent="0.25">
      <c r="A82" s="141"/>
      <c r="B82" s="141"/>
      <c r="C82" s="142"/>
      <c r="D82" s="130"/>
      <c r="E82" s="131"/>
      <c r="F82" s="131"/>
      <c r="G82" s="132"/>
      <c r="H82" s="113"/>
      <c r="I82" s="114"/>
      <c r="J82" s="115"/>
      <c r="K82" s="125">
        <v>4</v>
      </c>
      <c r="L82" s="126"/>
      <c r="M82" s="1"/>
      <c r="N82" s="1"/>
      <c r="O82" s="1"/>
      <c r="P82" s="1"/>
      <c r="Q82" s="1"/>
      <c r="R82" s="1"/>
      <c r="S82" s="1"/>
      <c r="T82" s="1"/>
      <c r="U82" s="1"/>
      <c r="V82" s="1"/>
      <c r="W82" s="1"/>
      <c r="X82" s="1"/>
    </row>
    <row r="83" spans="1:24" ht="30.6" customHeight="1" x14ac:dyDescent="0.25">
      <c r="A83" s="122" t="s">
        <v>101</v>
      </c>
      <c r="B83" s="143"/>
      <c r="C83" s="144"/>
      <c r="D83" s="127" t="str">
        <f>VLOOKUP(A83,LISTAS!$A$42:$C$54,LISTAS!$B$41,0)</f>
        <v>Capacidad para escuchar y expresarse de manera clara y oportuna basado en hechos concretos y verificados.</v>
      </c>
      <c r="E83" s="128"/>
      <c r="F83" s="128"/>
      <c r="G83" s="129"/>
      <c r="H83" s="110" t="str">
        <f>VLOOKUP(A83,LISTAS!$A$42:$C$54,LISTAS!$C$41,0)</f>
        <v>1) Se expresa de manera directa, sincera y asertiva.
2) Demuestra coherencia entre lo que dice y hace. Es propositivo y no reactivo.</v>
      </c>
      <c r="I83" s="111"/>
      <c r="J83" s="112"/>
      <c r="K83" s="122">
        <v>3</v>
      </c>
      <c r="L83" s="123"/>
      <c r="M83" s="1"/>
      <c r="N83" s="1"/>
      <c r="O83" s="1"/>
      <c r="P83" s="1"/>
      <c r="Q83" s="1"/>
      <c r="R83" s="1"/>
      <c r="S83" s="1"/>
      <c r="T83" s="1"/>
      <c r="U83" s="1"/>
      <c r="V83" s="1"/>
      <c r="W83" s="1"/>
      <c r="X83" s="1"/>
    </row>
    <row r="84" spans="1:24" ht="40.15" customHeight="1" x14ac:dyDescent="0.25">
      <c r="A84" s="145"/>
      <c r="B84" s="141"/>
      <c r="C84" s="142"/>
      <c r="D84" s="130"/>
      <c r="E84" s="131"/>
      <c r="F84" s="131"/>
      <c r="G84" s="132"/>
      <c r="H84" s="113"/>
      <c r="I84" s="114"/>
      <c r="J84" s="115"/>
      <c r="K84" s="125">
        <v>3</v>
      </c>
      <c r="L84" s="126"/>
      <c r="M84" s="1"/>
      <c r="N84" s="1"/>
      <c r="O84" s="1"/>
      <c r="P84" s="1"/>
      <c r="Q84" s="1"/>
      <c r="R84" s="1"/>
      <c r="S84" s="1"/>
      <c r="T84" s="1"/>
      <c r="U84" s="1"/>
      <c r="V84" s="1"/>
      <c r="W84" s="1"/>
      <c r="X84" s="1"/>
    </row>
    <row r="85" spans="1:24" ht="39" customHeight="1" x14ac:dyDescent="0.25">
      <c r="A85" s="122" t="s">
        <v>109</v>
      </c>
      <c r="B85" s="143"/>
      <c r="C85" s="144"/>
      <c r="D85" s="127" t="str">
        <f>VLOOKUP(A85,LISTAS!$A$42:$C$54,LISTAS!$B$41,0)</f>
        <v>Personas competitivas, enfocadas al cumplimiento responsable de metas.</v>
      </c>
      <c r="E85" s="128"/>
      <c r="F85" s="128"/>
      <c r="G85" s="129"/>
      <c r="H85" s="110" t="str">
        <f>VLOOKUP(A85,LISTAS!$A$42:$C$54,LISTAS!$C$41,0)</f>
        <v>1) Alinea su quehacer diario enfocándolo al plan estratégico de la empresa. Es resolutivo.
2) Produce resultados y cumple compromisos - alcanza los objetivos y supera las metas.</v>
      </c>
      <c r="I85" s="111"/>
      <c r="J85" s="112"/>
      <c r="K85" s="122">
        <v>3</v>
      </c>
      <c r="L85" s="123"/>
      <c r="M85" s="1"/>
      <c r="N85" s="1"/>
      <c r="O85" s="1"/>
      <c r="P85" s="1"/>
      <c r="Q85" s="1"/>
      <c r="R85" s="1"/>
      <c r="S85" s="1"/>
      <c r="T85" s="1"/>
      <c r="U85" s="1"/>
      <c r="V85" s="1"/>
      <c r="W85" s="1"/>
      <c r="X85" s="1"/>
    </row>
    <row r="86" spans="1:24" ht="46.15" customHeight="1" x14ac:dyDescent="0.25">
      <c r="A86" s="145"/>
      <c r="B86" s="141"/>
      <c r="C86" s="142"/>
      <c r="D86" s="130"/>
      <c r="E86" s="131"/>
      <c r="F86" s="131"/>
      <c r="G86" s="132"/>
      <c r="H86" s="113"/>
      <c r="I86" s="114"/>
      <c r="J86" s="115"/>
      <c r="K86" s="122">
        <v>3</v>
      </c>
      <c r="L86" s="123"/>
      <c r="M86" s="1"/>
      <c r="N86" s="1"/>
      <c r="O86" s="1"/>
      <c r="P86" s="1"/>
      <c r="Q86" s="1"/>
      <c r="R86" s="1"/>
      <c r="S86" s="1"/>
      <c r="T86" s="1"/>
      <c r="U86" s="1"/>
      <c r="V86" s="1"/>
      <c r="W86" s="1"/>
      <c r="X86" s="1"/>
    </row>
    <row r="87" spans="1:24" ht="51.6" customHeight="1" x14ac:dyDescent="0.25">
      <c r="A87" s="122" t="s">
        <v>103</v>
      </c>
      <c r="B87" s="143"/>
      <c r="C87" s="144"/>
      <c r="D87" s="127" t="str">
        <f>VLOOKUP(A87,LISTAS!$A$42:$C$54,LISTAS!$B$41,0)</f>
        <v>Capacidad para identificar y comprender las necesidades y expectativas de nuestros clientes (internos y externos) con empatía.</v>
      </c>
      <c r="E87" s="128"/>
      <c r="F87" s="128"/>
      <c r="G87" s="129"/>
      <c r="H87" s="110" t="str">
        <f>VLOOKUP(A87,LISTAS!$A$42:$C$54,LISTAS!$C$41,0)</f>
        <v>1) Muestra respeto, interés y disposición en comprender las necesidades de clientes, y usuarios; es amable y paciente.
2) Resuelve, atiende con agilidad y oportunidad, busca soluciones de raíz.</v>
      </c>
      <c r="I87" s="111"/>
      <c r="J87" s="112"/>
      <c r="K87" s="122">
        <v>4</v>
      </c>
      <c r="L87" s="123"/>
      <c r="M87" s="1"/>
      <c r="N87" s="1"/>
      <c r="O87" s="1"/>
      <c r="P87" s="1"/>
      <c r="Q87" s="1"/>
      <c r="R87" s="1"/>
      <c r="S87" s="1"/>
      <c r="T87" s="1"/>
      <c r="U87" s="1"/>
      <c r="V87" s="1"/>
      <c r="W87" s="1"/>
      <c r="X87" s="1"/>
    </row>
    <row r="88" spans="1:24" ht="51.6" customHeight="1" x14ac:dyDescent="0.25">
      <c r="A88" s="145"/>
      <c r="B88" s="141"/>
      <c r="C88" s="142"/>
      <c r="D88" s="130"/>
      <c r="E88" s="131"/>
      <c r="F88" s="131"/>
      <c r="G88" s="132"/>
      <c r="H88" s="113"/>
      <c r="I88" s="114"/>
      <c r="J88" s="115"/>
      <c r="K88" s="122">
        <v>4</v>
      </c>
      <c r="L88" s="123"/>
      <c r="M88" s="1"/>
      <c r="N88" s="1"/>
      <c r="O88" s="1"/>
      <c r="P88" s="1"/>
      <c r="Q88" s="1"/>
      <c r="R88" s="1"/>
      <c r="S88" s="1"/>
      <c r="T88" s="1"/>
      <c r="U88" s="1"/>
      <c r="V88" s="1"/>
      <c r="W88" s="1"/>
      <c r="X88" s="1"/>
    </row>
    <row r="89" spans="1:24" ht="70.900000000000006" customHeight="1" x14ac:dyDescent="0.25">
      <c r="A89" s="122" t="s">
        <v>105</v>
      </c>
      <c r="B89" s="143"/>
      <c r="C89" s="144"/>
      <c r="D89" s="127" t="str">
        <f>VLOOKUP(A89,LISTAS!$A$42:$C$54,LISTAS!$B$41,0)</f>
        <v>Capacidad para trabajar efectivamente en una variedad de situaciones, con diversos individuos o grupos, valorando las perspectivas diferentes para lograr un proceso de adaptación</v>
      </c>
      <c r="E89" s="128"/>
      <c r="F89" s="128"/>
      <c r="G89" s="129"/>
      <c r="H89" s="110" t="str">
        <f>VLOOKUP(A89,LISTAS!$A$42:$C$54,LISTAS!$C$41,0)</f>
        <v>1) Demuestra una actitud positiva al cambio y rompe paradigmas, aceptando nuevas y diferentes opiniones o puntos de vista para lograr mejores prácticas.
2) Adquiere nuevos conocimientos y desarrolla nuevas habilidades. Comparte su conocimiento, en beneficio de la generación de valor.</v>
      </c>
      <c r="I89" s="111"/>
      <c r="J89" s="112"/>
      <c r="K89" s="122">
        <v>3</v>
      </c>
      <c r="L89" s="123"/>
      <c r="M89" s="1"/>
      <c r="N89" s="1"/>
      <c r="O89" s="1"/>
      <c r="P89" s="1"/>
      <c r="Q89" s="1"/>
      <c r="R89" s="1"/>
      <c r="S89" s="1"/>
      <c r="T89" s="1"/>
      <c r="U89" s="1"/>
      <c r="V89" s="1"/>
      <c r="W89" s="1"/>
      <c r="X89" s="1"/>
    </row>
    <row r="90" spans="1:24" ht="38.450000000000003" customHeight="1" x14ac:dyDescent="0.25">
      <c r="A90" s="145"/>
      <c r="B90" s="141"/>
      <c r="C90" s="142"/>
      <c r="D90" s="130"/>
      <c r="E90" s="131"/>
      <c r="F90" s="131"/>
      <c r="G90" s="132"/>
      <c r="H90" s="113"/>
      <c r="I90" s="114"/>
      <c r="J90" s="115"/>
      <c r="K90" s="122">
        <v>3</v>
      </c>
      <c r="L90" s="123"/>
      <c r="M90" s="1"/>
      <c r="N90" s="1"/>
      <c r="O90" s="1"/>
      <c r="P90" s="1"/>
      <c r="Q90" s="1"/>
      <c r="R90" s="1"/>
      <c r="S90" s="1"/>
      <c r="T90" s="1"/>
      <c r="U90" s="1"/>
      <c r="V90" s="1"/>
      <c r="W90" s="1"/>
      <c r="X90" s="1"/>
    </row>
    <row r="91" spans="1:24" ht="29.45" customHeight="1" x14ac:dyDescent="0.25">
      <c r="A91" s="122" t="s">
        <v>115</v>
      </c>
      <c r="B91" s="143"/>
      <c r="C91" s="144"/>
      <c r="D91" s="127" t="str">
        <f>VLOOKUP(A91,LISTAS!$A$42:$C$54,LISTAS!$B$41,0)</f>
        <v>Participa y promueve en su equipo el cumplimiento de las responsabilidades transversales que se desprenden de los sistemas de gestión</v>
      </c>
      <c r="E91" s="128"/>
      <c r="F91" s="128"/>
      <c r="G91" s="129"/>
      <c r="H91" s="110" t="str">
        <f>VLOOKUP(A91,LISTAS!$A$42:$C$54,LISTAS!$C$41,0)</f>
        <v>Participa y promueve en su equipo el cumplimiento de las responsabilidades transversales que se desprenden de los sistemas de gestión</v>
      </c>
      <c r="I91" s="111"/>
      <c r="J91" s="112"/>
      <c r="K91" s="88">
        <v>4</v>
      </c>
      <c r="L91" s="88"/>
      <c r="M91" s="1"/>
      <c r="N91" s="1"/>
      <c r="O91" s="1"/>
      <c r="P91" s="1"/>
      <c r="Q91" s="1"/>
      <c r="R91" s="1"/>
      <c r="S91" s="1"/>
      <c r="T91" s="1"/>
      <c r="U91" s="1"/>
      <c r="V91" s="1"/>
      <c r="W91" s="1"/>
      <c r="X91" s="1"/>
    </row>
    <row r="92" spans="1:24" ht="38.450000000000003" customHeight="1" x14ac:dyDescent="0.25">
      <c r="A92" s="145"/>
      <c r="B92" s="141"/>
      <c r="C92" s="142"/>
      <c r="D92" s="130"/>
      <c r="E92" s="131"/>
      <c r="F92" s="131"/>
      <c r="G92" s="132"/>
      <c r="H92" s="113"/>
      <c r="I92" s="114"/>
      <c r="J92" s="115"/>
      <c r="K92" s="88"/>
      <c r="L92" s="88"/>
      <c r="M92" s="1"/>
      <c r="N92" s="1"/>
      <c r="O92" s="1"/>
      <c r="P92" s="1"/>
      <c r="Q92" s="1"/>
      <c r="R92" s="1"/>
      <c r="S92" s="1"/>
      <c r="T92" s="1"/>
      <c r="U92" s="1"/>
      <c r="V92" s="1"/>
      <c r="W92" s="1"/>
      <c r="X92" s="1"/>
    </row>
    <row r="93" spans="1:24" ht="36" customHeight="1" x14ac:dyDescent="0.25">
      <c r="A93" s="122" t="s">
        <v>117</v>
      </c>
      <c r="B93" s="143"/>
      <c r="C93" s="144"/>
      <c r="D93" s="127" t="str">
        <f>VLOOKUP(A93,LISTAS!$A$42:$C$54,LISTAS!$B$41,0)</f>
        <v>Usa adecuadamente los recursos de seguridad física, como claves, llaves, botón de pánico, etc. Y de SST, como EPP, equipos de protección contra caídas, etc. que la empresa le entrega para el desarrollo de su labor</v>
      </c>
      <c r="E93" s="128"/>
      <c r="F93" s="128"/>
      <c r="G93" s="129"/>
      <c r="H93" s="110" t="str">
        <f>VLOOKUP(A93,LISTAS!$A$42:$C$54,LISTAS!$C$41,0)</f>
        <v>Usa adecuadamente los recursos de seguridad física, como claves, llaves, botón de pánico, etc. Y de SST, como EPP, equipos de protección contra caídas, etc. que la empresa le entrega para el desarrollo de su labor</v>
      </c>
      <c r="I93" s="111"/>
      <c r="J93" s="112"/>
      <c r="K93" s="88">
        <v>5</v>
      </c>
      <c r="L93" s="88"/>
      <c r="M93" s="1"/>
      <c r="N93" s="1"/>
      <c r="O93" s="1"/>
      <c r="P93" s="1"/>
      <c r="Q93" s="1"/>
      <c r="R93" s="1"/>
      <c r="S93" s="1"/>
      <c r="T93" s="1"/>
      <c r="U93" s="1"/>
      <c r="V93" s="1"/>
      <c r="W93" s="1"/>
      <c r="X93" s="1"/>
    </row>
    <row r="94" spans="1:24" ht="30.6" customHeight="1" x14ac:dyDescent="0.25">
      <c r="A94" s="145"/>
      <c r="B94" s="141"/>
      <c r="C94" s="142"/>
      <c r="D94" s="130"/>
      <c r="E94" s="131"/>
      <c r="F94" s="131"/>
      <c r="G94" s="132"/>
      <c r="H94" s="113"/>
      <c r="I94" s="114"/>
      <c r="J94" s="115"/>
      <c r="K94" s="88"/>
      <c r="L94" s="88"/>
      <c r="M94" s="1"/>
      <c r="N94" s="1"/>
      <c r="O94" s="1"/>
      <c r="P94" s="1"/>
      <c r="Q94" s="1"/>
      <c r="R94" s="1"/>
      <c r="S94" s="1"/>
      <c r="T94" s="1"/>
      <c r="U94" s="1"/>
      <c r="V94" s="1"/>
      <c r="W94" s="1"/>
      <c r="X94" s="1"/>
    </row>
    <row r="95" spans="1:24" ht="35.450000000000003" customHeight="1" x14ac:dyDescent="0.25">
      <c r="A95" s="122" t="s">
        <v>119</v>
      </c>
      <c r="B95" s="143"/>
      <c r="C95" s="144"/>
      <c r="D95" s="127" t="str">
        <f>VLOOKUP(A95,LISTAS!$A$42:$C$54,LISTAS!$B$41,0)</f>
        <v>Da cumplimiento, durante el desarrollo de sus labores y en todo momento, a las normas que establecida en el Código de Ética y Buen Gobierno de la empresa, tales como transparencia e integridad, imparcialidad, confidencialidad, legalidad, colaboración, equidad, trato respetuoso y buen comportamiento, diligencia, buen uso de instalaciones, respeto de propiedad intelectual, etc.</v>
      </c>
      <c r="E95" s="128"/>
      <c r="F95" s="128"/>
      <c r="G95" s="129"/>
      <c r="H95" s="110" t="str">
        <f>VLOOKUP(A95,LISTAS!$A$42:$C$54,LISTAS!$C$41,0)</f>
        <v>Da cumplimiento, durante el desarrollo de sus labores y en todo momento, a las normas que establecida en el Código de Ética y Buen Gobierno de la empresa, tales como transparencia e integridad, imparcialidad, confidencialidad, legalidad, colaboración, equidad, buen comportamiento, diligencia, buen uso de instalaciones, respeto de propiedad intelectual, etc.</v>
      </c>
      <c r="I95" s="111"/>
      <c r="J95" s="112"/>
      <c r="K95" s="88">
        <v>5</v>
      </c>
      <c r="L95" s="88"/>
      <c r="M95" s="1"/>
      <c r="N95" s="1"/>
      <c r="O95" s="1"/>
      <c r="P95" s="1"/>
      <c r="Q95" s="1"/>
      <c r="R95" s="1"/>
      <c r="S95" s="1"/>
      <c r="T95" s="1"/>
      <c r="U95" s="1"/>
      <c r="V95" s="1"/>
      <c r="W95" s="1"/>
      <c r="X95" s="1"/>
    </row>
    <row r="96" spans="1:24" ht="31.9" customHeight="1" x14ac:dyDescent="0.25">
      <c r="A96" s="145"/>
      <c r="B96" s="141"/>
      <c r="C96" s="142"/>
      <c r="D96" s="130"/>
      <c r="E96" s="131"/>
      <c r="F96" s="131"/>
      <c r="G96" s="132"/>
      <c r="H96" s="113"/>
      <c r="I96" s="114"/>
      <c r="J96" s="115"/>
      <c r="K96" s="88"/>
      <c r="L96" s="88"/>
      <c r="M96" s="1"/>
      <c r="N96" s="1"/>
      <c r="O96" s="1"/>
      <c r="P96" s="1"/>
      <c r="Q96" s="1"/>
      <c r="R96" s="1"/>
      <c r="S96" s="1"/>
      <c r="T96" s="1"/>
      <c r="U96" s="1"/>
      <c r="V96" s="1"/>
      <c r="W96" s="1"/>
      <c r="X96" s="1"/>
    </row>
    <row r="97" spans="1:24" ht="29.45" customHeight="1" x14ac:dyDescent="0.25">
      <c r="A97" s="122" t="s">
        <v>122</v>
      </c>
      <c r="B97" s="143"/>
      <c r="C97" s="144"/>
      <c r="D97" s="127" t="str">
        <f>VLOOKUP(A97,LISTAS!$A$42:$C$54,LISTAS!$B$41,0)</f>
        <v>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v>
      </c>
      <c r="E97" s="128"/>
      <c r="F97" s="128"/>
      <c r="G97" s="129"/>
      <c r="H97" s="110" t="str">
        <f>VLOOKUP(A97,LISTAS!$A$42:$C$54,LISTAS!$C$41,0)</f>
        <v>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v>
      </c>
      <c r="I97" s="111"/>
      <c r="J97" s="112"/>
      <c r="K97" s="88">
        <v>4</v>
      </c>
      <c r="L97" s="88"/>
      <c r="M97" s="1"/>
      <c r="N97" s="1"/>
      <c r="O97" s="1"/>
      <c r="P97" s="1"/>
      <c r="Q97" s="1"/>
      <c r="R97" s="1"/>
      <c r="S97" s="1"/>
      <c r="T97" s="1"/>
      <c r="U97" s="1"/>
      <c r="V97" s="1"/>
      <c r="W97" s="1"/>
      <c r="X97" s="1"/>
    </row>
    <row r="98" spans="1:24" ht="28.15" customHeight="1" x14ac:dyDescent="0.25">
      <c r="A98" s="145"/>
      <c r="B98" s="141"/>
      <c r="C98" s="142"/>
      <c r="D98" s="130"/>
      <c r="E98" s="131"/>
      <c r="F98" s="131"/>
      <c r="G98" s="132"/>
      <c r="H98" s="113"/>
      <c r="I98" s="114"/>
      <c r="J98" s="115"/>
      <c r="K98" s="88"/>
      <c r="L98" s="88"/>
      <c r="M98" s="1"/>
      <c r="N98" s="1"/>
      <c r="O98" s="1"/>
      <c r="P98" s="1"/>
      <c r="Q98" s="1"/>
      <c r="R98" s="1"/>
      <c r="S98" s="1"/>
      <c r="T98" s="1"/>
      <c r="U98" s="1"/>
      <c r="V98" s="1"/>
      <c r="W98" s="1"/>
      <c r="X98" s="1"/>
    </row>
    <row r="99" spans="1:24" ht="30.6" customHeight="1" x14ac:dyDescent="0.25">
      <c r="A99" s="122"/>
      <c r="B99" s="143"/>
      <c r="C99" s="144"/>
      <c r="D99" s="127" t="e">
        <f>VLOOKUP(A99,LISTAS!$A$42:$C$54,LISTAS!$B$41,0)</f>
        <v>#N/A</v>
      </c>
      <c r="E99" s="128"/>
      <c r="F99" s="128"/>
      <c r="G99" s="129"/>
      <c r="H99" s="110" t="e">
        <f>VLOOKUP(A99,LISTAS!$A$42:$C$54,LISTAS!$C$41,0)</f>
        <v>#N/A</v>
      </c>
      <c r="I99" s="111"/>
      <c r="J99" s="112"/>
      <c r="K99" s="88"/>
      <c r="L99" s="88"/>
      <c r="M99" s="1"/>
      <c r="N99" s="1"/>
      <c r="O99" s="1"/>
      <c r="P99" s="1"/>
      <c r="Q99" s="1"/>
      <c r="R99" s="1"/>
      <c r="S99" s="1"/>
      <c r="T99" s="1"/>
      <c r="U99" s="1"/>
      <c r="V99" s="1"/>
      <c r="W99" s="1"/>
      <c r="X99" s="1"/>
    </row>
    <row r="100" spans="1:24" ht="33" customHeight="1" x14ac:dyDescent="0.25">
      <c r="A100" s="145"/>
      <c r="B100" s="141"/>
      <c r="C100" s="142"/>
      <c r="D100" s="130"/>
      <c r="E100" s="131"/>
      <c r="F100" s="131"/>
      <c r="G100" s="132"/>
      <c r="H100" s="113"/>
      <c r="I100" s="114"/>
      <c r="J100" s="115"/>
      <c r="K100" s="88"/>
      <c r="L100" s="88"/>
      <c r="M100" s="1"/>
      <c r="N100" s="1"/>
      <c r="O100" s="1"/>
      <c r="P100" s="1"/>
      <c r="Q100" s="1"/>
      <c r="R100" s="1"/>
      <c r="S100" s="1"/>
      <c r="T100" s="1"/>
      <c r="U100" s="1"/>
      <c r="V100" s="1"/>
      <c r="W100" s="1"/>
      <c r="X100" s="1"/>
    </row>
    <row r="101" spans="1:24" ht="35.450000000000003" customHeight="1" x14ac:dyDescent="0.25">
      <c r="A101" s="122"/>
      <c r="B101" s="143"/>
      <c r="C101" s="144"/>
      <c r="D101" s="127" t="e">
        <f>VLOOKUP(A101,LISTAS!$A$42:$C$54,LISTAS!$B$41,0)</f>
        <v>#N/A</v>
      </c>
      <c r="E101" s="128"/>
      <c r="F101" s="128"/>
      <c r="G101" s="129"/>
      <c r="H101" s="110" t="e">
        <f>VLOOKUP(A101,LISTAS!$A$42:$C$54,LISTAS!$C$41,0)</f>
        <v>#N/A</v>
      </c>
      <c r="I101" s="111"/>
      <c r="J101" s="112"/>
      <c r="K101" s="88"/>
      <c r="L101" s="88"/>
      <c r="M101" s="1"/>
      <c r="N101" s="1"/>
      <c r="O101" s="1"/>
      <c r="P101" s="1"/>
      <c r="Q101" s="1"/>
      <c r="R101" s="1"/>
      <c r="S101" s="1"/>
      <c r="T101" s="1"/>
      <c r="U101" s="1"/>
      <c r="V101" s="1"/>
      <c r="W101" s="1"/>
      <c r="X101" s="1"/>
    </row>
    <row r="102" spans="1:24" ht="41.45" customHeight="1" x14ac:dyDescent="0.25">
      <c r="A102" s="146"/>
      <c r="B102" s="147"/>
      <c r="C102" s="148"/>
      <c r="D102" s="130"/>
      <c r="E102" s="131"/>
      <c r="F102" s="131"/>
      <c r="G102" s="132"/>
      <c r="H102" s="134"/>
      <c r="I102" s="135"/>
      <c r="J102" s="136"/>
      <c r="K102" s="133"/>
      <c r="L102" s="133"/>
      <c r="M102" s="1"/>
      <c r="N102" s="1"/>
      <c r="O102" s="1"/>
      <c r="P102" s="1"/>
      <c r="Q102" s="1"/>
      <c r="R102" s="1"/>
      <c r="S102" s="1"/>
      <c r="T102" s="1"/>
      <c r="U102" s="1"/>
      <c r="V102" s="1"/>
      <c r="W102" s="1"/>
      <c r="X102" s="1"/>
    </row>
    <row r="103" spans="1:24" ht="78.599999999999994" customHeight="1" x14ac:dyDescent="0.25">
      <c r="A103" s="88"/>
      <c r="B103" s="88"/>
      <c r="C103" s="88"/>
      <c r="D103" s="127" t="e">
        <f>VLOOKUP(A103,LISTAS!$A$42:$C$54,LISTAS!$B$41,0)</f>
        <v>#N/A</v>
      </c>
      <c r="E103" s="128"/>
      <c r="F103" s="128"/>
      <c r="G103" s="129"/>
      <c r="H103" s="137" t="e">
        <f>VLOOKUP(A103,LISTAS!$A$42:$C$54,LISTAS!$C$41,0)</f>
        <v>#N/A</v>
      </c>
      <c r="I103" s="137"/>
      <c r="J103" s="137"/>
      <c r="K103" s="88"/>
      <c r="L103" s="88"/>
      <c r="M103" s="1"/>
      <c r="N103" s="1"/>
      <c r="O103" s="1"/>
      <c r="P103" s="1"/>
      <c r="Q103" s="1"/>
      <c r="R103" s="1"/>
      <c r="S103" s="1"/>
      <c r="T103" s="1"/>
      <c r="U103" s="1"/>
      <c r="V103" s="1"/>
      <c r="W103" s="1"/>
      <c r="X103" s="1"/>
    </row>
    <row r="104" spans="1:24" ht="58.15" customHeight="1" x14ac:dyDescent="0.25">
      <c r="A104" s="88"/>
      <c r="B104" s="88"/>
      <c r="C104" s="88"/>
      <c r="D104" s="130"/>
      <c r="E104" s="131"/>
      <c r="F104" s="131"/>
      <c r="G104" s="132"/>
      <c r="H104" s="137"/>
      <c r="I104" s="137"/>
      <c r="J104" s="137"/>
      <c r="K104" s="88"/>
      <c r="L104" s="88"/>
      <c r="M104" s="1"/>
      <c r="N104" s="1"/>
      <c r="O104" s="1"/>
      <c r="P104" s="1"/>
      <c r="Q104" s="1"/>
      <c r="R104" s="1"/>
      <c r="S104" s="1"/>
      <c r="T104" s="1"/>
      <c r="U104" s="1"/>
      <c r="V104" s="1"/>
      <c r="W104" s="1"/>
      <c r="X104" s="1"/>
    </row>
    <row r="105" spans="1:24" ht="14.2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row>
    <row r="106" spans="1:24" ht="14.2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row>
    <row r="107" spans="1:24" ht="14.2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row>
    <row r="108" spans="1:24" ht="14.2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ht="14.2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ht="14.2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ht="14.2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ht="14.2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ht="14.2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ht="14.2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row>
    <row r="115" spans="1:24" ht="14.2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row>
    <row r="116" spans="1:24" ht="14.2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row>
    <row r="117" spans="1:24" ht="14.2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row>
    <row r="118" spans="1:24" ht="14.2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row>
    <row r="119" spans="1:24" ht="14.2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row>
    <row r="120" spans="1:24" ht="14.2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row>
    <row r="121" spans="1:24" ht="14.2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row>
    <row r="122" spans="1:24" ht="14.2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row>
    <row r="123" spans="1:24" ht="14.2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row>
    <row r="124" spans="1:24" ht="14.2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row>
    <row r="125" spans="1:24" ht="14.2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row>
    <row r="126" spans="1:24" ht="14.2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row>
    <row r="127" spans="1:24" ht="14.2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row>
    <row r="128" spans="1:24" ht="14.2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row>
    <row r="129" spans="1:24" ht="14.2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row>
    <row r="130" spans="1:24" ht="14.2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row>
    <row r="131" spans="1:24" ht="14.2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row>
    <row r="132" spans="1:24" ht="14.2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row>
    <row r="133" spans="1:24" ht="14.2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row>
    <row r="134" spans="1:24" ht="14.2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row>
    <row r="135" spans="1:24" ht="14.2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row>
    <row r="136" spans="1:24" ht="14.2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row>
    <row r="137" spans="1:24" ht="14.2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row>
    <row r="138" spans="1:24" ht="14.2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row>
    <row r="139" spans="1:24" ht="14.2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row>
    <row r="140" spans="1:24" ht="14.2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row>
    <row r="141" spans="1:24" ht="14.2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row>
    <row r="142" spans="1:24" ht="14.2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row>
    <row r="143" spans="1:24" ht="14.2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row>
    <row r="144" spans="1:24" ht="14.2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row>
    <row r="145" spans="1:24" ht="14.2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row>
    <row r="146" spans="1:24" ht="14.2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row>
    <row r="147" spans="1:24" ht="14.2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row>
    <row r="148" spans="1:24" ht="14.2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row>
    <row r="149" spans="1:24" ht="14.2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row>
    <row r="150" spans="1:24" ht="14.2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row>
    <row r="151" spans="1:24" ht="14.2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row>
    <row r="152" spans="1:24" ht="14.2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row>
    <row r="153" spans="1:24" ht="14.2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row>
    <row r="154" spans="1:24" ht="14.2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row>
    <row r="155" spans="1:24" ht="14.2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row>
    <row r="156" spans="1:24" ht="14.2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row>
    <row r="157" spans="1:24" ht="14.2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row>
    <row r="158" spans="1:24" ht="14.2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row>
    <row r="159" spans="1:24" ht="14.2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row>
    <row r="160" spans="1:24" ht="14.2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row>
    <row r="161" spans="1:24" ht="14.2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row>
    <row r="162" spans="1:24" ht="14.2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row>
    <row r="163" spans="1:24" ht="14.2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row>
    <row r="164" spans="1:24" ht="14.2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row>
    <row r="165" spans="1:24" ht="14.2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row>
    <row r="166" spans="1:24" ht="14.2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row>
    <row r="167" spans="1:24" ht="14.2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row>
    <row r="168" spans="1:24" ht="14.2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row>
    <row r="169" spans="1:24" ht="14.2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row>
    <row r="170" spans="1:24" ht="14.2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row>
    <row r="171" spans="1:24" ht="14.2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row>
    <row r="172" spans="1:24" ht="14.2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row>
    <row r="173" spans="1:24" ht="14.2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row>
    <row r="174" spans="1:24" ht="14.2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row>
    <row r="175" spans="1:24" ht="14.2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row>
    <row r="176" spans="1:24" ht="14.2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row>
    <row r="177" spans="1:24" ht="14.2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row>
    <row r="178" spans="1:24" ht="14.2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row>
    <row r="179" spans="1:24" ht="14.2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row>
    <row r="180" spans="1:24" ht="14.2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row>
    <row r="181" spans="1:24" ht="14.2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row>
    <row r="182" spans="1:24" ht="14.2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row>
    <row r="183" spans="1:24" ht="14.2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row>
    <row r="184" spans="1:24" ht="14.2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row>
    <row r="185" spans="1:24" ht="14.2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row>
    <row r="186" spans="1:24" ht="14.2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row>
    <row r="187" spans="1:24" ht="14.2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row>
    <row r="188" spans="1:24" ht="14.2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row>
    <row r="189" spans="1:24" ht="14.2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row>
    <row r="190" spans="1:24" ht="14.2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row>
    <row r="191" spans="1:24" ht="14.2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row>
    <row r="192" spans="1:24" ht="14.2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row>
    <row r="193" spans="1:24" ht="14.2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row>
    <row r="194" spans="1:24" ht="14.2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row>
    <row r="195" spans="1:24" ht="14.2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row>
    <row r="196" spans="1:24" ht="14.2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row>
    <row r="197" spans="1:24" ht="14.2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row>
    <row r="198" spans="1:24" ht="14.2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row>
    <row r="199" spans="1:24" ht="14.2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row>
    <row r="200" spans="1:24" ht="14.2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row>
    <row r="201" spans="1:24" ht="14.2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row>
    <row r="202" spans="1:24" ht="14.2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row>
    <row r="203" spans="1:24" ht="14.2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row>
    <row r="204" spans="1:24" ht="14.2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row>
    <row r="205" spans="1:24" ht="14.2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row>
    <row r="206" spans="1:24" ht="14.2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row>
    <row r="207" spans="1:24" ht="14.2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row>
    <row r="208" spans="1:24" ht="14.2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row>
    <row r="209" spans="1:24" ht="14.2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row>
    <row r="210" spans="1:24" ht="14.2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row>
    <row r="211" spans="1:24" ht="14.2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row>
    <row r="212" spans="1:24" ht="14.2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row>
    <row r="213" spans="1:24" ht="14.2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row>
    <row r="214" spans="1:24" ht="14.2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row>
    <row r="215" spans="1:24" ht="14.2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row>
    <row r="216" spans="1:24" ht="14.2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row>
    <row r="217" spans="1:24" ht="14.2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row>
    <row r="218" spans="1:24" ht="14.2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row>
    <row r="219" spans="1:24" ht="14.2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row>
    <row r="220" spans="1:24" ht="14.2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row>
    <row r="221" spans="1:24" ht="14.2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row>
    <row r="222" spans="1:24" ht="14.2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row>
    <row r="223" spans="1:24" ht="14.2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row>
    <row r="224" spans="1:24" ht="14.2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row>
    <row r="225" spans="1:24" ht="14.2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row>
    <row r="226" spans="1:24" ht="14.2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row>
    <row r="227" spans="1:24" ht="14.2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row>
    <row r="228" spans="1:24" ht="14.2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row>
    <row r="229" spans="1:24" ht="14.2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row>
    <row r="230" spans="1:24" ht="14.2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row>
    <row r="231" spans="1:24" ht="14.2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row>
    <row r="232" spans="1:24" ht="14.2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row>
    <row r="233" spans="1:24" ht="14.2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row>
    <row r="234" spans="1:24" ht="14.2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row>
    <row r="235" spans="1:24" ht="14.2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row>
    <row r="236" spans="1:24" ht="14.2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row>
    <row r="237" spans="1:24" ht="14.2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row>
    <row r="238" spans="1:24" ht="14.2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row>
    <row r="239" spans="1:24" ht="14.2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row>
    <row r="240" spans="1:24" ht="14.2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row>
    <row r="241" spans="1:24" ht="14.2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row>
    <row r="242" spans="1:24" ht="14.2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row>
    <row r="243" spans="1:24" ht="14.2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row>
    <row r="244" spans="1:24" ht="14.2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row>
    <row r="245" spans="1:24" ht="14.2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row>
    <row r="246" spans="1:24" ht="14.2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row>
    <row r="247" spans="1:24" ht="14.2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row>
    <row r="248" spans="1:24" ht="14.2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row>
    <row r="249" spans="1:24" ht="14.2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row>
    <row r="250" spans="1:24" ht="14.2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row>
    <row r="251" spans="1:24" ht="14.2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row>
    <row r="252" spans="1:24" ht="14.2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row>
    <row r="253" spans="1:24" ht="14.2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row>
    <row r="254" spans="1:24" ht="14.2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row>
    <row r="255" spans="1:24" ht="14.2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row>
    <row r="256" spans="1:24" ht="14.2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row>
    <row r="257" spans="1:24" ht="14.2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row>
    <row r="258" spans="1:24" ht="14.2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row>
    <row r="259" spans="1:24" ht="14.2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row>
    <row r="260" spans="1:24" ht="14.2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row>
    <row r="261" spans="1:24" ht="14.2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row>
    <row r="262" spans="1:24" ht="14.2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row>
    <row r="263" spans="1:24" ht="14.2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row>
    <row r="264" spans="1:24" ht="14.2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row>
    <row r="265" spans="1:24" ht="14.2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row>
    <row r="266" spans="1:24" ht="14.2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row>
    <row r="267" spans="1:24" ht="14.2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row>
    <row r="268" spans="1:24" ht="14.2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row>
    <row r="269" spans="1:24" ht="14.2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row>
    <row r="270" spans="1:24" ht="14.2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row>
    <row r="271" spans="1:24" ht="14.2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row>
    <row r="272" spans="1:24" ht="14.2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row>
    <row r="273" spans="1:24" ht="14.2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row>
    <row r="274" spans="1:24" ht="14.2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row>
    <row r="275" spans="1:24" ht="14.2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row>
    <row r="276" spans="1:24" ht="14.2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row>
    <row r="277" spans="1:24" ht="14.2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row>
    <row r="278" spans="1:24" ht="14.2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row>
    <row r="279" spans="1:24" ht="14.2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row>
    <row r="280" spans="1:24" ht="14.2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row>
    <row r="281" spans="1:24" ht="14.2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row>
    <row r="282" spans="1:24" ht="14.2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row>
    <row r="283" spans="1:24" ht="14.2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row>
    <row r="284" spans="1:24" ht="14.2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row>
    <row r="285" spans="1:24" ht="14.2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row>
    <row r="286" spans="1:24" ht="14.2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row>
    <row r="287" spans="1:24" ht="14.2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row>
    <row r="288" spans="1:24" ht="14.2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row>
    <row r="289" spans="1:24" ht="14.2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row>
    <row r="290" spans="1:24" ht="14.2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row>
    <row r="291" spans="1:24" ht="14.2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row>
    <row r="292" spans="1:24" ht="14.2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row>
    <row r="293" spans="1:24" ht="14.2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row>
    <row r="294" spans="1:24" ht="14.2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row>
    <row r="295" spans="1:24" ht="14.2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row>
    <row r="296" spans="1:24" ht="14.2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row>
    <row r="297" spans="1:24" ht="14.2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row>
    <row r="298" spans="1:24" ht="14.2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row>
    <row r="299" spans="1:24" ht="14.2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row>
    <row r="300" spans="1:24" ht="14.2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row>
    <row r="301" spans="1:24" ht="14.2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row>
    <row r="302" spans="1:24" ht="14.2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row>
    <row r="303" spans="1:24" ht="14.2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row>
    <row r="304" spans="1:24" ht="14.2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row>
    <row r="305" spans="1:24" ht="14.2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row>
    <row r="306" spans="1:24" ht="14.2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row>
    <row r="307" spans="1:24" ht="14.2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row>
    <row r="308" spans="1:24" ht="14.2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row>
    <row r="309" spans="1:24" ht="14.2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row>
    <row r="310" spans="1:24" ht="14.2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row>
    <row r="311" spans="1:24" ht="14.2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row>
    <row r="312" spans="1:24" ht="14.2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row>
    <row r="313" spans="1:24" ht="14.2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row>
    <row r="314" spans="1:24" ht="14.2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row>
    <row r="315" spans="1:24" ht="14.2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row>
    <row r="316" spans="1:24" ht="14.2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row>
    <row r="317" spans="1:24" ht="14.2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row>
    <row r="318" spans="1:24" ht="14.2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row>
    <row r="319" spans="1:24" ht="14.2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row>
    <row r="320" spans="1:24" ht="14.2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row>
    <row r="321" spans="1:24" ht="14.2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row>
    <row r="322" spans="1:24" ht="14.2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row>
    <row r="323" spans="1:24" ht="14.2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row>
    <row r="324" spans="1:24" ht="14.2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row>
    <row r="325" spans="1:24" ht="14.2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row>
    <row r="326" spans="1:24" ht="14.2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row>
    <row r="327" spans="1:24" ht="14.2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row>
    <row r="328" spans="1:24" ht="14.2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row>
    <row r="329" spans="1:24" ht="14.2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row>
    <row r="330" spans="1:24" ht="14.2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row>
    <row r="331" spans="1:24" ht="14.2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row>
    <row r="332" spans="1:24" ht="14.2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row>
    <row r="333" spans="1:24" ht="14.2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row>
    <row r="334" spans="1:24" ht="14.2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row>
    <row r="335" spans="1:24" ht="14.2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row>
    <row r="336" spans="1:24" ht="14.2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row>
    <row r="337" spans="1:24" ht="14.2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row>
    <row r="338" spans="1:24" ht="14.2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row>
    <row r="339" spans="1:24" ht="14.2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row>
    <row r="340" spans="1:24" ht="14.2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row>
    <row r="341" spans="1:24" ht="14.2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row>
    <row r="342" spans="1:24" ht="14.2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row>
    <row r="343" spans="1:24" ht="14.2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row>
    <row r="344" spans="1:24" ht="14.2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row>
    <row r="345" spans="1:24" ht="14.2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row>
    <row r="346" spans="1:24" ht="14.2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row>
    <row r="347" spans="1:24" ht="14.2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row>
    <row r="348" spans="1:24" ht="14.2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row>
    <row r="349" spans="1:24" ht="14.2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row>
    <row r="350" spans="1:24" ht="14.2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row>
    <row r="351" spans="1:24" ht="14.2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row>
    <row r="352" spans="1:24" ht="14.2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row>
    <row r="353" spans="1:24" ht="14.2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row>
    <row r="354" spans="1:24" ht="14.2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row>
    <row r="355" spans="1:24" ht="14.2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row>
    <row r="356" spans="1:24" ht="14.2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row>
    <row r="357" spans="1:24" ht="14.2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row>
    <row r="358" spans="1:24" ht="14.2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row>
    <row r="359" spans="1:24" ht="14.2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row>
    <row r="360" spans="1:24" ht="14.2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row>
    <row r="361" spans="1:24" ht="14.2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row>
    <row r="362" spans="1:24" ht="14.2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row>
    <row r="363" spans="1:24" ht="14.2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row>
    <row r="364" spans="1:24" ht="14.2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row>
    <row r="365" spans="1:24" ht="14.2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row>
    <row r="366" spans="1:24" ht="14.2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row>
    <row r="367" spans="1:24" ht="14.2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row>
    <row r="368" spans="1:24" ht="14.2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row>
    <row r="369" spans="1:24" ht="14.2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row>
    <row r="370" spans="1:24" ht="14.2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row>
    <row r="371" spans="1:24" ht="14.2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row>
    <row r="372" spans="1:24" ht="14.2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row>
    <row r="373" spans="1:24" ht="14.2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row>
    <row r="374" spans="1:24" ht="14.2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row>
    <row r="375" spans="1:24" ht="14.2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row>
    <row r="376" spans="1:24" ht="14.2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row>
    <row r="377" spans="1:24" ht="14.2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row>
    <row r="378" spans="1:24" ht="14.2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row>
    <row r="379" spans="1:24" ht="14.2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row>
    <row r="380" spans="1:24" ht="14.2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row>
    <row r="381" spans="1:24" ht="14.2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row>
    <row r="382" spans="1:24" ht="14.2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row>
    <row r="383" spans="1:24" ht="14.2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row>
    <row r="384" spans="1:24" ht="14.2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row>
    <row r="385" spans="1:24" ht="14.2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row>
    <row r="386" spans="1:24" ht="14.2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row>
    <row r="387" spans="1:24" ht="14.2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row>
    <row r="388" spans="1:24" ht="14.2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row>
    <row r="389" spans="1:24" ht="14.2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row>
    <row r="390" spans="1:24" ht="14.2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row>
    <row r="391" spans="1:24" ht="14.2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row>
    <row r="392" spans="1:24" ht="14.2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row>
    <row r="393" spans="1:24" ht="14.2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row>
    <row r="394" spans="1:24" ht="14.2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row>
    <row r="395" spans="1:24" ht="14.2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row>
    <row r="396" spans="1:24" ht="14.2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row>
    <row r="397" spans="1:24" ht="14.2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row>
    <row r="398" spans="1:24" ht="14.2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row>
    <row r="399" spans="1:24" ht="14.2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row>
    <row r="400" spans="1:24" ht="14.2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row>
    <row r="401" spans="1:24" ht="14.2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row>
    <row r="402" spans="1:24" ht="14.2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row>
    <row r="403" spans="1:24" ht="14.2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row>
    <row r="404" spans="1:24" ht="14.2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row>
    <row r="405" spans="1:24" ht="14.2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row>
    <row r="406" spans="1:24" ht="14.2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row>
    <row r="407" spans="1:24" ht="14.2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row>
    <row r="408" spans="1:24" ht="14.2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row>
    <row r="409" spans="1:24" ht="14.2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row>
    <row r="410" spans="1:24" ht="14.2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row>
    <row r="411" spans="1:24" ht="14.2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row>
    <row r="412" spans="1:24" ht="14.2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row>
    <row r="413" spans="1:24" ht="14.2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row>
    <row r="414" spans="1:24" ht="14.2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row>
    <row r="415" spans="1:24" ht="14.2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row>
    <row r="416" spans="1:24" ht="14.2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row>
    <row r="417" spans="1:24" ht="14.2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row>
    <row r="418" spans="1:24" ht="14.2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row>
    <row r="419" spans="1:24" ht="14.2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row>
    <row r="420" spans="1:24" ht="14.2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row>
    <row r="421" spans="1:24" ht="14.2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row>
    <row r="422" spans="1:24" ht="14.2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row>
    <row r="423" spans="1:24" ht="14.2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row>
    <row r="424" spans="1:24" ht="14.2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row>
    <row r="425" spans="1:24" ht="14.2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row>
    <row r="426" spans="1:24" ht="14.2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row>
    <row r="427" spans="1:24" ht="14.2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row>
    <row r="428" spans="1:24" ht="14.2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row>
    <row r="429" spans="1:24" ht="14.2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row>
    <row r="430" spans="1:24" ht="14.2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row>
    <row r="431" spans="1:24" ht="14.2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row>
    <row r="432" spans="1:24" ht="14.2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row>
    <row r="433" spans="1:24" ht="14.2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row>
    <row r="434" spans="1:24" ht="14.2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row>
    <row r="435" spans="1:24" ht="14.2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row>
    <row r="436" spans="1:24" ht="14.2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row>
    <row r="437" spans="1:24" ht="14.2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row>
    <row r="438" spans="1:24" ht="14.2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row>
    <row r="439" spans="1:24" ht="14.2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row>
    <row r="440" spans="1:24" ht="14.2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row>
    <row r="441" spans="1:24" ht="14.2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row>
    <row r="442" spans="1:24" ht="14.2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row>
    <row r="443" spans="1:24" ht="14.2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row>
    <row r="444" spans="1:24" ht="14.2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row>
    <row r="445" spans="1:24" ht="14.2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row>
    <row r="446" spans="1:24" ht="14.2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row>
    <row r="447" spans="1:24" ht="14.2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row>
    <row r="448" spans="1:24" ht="14.2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row>
    <row r="449" spans="1:24" ht="14.2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row>
    <row r="450" spans="1:24" ht="14.2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row>
    <row r="451" spans="1:24" ht="14.2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row>
    <row r="452" spans="1:24" ht="14.2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row>
    <row r="453" spans="1:24" ht="14.2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row>
    <row r="454" spans="1:24" ht="14.2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row>
    <row r="455" spans="1:24" ht="14.2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row>
    <row r="456" spans="1:24" ht="14.2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row>
    <row r="457" spans="1:24" ht="14.2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row>
    <row r="458" spans="1:24" ht="14.2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row>
    <row r="459" spans="1:24" ht="14.2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row>
    <row r="460" spans="1:24" ht="14.2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row>
    <row r="461" spans="1:24" ht="14.2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row>
    <row r="462" spans="1:24" ht="14.2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row>
    <row r="463" spans="1:24" ht="14.2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row>
    <row r="464" spans="1:24" ht="14.2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row>
    <row r="465" spans="1:24" ht="14.2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row>
    <row r="466" spans="1:24" ht="14.2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row>
    <row r="467" spans="1:24" ht="14.2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row>
    <row r="468" spans="1:24" ht="14.2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row>
    <row r="469" spans="1:24" ht="14.2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row>
    <row r="470" spans="1:24" ht="14.2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row>
    <row r="471" spans="1:24" ht="14.2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row>
    <row r="472" spans="1:24" ht="14.2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row>
    <row r="473" spans="1:24" ht="14.2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row>
    <row r="474" spans="1:24" ht="14.2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row>
    <row r="475" spans="1:24" ht="14.2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row>
    <row r="476" spans="1:24" ht="14.2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row>
    <row r="477" spans="1:24" ht="14.2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row>
    <row r="478" spans="1:24" ht="14.2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row>
    <row r="479" spans="1:24" ht="14.2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row>
    <row r="480" spans="1:24" ht="14.2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row>
    <row r="481" spans="1:24" ht="14.2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row>
    <row r="482" spans="1:24" ht="14.2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row>
    <row r="483" spans="1:24" ht="14.2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row>
    <row r="484" spans="1:24" ht="14.2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row>
    <row r="485" spans="1:24" ht="14.2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row>
    <row r="486" spans="1:24" ht="14.2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row>
    <row r="487" spans="1:24" ht="14.2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row>
    <row r="488" spans="1:24" ht="14.2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row>
    <row r="489" spans="1:24" ht="14.2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row>
    <row r="490" spans="1:24" ht="14.2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row>
    <row r="491" spans="1:24" ht="14.2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row>
    <row r="492" spans="1:24" ht="14.2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row>
    <row r="493" spans="1:24" ht="14.2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row>
    <row r="494" spans="1:24" ht="14.2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row>
    <row r="495" spans="1:24" ht="14.2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row>
    <row r="496" spans="1:24" ht="14.2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row>
    <row r="497" spans="1:24" ht="14.2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row>
    <row r="498" spans="1:24" ht="14.2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row>
    <row r="499" spans="1:24" ht="14.2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row>
    <row r="500" spans="1:24" ht="14.2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row>
    <row r="501" spans="1:24" ht="14.2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row>
    <row r="502" spans="1:24" ht="14.2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row>
    <row r="503" spans="1:24" ht="14.2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row>
    <row r="504" spans="1:24" ht="14.2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row>
    <row r="505" spans="1:24" ht="14.2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row>
    <row r="506" spans="1:24" ht="14.2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row>
    <row r="507" spans="1:24" ht="14.2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row>
    <row r="508" spans="1:24" ht="14.2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row>
    <row r="509" spans="1:24" ht="14.2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row>
    <row r="510" spans="1:24" ht="14.2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row>
    <row r="511" spans="1:24" ht="14.2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row>
    <row r="512" spans="1:24" ht="14.2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row>
    <row r="513" spans="1:24" ht="14.2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row>
    <row r="514" spans="1:24" ht="14.2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row>
    <row r="515" spans="1:24" ht="14.2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row>
    <row r="516" spans="1:24" ht="14.2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row>
    <row r="517" spans="1:24" ht="14.2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row>
    <row r="518" spans="1:24" ht="14.2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row>
    <row r="519" spans="1:24" ht="14.2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row>
    <row r="520" spans="1:24" ht="14.2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row>
    <row r="521" spans="1:24" ht="14.2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row>
    <row r="522" spans="1:24" ht="14.2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row>
    <row r="523" spans="1:24" ht="14.2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row>
    <row r="524" spans="1:24" ht="14.2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row>
    <row r="525" spans="1:24" ht="14.2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row>
    <row r="526" spans="1:24" ht="14.2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row>
    <row r="527" spans="1:24" ht="14.2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row>
    <row r="528" spans="1:24" ht="14.2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row>
    <row r="529" spans="1:24" ht="14.2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row>
    <row r="530" spans="1:24" ht="14.2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row>
    <row r="531" spans="1:24" ht="14.2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row>
    <row r="532" spans="1:24" ht="14.2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row>
    <row r="533" spans="1:24" ht="14.2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row>
    <row r="534" spans="1:24" ht="14.2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row>
    <row r="535" spans="1:24" ht="14.2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row>
    <row r="536" spans="1:24" ht="14.2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row>
    <row r="537" spans="1:24" ht="14.2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row>
    <row r="538" spans="1:24" ht="14.2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row>
    <row r="539" spans="1:24" ht="14.2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row>
    <row r="540" spans="1:24" ht="14.2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row>
    <row r="541" spans="1:24" ht="14.2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row>
    <row r="542" spans="1:24" ht="14.2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row>
    <row r="543" spans="1:24" ht="14.2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row>
    <row r="544" spans="1:24" ht="14.2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row>
    <row r="545" spans="1:24" ht="14.2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row>
    <row r="546" spans="1:24" ht="14.2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row>
    <row r="547" spans="1:24" ht="14.2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row>
    <row r="548" spans="1:24" ht="14.2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row>
    <row r="549" spans="1:24" ht="14.2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row>
    <row r="550" spans="1:24" ht="14.2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row>
    <row r="551" spans="1:24" ht="14.2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row>
    <row r="552" spans="1:24" ht="14.2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row>
    <row r="553" spans="1:24" ht="14.2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row>
    <row r="554" spans="1:24" ht="14.2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row>
    <row r="555" spans="1:24" ht="14.2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row>
    <row r="556" spans="1:24" ht="14.2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row>
    <row r="557" spans="1:24" ht="14.2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row>
    <row r="558" spans="1:24" ht="14.2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row>
    <row r="559" spans="1:24" ht="14.2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row>
    <row r="560" spans="1:24" ht="14.2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row>
    <row r="561" spans="1:24" ht="14.2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row>
    <row r="562" spans="1:24" ht="14.2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row>
    <row r="563" spans="1:24" ht="14.2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row>
    <row r="564" spans="1:24" ht="14.2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row>
    <row r="565" spans="1:24" ht="14.2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row>
    <row r="566" spans="1:24" ht="14.2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row>
    <row r="567" spans="1:24" ht="14.2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row>
    <row r="568" spans="1:24" ht="14.2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row>
    <row r="569" spans="1:24" ht="14.2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row>
    <row r="570" spans="1:24" ht="14.2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row>
    <row r="571" spans="1:24" ht="14.2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row>
    <row r="572" spans="1:24" ht="14.2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row>
    <row r="573" spans="1:24" ht="14.2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row>
    <row r="574" spans="1:24" ht="14.2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row>
    <row r="575" spans="1:24" ht="14.2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row>
    <row r="576" spans="1:24" ht="14.2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row>
    <row r="577" spans="1:24" ht="14.2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row>
    <row r="578" spans="1:24" ht="14.2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row>
    <row r="579" spans="1:24" ht="14.2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row>
    <row r="580" spans="1:24" ht="14.2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row>
    <row r="581" spans="1:24" ht="14.2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row>
    <row r="582" spans="1:24" ht="14.2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row>
    <row r="583" spans="1:24" ht="14.2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row>
    <row r="584" spans="1:24" ht="14.2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row>
    <row r="585" spans="1:24" ht="14.2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row>
    <row r="586" spans="1:24" ht="14.2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row>
    <row r="587" spans="1:24" ht="14.2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row>
    <row r="588" spans="1:24" ht="14.2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row>
    <row r="589" spans="1:24" ht="14.2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row>
    <row r="590" spans="1:24" ht="14.2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row>
    <row r="591" spans="1:24" ht="14.2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row>
    <row r="592" spans="1:24" ht="14.2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row>
    <row r="593" spans="1:24" ht="14.2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row>
    <row r="594" spans="1:24" ht="14.2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row>
    <row r="595" spans="1:24" ht="14.2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row>
    <row r="596" spans="1:24" ht="14.2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row>
    <row r="597" spans="1:24" ht="14.2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row>
    <row r="598" spans="1:24" ht="14.2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row>
    <row r="599" spans="1:24" ht="14.2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row>
    <row r="600" spans="1:24" ht="14.2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row>
    <row r="601" spans="1:24" ht="14.2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row>
    <row r="602" spans="1:24" ht="14.2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row>
    <row r="603" spans="1:24" ht="14.2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row>
    <row r="604" spans="1:24" ht="14.2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row>
    <row r="605" spans="1:24" ht="14.2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row>
    <row r="606" spans="1:24" ht="14.2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row>
    <row r="607" spans="1:24" ht="14.2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row>
    <row r="608" spans="1:24" ht="14.2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row>
    <row r="609" spans="1:24" ht="14.2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row>
    <row r="610" spans="1:24" ht="14.2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row>
    <row r="611" spans="1:24" ht="14.2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row>
    <row r="612" spans="1:24" ht="14.2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row>
    <row r="613" spans="1:24" ht="14.2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row>
    <row r="614" spans="1:24" ht="14.2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row>
    <row r="615" spans="1:24" ht="14.2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row>
    <row r="616" spans="1:24" ht="14.2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row>
    <row r="617" spans="1:24" ht="14.2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row>
    <row r="618" spans="1:24" ht="14.2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row>
    <row r="619" spans="1:24" ht="14.2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row>
    <row r="620" spans="1:24" ht="14.2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row>
    <row r="621" spans="1:24" ht="14.2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row>
    <row r="622" spans="1:24" ht="14.2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row>
    <row r="623" spans="1:24" ht="14.2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row>
    <row r="624" spans="1:24" ht="14.2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row>
    <row r="625" spans="1:24" ht="14.2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row>
    <row r="626" spans="1:24" ht="14.2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row>
    <row r="627" spans="1:24" ht="14.2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row>
    <row r="628" spans="1:24" ht="14.2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row>
    <row r="629" spans="1:24" ht="14.2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row>
    <row r="630" spans="1:24" ht="14.2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row>
    <row r="631" spans="1:24" ht="14.2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row>
    <row r="632" spans="1:24" ht="14.2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row>
    <row r="633" spans="1:24" ht="14.2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row>
    <row r="634" spans="1:24" ht="14.2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row>
    <row r="635" spans="1:24" ht="14.2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row>
    <row r="636" spans="1:24" ht="14.2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row>
    <row r="637" spans="1:24" ht="14.2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row>
    <row r="638" spans="1:24" ht="14.2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row>
    <row r="639" spans="1:24" ht="14.2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row>
    <row r="640" spans="1:24" ht="14.2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row>
    <row r="641" spans="1:24" ht="14.2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row>
    <row r="642" spans="1:24" ht="14.2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row>
    <row r="643" spans="1:24" ht="14.2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row>
    <row r="644" spans="1:24" ht="14.2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row>
    <row r="645" spans="1:24" ht="14.2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row>
    <row r="646" spans="1:24" ht="14.2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row>
    <row r="647" spans="1:24" ht="14.2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row>
    <row r="648" spans="1:24" ht="14.2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row>
    <row r="649" spans="1:24" ht="14.2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row>
    <row r="650" spans="1:24" ht="14.2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row>
    <row r="651" spans="1:24" ht="14.2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row>
    <row r="652" spans="1:24" ht="14.2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row>
    <row r="653" spans="1:24" ht="14.2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row>
    <row r="654" spans="1:24" ht="14.2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row>
    <row r="655" spans="1:24" ht="14.2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row>
    <row r="656" spans="1:24" ht="14.2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row>
    <row r="657" spans="1:24" ht="14.2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row>
    <row r="658" spans="1:24" ht="14.2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row>
    <row r="659" spans="1:24" ht="14.2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row>
    <row r="660" spans="1:24" ht="14.2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row>
    <row r="661" spans="1:24" ht="14.2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row>
    <row r="662" spans="1:24" ht="14.2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row>
    <row r="663" spans="1:24" ht="14.2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row>
    <row r="664" spans="1:24" ht="14.2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row>
    <row r="665" spans="1:24" ht="14.2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row>
    <row r="666" spans="1:24" ht="14.2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row>
    <row r="667" spans="1:24" ht="14.2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row>
    <row r="668" spans="1:24" ht="14.2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row>
    <row r="669" spans="1:24" ht="14.2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row>
    <row r="670" spans="1:24" ht="14.2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row>
    <row r="671" spans="1:24" ht="14.2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row>
    <row r="672" spans="1:24" ht="14.2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row>
    <row r="673" spans="1:24" ht="14.2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row>
    <row r="674" spans="1:24" ht="14.2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row>
    <row r="675" spans="1:24" ht="14.2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row>
    <row r="676" spans="1:24" ht="14.2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row>
    <row r="677" spans="1:24" ht="14.2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row>
    <row r="678" spans="1:24" ht="14.2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row>
    <row r="679" spans="1:24" ht="14.2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row>
    <row r="680" spans="1:24" ht="14.2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row>
    <row r="681" spans="1:24" ht="14.2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row>
    <row r="682" spans="1:24" ht="14.2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row>
    <row r="683" spans="1:24" ht="14.2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row>
    <row r="684" spans="1:24" ht="14.2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row>
    <row r="685" spans="1:24" ht="14.2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row>
    <row r="686" spans="1:24" ht="14.2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row>
    <row r="687" spans="1:24" ht="14.2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row>
    <row r="688" spans="1:24" ht="14.2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row>
    <row r="689" spans="1:24" ht="14.2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row>
    <row r="690" spans="1:24" ht="14.2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row>
    <row r="691" spans="1:24" ht="14.2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row>
    <row r="692" spans="1:24" ht="14.2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row>
    <row r="693" spans="1:24" ht="14.2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row>
    <row r="694" spans="1:24" ht="14.2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row>
    <row r="695" spans="1:24" ht="14.2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row>
    <row r="696" spans="1:24" ht="14.2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row>
    <row r="697" spans="1:24" ht="14.2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row>
    <row r="698" spans="1:24" ht="14.2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row>
    <row r="699" spans="1:24" ht="14.2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row>
    <row r="700" spans="1:24" ht="14.2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row>
    <row r="701" spans="1:24" ht="14.2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row>
    <row r="702" spans="1:24" ht="14.2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row>
    <row r="703" spans="1:24" ht="14.2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row>
    <row r="704" spans="1:24" ht="14.2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row>
    <row r="705" spans="1:24" ht="14.2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row>
    <row r="706" spans="1:24" ht="14.2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row>
    <row r="707" spans="1:24" ht="14.2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row>
    <row r="708" spans="1:24" ht="14.2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row>
    <row r="709" spans="1:24" ht="14.2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row>
    <row r="710" spans="1:24" ht="14.2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row>
    <row r="711" spans="1:24" ht="14.2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row>
    <row r="712" spans="1:24" ht="14.2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row>
    <row r="713" spans="1:24" ht="14.2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row>
    <row r="714" spans="1:24" ht="14.2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row>
    <row r="715" spans="1:24" ht="14.2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row>
    <row r="716" spans="1:24" ht="14.2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row>
    <row r="717" spans="1:24" ht="14.2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row>
    <row r="718" spans="1:24" ht="14.2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row>
    <row r="719" spans="1:24" ht="14.2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row>
    <row r="720" spans="1:24" ht="14.2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row>
    <row r="721" spans="1:24" ht="14.2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row>
    <row r="722" spans="1:24" ht="14.2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row>
    <row r="723" spans="1:24" ht="14.2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row>
    <row r="724" spans="1:24" ht="14.2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row>
    <row r="725" spans="1:24" ht="14.2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row>
    <row r="726" spans="1:24" ht="14.2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row>
    <row r="727" spans="1:24" ht="14.2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row>
    <row r="728" spans="1:24" ht="14.2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row>
    <row r="729" spans="1:24" ht="14.2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row>
    <row r="730" spans="1:24" ht="14.2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row>
    <row r="731" spans="1:24" ht="14.2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row>
    <row r="732" spans="1:24" ht="14.2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row>
    <row r="733" spans="1:24" ht="14.2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row>
    <row r="734" spans="1:24" ht="14.2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row>
    <row r="735" spans="1:24" ht="14.2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row>
    <row r="736" spans="1:24" ht="14.2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row>
    <row r="737" spans="1:24" ht="14.2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row>
    <row r="738" spans="1:24" ht="14.2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row>
    <row r="739" spans="1:24" ht="14.2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row>
    <row r="740" spans="1:24" ht="14.2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row>
    <row r="741" spans="1:24" ht="14.2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row>
    <row r="742" spans="1:24" ht="14.2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row>
    <row r="743" spans="1:24" ht="14.2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row>
    <row r="744" spans="1:24" ht="14.2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row>
    <row r="745" spans="1:24" ht="14.2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row>
    <row r="746" spans="1:24" ht="14.2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row>
    <row r="747" spans="1:24" ht="14.2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row>
    <row r="748" spans="1:24" ht="14.2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row>
    <row r="749" spans="1:24" ht="14.2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row>
    <row r="750" spans="1:24" ht="14.2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row>
    <row r="751" spans="1:24" ht="14.2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row>
    <row r="752" spans="1:24" ht="14.2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row>
    <row r="753" spans="1:24" ht="14.2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row>
    <row r="754" spans="1:24" ht="14.2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row>
    <row r="755" spans="1:24" ht="14.2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row>
    <row r="756" spans="1:24" ht="14.2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row>
    <row r="757" spans="1:24" ht="14.2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row>
    <row r="758" spans="1:24" ht="14.2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row>
    <row r="759" spans="1:24" ht="14.2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row>
    <row r="760" spans="1:24" ht="14.2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row>
    <row r="761" spans="1:24" ht="14.2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row>
    <row r="762" spans="1:24" ht="14.2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row>
    <row r="763" spans="1:24" ht="14.2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row>
    <row r="764" spans="1:24" ht="14.2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row>
    <row r="765" spans="1:24" ht="14.2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row>
    <row r="766" spans="1:24" ht="14.2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row>
    <row r="767" spans="1:24" ht="14.2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row>
    <row r="768" spans="1:24" ht="14.2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row>
    <row r="769" spans="1:24" ht="14.2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row>
    <row r="770" spans="1:24" ht="14.2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row>
    <row r="771" spans="1:24" ht="14.2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row>
    <row r="772" spans="1:24" ht="14.2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row>
    <row r="773" spans="1:24" ht="14.2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row>
    <row r="774" spans="1:24" ht="14.2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row>
    <row r="775" spans="1:24" ht="14.2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row>
    <row r="776" spans="1:24" ht="14.2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row>
    <row r="777" spans="1:24" ht="14.2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row>
    <row r="778" spans="1:24" ht="14.2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row>
    <row r="779" spans="1:24" ht="14.2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row>
    <row r="780" spans="1:24" ht="14.2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row>
    <row r="781" spans="1:24" ht="14.2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row>
    <row r="782" spans="1:24" ht="14.2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row>
    <row r="783" spans="1:24" ht="14.2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row>
    <row r="784" spans="1:24" ht="14.2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row>
    <row r="785" spans="1:24" ht="14.2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row>
    <row r="786" spans="1:24" ht="14.2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row>
    <row r="787" spans="1:24" ht="14.2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row>
    <row r="788" spans="1:24" ht="14.2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row>
    <row r="789" spans="1:24" ht="14.2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row>
    <row r="790" spans="1:24" ht="14.2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row>
    <row r="791" spans="1:24" ht="14.2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row>
    <row r="792" spans="1:24" ht="14.2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row>
    <row r="793" spans="1:24" ht="14.2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row>
    <row r="794" spans="1:24" ht="14.2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row>
    <row r="795" spans="1:24" ht="14.2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row>
    <row r="796" spans="1:24" ht="14.2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row>
    <row r="797" spans="1:24" ht="14.2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row>
    <row r="798" spans="1:24" ht="14.2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row>
    <row r="799" spans="1:24" ht="14.2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row>
    <row r="800" spans="1:24" ht="14.2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row>
    <row r="801" spans="1:24" ht="14.2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row>
    <row r="802" spans="1:24" ht="14.2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row>
    <row r="803" spans="1:24" ht="14.2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row>
    <row r="804" spans="1:24" ht="14.2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row>
    <row r="805" spans="1:24" ht="14.2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row>
    <row r="806" spans="1:24" ht="14.2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row>
    <row r="807" spans="1:24" ht="14.2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row>
    <row r="808" spans="1:24" ht="14.2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row>
    <row r="809" spans="1:24" ht="14.2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row>
    <row r="810" spans="1:24" ht="14.2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row>
    <row r="811" spans="1:24" ht="14.2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row>
    <row r="812" spans="1:24" ht="14.2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row>
    <row r="813" spans="1:24" ht="14.2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row>
    <row r="814" spans="1:24" ht="14.2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row>
    <row r="815" spans="1:24" ht="14.2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row>
    <row r="816" spans="1:24" ht="14.2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row>
    <row r="817" spans="1:24" ht="14.2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row>
    <row r="818" spans="1:24" ht="14.2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row>
    <row r="819" spans="1:24" ht="14.2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row>
    <row r="820" spans="1:24" ht="14.2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row>
    <row r="821" spans="1:24" ht="14.2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row>
    <row r="822" spans="1:24" ht="14.2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row>
    <row r="823" spans="1:24" ht="14.2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row>
    <row r="824" spans="1:24" ht="14.2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row>
    <row r="825" spans="1:24" ht="14.2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row>
    <row r="826" spans="1:24" ht="14.2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row>
    <row r="827" spans="1:24" ht="14.2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row>
    <row r="828" spans="1:24" ht="14.2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row>
    <row r="829" spans="1:24" ht="14.2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row>
    <row r="830" spans="1:24" ht="14.2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row>
    <row r="831" spans="1:24" ht="14.2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row>
    <row r="832" spans="1:24" ht="14.2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row>
    <row r="833" spans="1:24" ht="14.2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row>
    <row r="834" spans="1:24" ht="14.2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row>
    <row r="835" spans="1:24" ht="14.2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row>
    <row r="836" spans="1:24" ht="14.2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row>
    <row r="837" spans="1:24" ht="14.2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row>
    <row r="838" spans="1:24" ht="14.2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row>
    <row r="839" spans="1:24" ht="14.2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row>
    <row r="840" spans="1:24" ht="14.2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row>
    <row r="841" spans="1:24" ht="14.2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row>
    <row r="842" spans="1:24" ht="14.2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row>
    <row r="843" spans="1:24" ht="14.2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row>
    <row r="844" spans="1:24" ht="14.2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row>
    <row r="845" spans="1:24" ht="14.2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row>
    <row r="846" spans="1:24" ht="14.2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row>
    <row r="847" spans="1:24" ht="14.2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row>
    <row r="848" spans="1:24" ht="14.2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row>
    <row r="849" spans="1:24" ht="14.2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row>
    <row r="850" spans="1:24" ht="14.2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row>
    <row r="851" spans="1:24" ht="14.2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row>
    <row r="852" spans="1:24" ht="14.2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row>
    <row r="853" spans="1:24" ht="14.2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row>
    <row r="854" spans="1:24" ht="14.2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row>
    <row r="855" spans="1:24" ht="14.2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row>
    <row r="856" spans="1:24" ht="14.2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row>
    <row r="857" spans="1:24" ht="14.2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row>
    <row r="858" spans="1:24" ht="14.2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row>
    <row r="859" spans="1:24" ht="14.2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row>
    <row r="860" spans="1:24" ht="14.2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row>
    <row r="861" spans="1:24" ht="14.2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row>
    <row r="862" spans="1:24" ht="14.2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row>
    <row r="863" spans="1:24" ht="14.2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row>
    <row r="864" spans="1:24" ht="14.2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row>
    <row r="865" spans="1:24" ht="14.2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row>
    <row r="866" spans="1:24" ht="14.2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row>
    <row r="867" spans="1:24" ht="14.2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row>
    <row r="868" spans="1:24" ht="14.2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row>
    <row r="869" spans="1:24" ht="14.2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row>
    <row r="870" spans="1:24" ht="14.2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row>
    <row r="871" spans="1:24" ht="14.2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row>
    <row r="872" spans="1:24" ht="14.2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row>
    <row r="873" spans="1:24" ht="14.2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row>
    <row r="874" spans="1:24" ht="14.2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row>
    <row r="875" spans="1:24" ht="14.2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row>
    <row r="876" spans="1:24" ht="14.2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row>
    <row r="877" spans="1:24" ht="14.2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row>
    <row r="878" spans="1:24" ht="14.2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row>
    <row r="879" spans="1:24" ht="14.2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row>
    <row r="880" spans="1:24" ht="14.2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row>
    <row r="881" spans="1:24" ht="14.2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row>
    <row r="882" spans="1:24" ht="14.2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row>
    <row r="883" spans="1:24" ht="14.2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row>
    <row r="884" spans="1:24" ht="14.2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row>
    <row r="885" spans="1:24" ht="14.2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row>
    <row r="886" spans="1:24" ht="14.2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row>
    <row r="887" spans="1:24" ht="14.2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row>
    <row r="888" spans="1:24" ht="14.2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row>
    <row r="889" spans="1:24" ht="14.2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row>
    <row r="890" spans="1:24" ht="14.2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row>
    <row r="891" spans="1:24" ht="14.2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row>
    <row r="892" spans="1:24" ht="14.2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row>
    <row r="893" spans="1:24" ht="14.2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row>
    <row r="894" spans="1:24" ht="14.2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row>
    <row r="895" spans="1:24" ht="14.2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row>
    <row r="896" spans="1:24" ht="14.2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row>
    <row r="897" spans="1:24" ht="14.2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row>
    <row r="898" spans="1:24" ht="14.2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row>
    <row r="899" spans="1:24" ht="14.2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row>
    <row r="900" spans="1:24" ht="14.2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row>
    <row r="901" spans="1:24" ht="14.2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row>
    <row r="902" spans="1:24" ht="14.2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row>
    <row r="903" spans="1:24" ht="14.2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row>
    <row r="904" spans="1:24" ht="14.2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row>
    <row r="905" spans="1:24" ht="14.2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row>
    <row r="906" spans="1:24" ht="14.2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row>
    <row r="907" spans="1:24" ht="14.2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row>
    <row r="908" spans="1:24" ht="14.2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row>
    <row r="909" spans="1:24" ht="14.2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row>
    <row r="910" spans="1:24" ht="14.2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row>
    <row r="911" spans="1:24" ht="14.2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row>
    <row r="912" spans="1:24" ht="14.2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row>
    <row r="913" spans="1:24" ht="14.2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row>
    <row r="914" spans="1:24" ht="14.2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row>
    <row r="915" spans="1:24" ht="14.2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row>
    <row r="916" spans="1:24" ht="14.2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row>
    <row r="917" spans="1:24" ht="14.2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row>
    <row r="918" spans="1:24" ht="14.2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row>
    <row r="919" spans="1:24" ht="14.2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row>
    <row r="920" spans="1:24" ht="14.2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row>
    <row r="921" spans="1:24" ht="14.2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row>
    <row r="922" spans="1:24" ht="14.2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row>
    <row r="923" spans="1:24" ht="14.2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row>
    <row r="924" spans="1:24" ht="14.2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row>
    <row r="925" spans="1:24" ht="14.2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row>
    <row r="926" spans="1:24" ht="14.2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row>
    <row r="927" spans="1:24" ht="14.2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row>
    <row r="928" spans="1:24" ht="14.2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row>
    <row r="929" spans="1:24" ht="14.2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row>
    <row r="930" spans="1:24" ht="14.2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row>
    <row r="931" spans="1:24" ht="14.2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row>
    <row r="932" spans="1:24" ht="14.2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row>
    <row r="933" spans="1:24" ht="14.2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row>
    <row r="934" spans="1:24" ht="14.2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row>
    <row r="935" spans="1:24" ht="14.2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row>
    <row r="936" spans="1:24" ht="14.2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row>
    <row r="937" spans="1:24" ht="14.2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row>
    <row r="938" spans="1:24" ht="14.2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row>
    <row r="939" spans="1:24" ht="14.2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row>
    <row r="940" spans="1:24" ht="14.2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row>
    <row r="941" spans="1:24" ht="14.2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row>
    <row r="942" spans="1:24" ht="14.2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row>
    <row r="943" spans="1:24" ht="14.2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row>
    <row r="944" spans="1:24" ht="14.2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row>
    <row r="945" spans="1:24" ht="14.2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row>
    <row r="946" spans="1:24" ht="14.2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row>
    <row r="947" spans="1:24" ht="14.2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row>
    <row r="948" spans="1:24" ht="14.2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row>
    <row r="949" spans="1:24" ht="14.2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row>
    <row r="950" spans="1:24" ht="14.2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row>
    <row r="951" spans="1:24" ht="14.2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row>
    <row r="952" spans="1:24" ht="14.2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row>
    <row r="953" spans="1:24" ht="14.2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row>
    <row r="954" spans="1:24" ht="14.2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row>
    <row r="955" spans="1:24" ht="14.2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row>
    <row r="956" spans="1:24" ht="14.2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row>
    <row r="957" spans="1:24" ht="14.2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row>
    <row r="958" spans="1:24" ht="14.2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row>
    <row r="959" spans="1:24" ht="14.2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row>
    <row r="960" spans="1:24" ht="14.2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row>
    <row r="961" spans="1:24" ht="14.2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row>
    <row r="962" spans="1:24" ht="14.2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row>
    <row r="963" spans="1:24" ht="14.2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row>
    <row r="964" spans="1:24" ht="14.2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row>
    <row r="965" spans="1:24" ht="14.2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row>
    <row r="966" spans="1:24" ht="14.2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row>
    <row r="967" spans="1:24" ht="14.2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row>
    <row r="968" spans="1:24" ht="14.2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row>
    <row r="969" spans="1:24" ht="14.2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row>
    <row r="970" spans="1:24" ht="14.2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row>
    <row r="971" spans="1:24" ht="14.2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row>
    <row r="972" spans="1:24" ht="14.2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row>
    <row r="973" spans="1:24" ht="14.2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row>
    <row r="974" spans="1:24" ht="14.2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row>
    <row r="975" spans="1:24" ht="14.2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row>
    <row r="976" spans="1:24" ht="14.2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row>
    <row r="977" spans="1:24" ht="14.2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row>
    <row r="978" spans="1:24" ht="14.2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row>
    <row r="979" spans="1:24" ht="14.2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row>
    <row r="980" spans="1:24" ht="14.2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row>
    <row r="981" spans="1:24" ht="14.2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row>
    <row r="982" spans="1:24" ht="14.2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row>
    <row r="983" spans="1:24" ht="14.2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row>
    <row r="984" spans="1:24" ht="14.2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row>
    <row r="985" spans="1:24" ht="14.2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row>
    <row r="986" spans="1:24" ht="14.2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row>
    <row r="987" spans="1:24" ht="14.2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row>
    <row r="988" spans="1:24" ht="14.2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row>
    <row r="989" spans="1:24" ht="14.2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row>
    <row r="990" spans="1:24" ht="14.2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row>
    <row r="991" spans="1:24" ht="14.2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row>
    <row r="992" spans="1:24" ht="14.2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row>
    <row r="993" spans="1:24" ht="14.2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row>
    <row r="994" spans="1:24" ht="14.2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row>
    <row r="995" spans="1:24" ht="14.2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row>
    <row r="996" spans="1:24" ht="14.2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row>
    <row r="997" spans="1:24" ht="14.2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row>
    <row r="998" spans="1:24" ht="14.2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row>
    <row r="999" spans="1:24" ht="14.2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row>
  </sheetData>
  <mergeCells count="193">
    <mergeCell ref="I3:J3"/>
    <mergeCell ref="F3:H3"/>
    <mergeCell ref="C3:E3"/>
    <mergeCell ref="K104:L104"/>
    <mergeCell ref="A81:C82"/>
    <mergeCell ref="D81:G82"/>
    <mergeCell ref="H81:J82"/>
    <mergeCell ref="A83:C84"/>
    <mergeCell ref="D83:G84"/>
    <mergeCell ref="H83:J84"/>
    <mergeCell ref="A85:C86"/>
    <mergeCell ref="A87:C88"/>
    <mergeCell ref="A89:C90"/>
    <mergeCell ref="A91:C92"/>
    <mergeCell ref="A93:C94"/>
    <mergeCell ref="A95:C96"/>
    <mergeCell ref="A97:C98"/>
    <mergeCell ref="A99:C100"/>
    <mergeCell ref="A101:C102"/>
    <mergeCell ref="A103:C104"/>
    <mergeCell ref="D85:G86"/>
    <mergeCell ref="D87:G88"/>
    <mergeCell ref="D89:G90"/>
    <mergeCell ref="D91:G92"/>
    <mergeCell ref="K101:L101"/>
    <mergeCell ref="K102:L102"/>
    <mergeCell ref="K103:L103"/>
    <mergeCell ref="D101:G102"/>
    <mergeCell ref="D103:G104"/>
    <mergeCell ref="H101:J102"/>
    <mergeCell ref="H103:J104"/>
    <mergeCell ref="K98:L98"/>
    <mergeCell ref="K99:L99"/>
    <mergeCell ref="K100:L100"/>
    <mergeCell ref="D97:G98"/>
    <mergeCell ref="D99:G100"/>
    <mergeCell ref="H97:J98"/>
    <mergeCell ref="H99:J100"/>
    <mergeCell ref="K91:L91"/>
    <mergeCell ref="K95:L95"/>
    <mergeCell ref="K96:L96"/>
    <mergeCell ref="K97:L97"/>
    <mergeCell ref="D95:G96"/>
    <mergeCell ref="H95:J96"/>
    <mergeCell ref="K92:L92"/>
    <mergeCell ref="K93:L93"/>
    <mergeCell ref="K94:L94"/>
    <mergeCell ref="D93:G94"/>
    <mergeCell ref="H91:J92"/>
    <mergeCell ref="H93:J94"/>
    <mergeCell ref="H85:J86"/>
    <mergeCell ref="H87:J88"/>
    <mergeCell ref="H89:J90"/>
    <mergeCell ref="A78:L78"/>
    <mergeCell ref="A80:F80"/>
    <mergeCell ref="A79:C79"/>
    <mergeCell ref="D79:G79"/>
    <mergeCell ref="K79:L79"/>
    <mergeCell ref="K81:L81"/>
    <mergeCell ref="K80:L80"/>
    <mergeCell ref="K82:L82"/>
    <mergeCell ref="H79:J79"/>
    <mergeCell ref="K83:L83"/>
    <mergeCell ref="K84:L84"/>
    <mergeCell ref="K85:L85"/>
    <mergeCell ref="K86:L86"/>
    <mergeCell ref="K87:L87"/>
    <mergeCell ref="K88:L88"/>
    <mergeCell ref="K89:L89"/>
    <mergeCell ref="K90:L90"/>
    <mergeCell ref="A18:L18"/>
    <mergeCell ref="A22:L22"/>
    <mergeCell ref="E29:H29"/>
    <mergeCell ref="J28:L28"/>
    <mergeCell ref="J29:L29"/>
    <mergeCell ref="A31:C31"/>
    <mergeCell ref="A32:C32"/>
    <mergeCell ref="A70:F70"/>
    <mergeCell ref="G70:L70"/>
    <mergeCell ref="A63:L63"/>
    <mergeCell ref="A64:L64"/>
    <mergeCell ref="A59:F59"/>
    <mergeCell ref="G59:L59"/>
    <mergeCell ref="A60:F60"/>
    <mergeCell ref="G60:L60"/>
    <mergeCell ref="A61:F61"/>
    <mergeCell ref="G61:L61"/>
    <mergeCell ref="A44:C44"/>
    <mergeCell ref="A53:F53"/>
    <mergeCell ref="G53:L53"/>
    <mergeCell ref="A54:F54"/>
    <mergeCell ref="G54:L54"/>
    <mergeCell ref="A55:F55"/>
    <mergeCell ref="G55:L55"/>
    <mergeCell ref="A16:L16"/>
    <mergeCell ref="A48:L48"/>
    <mergeCell ref="A49:F49"/>
    <mergeCell ref="G49:L49"/>
    <mergeCell ref="A65:F65"/>
    <mergeCell ref="G65:L65"/>
    <mergeCell ref="A47:L47"/>
    <mergeCell ref="A50:F50"/>
    <mergeCell ref="G50:L50"/>
    <mergeCell ref="G38:L38"/>
    <mergeCell ref="A19:L19"/>
    <mergeCell ref="D44:F44"/>
    <mergeCell ref="G44:I44"/>
    <mergeCell ref="J44:L44"/>
    <mergeCell ref="A24:D24"/>
    <mergeCell ref="E24:H24"/>
    <mergeCell ref="I24:L24"/>
    <mergeCell ref="A25:L25"/>
    <mergeCell ref="A26:L26"/>
    <mergeCell ref="A27:L27"/>
    <mergeCell ref="E28:H28"/>
    <mergeCell ref="A28:C28"/>
    <mergeCell ref="A29:C29"/>
    <mergeCell ref="D42:F42"/>
    <mergeCell ref="A58:F58"/>
    <mergeCell ref="G58:L58"/>
    <mergeCell ref="A17:L17"/>
    <mergeCell ref="G42:I42"/>
    <mergeCell ref="J42:L42"/>
    <mergeCell ref="A43:C43"/>
    <mergeCell ref="D43:F43"/>
    <mergeCell ref="G43:I43"/>
    <mergeCell ref="J43:L43"/>
    <mergeCell ref="A56:F56"/>
    <mergeCell ref="G56:L56"/>
    <mergeCell ref="A57:F57"/>
    <mergeCell ref="G57:L57"/>
    <mergeCell ref="A42:C42"/>
    <mergeCell ref="A51:F51"/>
    <mergeCell ref="G51:L51"/>
    <mergeCell ref="A52:F52"/>
    <mergeCell ref="G52:L52"/>
    <mergeCell ref="A40:L40"/>
    <mergeCell ref="A21:L21"/>
    <mergeCell ref="A23:D23"/>
    <mergeCell ref="E23:H23"/>
    <mergeCell ref="I23:L23"/>
    <mergeCell ref="E31:F31"/>
    <mergeCell ref="A1:L1"/>
    <mergeCell ref="A5:B5"/>
    <mergeCell ref="C5:L5"/>
    <mergeCell ref="A7:L7"/>
    <mergeCell ref="A12:C12"/>
    <mergeCell ref="D12:L12"/>
    <mergeCell ref="A13:C13"/>
    <mergeCell ref="D13:L13"/>
    <mergeCell ref="A15:L15"/>
    <mergeCell ref="A8:C8"/>
    <mergeCell ref="D8:L8"/>
    <mergeCell ref="A9:C9"/>
    <mergeCell ref="D9:L9"/>
    <mergeCell ref="A11:C11"/>
    <mergeCell ref="D11:L11"/>
    <mergeCell ref="A10:C10"/>
    <mergeCell ref="D10:L10"/>
    <mergeCell ref="A2:B2"/>
    <mergeCell ref="A3:B3"/>
    <mergeCell ref="C2:E2"/>
    <mergeCell ref="F2:H2"/>
    <mergeCell ref="I2:J2"/>
    <mergeCell ref="K2:L2"/>
    <mergeCell ref="K3:L3"/>
    <mergeCell ref="A75:L75"/>
    <mergeCell ref="A77:L77"/>
    <mergeCell ref="A76:L76"/>
    <mergeCell ref="A66:F66"/>
    <mergeCell ref="G66:L66"/>
    <mergeCell ref="A67:F67"/>
    <mergeCell ref="G67:L67"/>
    <mergeCell ref="A68:F68"/>
    <mergeCell ref="G68:L68"/>
    <mergeCell ref="A69:F69"/>
    <mergeCell ref="G69:L69"/>
    <mergeCell ref="A73:F73"/>
    <mergeCell ref="G73:L73"/>
    <mergeCell ref="A71:F71"/>
    <mergeCell ref="G71:L71"/>
    <mergeCell ref="A72:F72"/>
    <mergeCell ref="G72:L72"/>
    <mergeCell ref="A38:F38"/>
    <mergeCell ref="G31:H31"/>
    <mergeCell ref="E32:F32"/>
    <mergeCell ref="G32:H32"/>
    <mergeCell ref="K31:L31"/>
    <mergeCell ref="K32:L32"/>
    <mergeCell ref="A34:L34"/>
    <mergeCell ref="A36:F36"/>
    <mergeCell ref="G36:L36"/>
    <mergeCell ref="A37:L37"/>
  </mergeCells>
  <dataValidations count="3">
    <dataValidation type="list" allowBlank="1" showInputMessage="1" showErrorMessage="1" sqref="D12:L13 J32 E32" xr:uid="{00000000-0002-0000-0000-000000000000}">
      <formula1>"SI,NO"</formula1>
    </dataValidation>
    <dataValidation type="list" allowBlank="1" showInputMessage="1" showErrorMessage="1" sqref="A32" xr:uid="{00000000-0002-0000-0000-000001000000}">
      <formula1>"Frecuentemente,Ocasionalmente,No Requiere"</formula1>
    </dataValidation>
    <dataValidation type="list" allowBlank="1" showInputMessage="1" showErrorMessage="1" sqref="K32:L32" xr:uid="{00000000-0002-0000-0000-000002000000}">
      <formula1>"Carro,Moto,NO APLICA"</formula1>
    </dataValidation>
  </dataValidations>
  <printOptions horizontalCentered="1" verticalCentered="1"/>
  <pageMargins left="0.39370078740157483" right="0.39370078740157483" top="0.59055118110236227" bottom="0.59055118110236227" header="0" footer="0"/>
  <pageSetup paperSize="9" scale="68" orientation="portrait" r:id="rId1"/>
  <rowBreaks count="1" manualBreakCount="1">
    <brk id="73" max="11" man="1"/>
  </rowBreaks>
  <ignoredErrors>
    <ignoredError sqref="D9:D1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0</xdr:col>
                    <xdr:colOff>28575</xdr:colOff>
                    <xdr:row>50</xdr:row>
                    <xdr:rowOff>28575</xdr:rowOff>
                  </from>
                  <to>
                    <xdr:col>2</xdr:col>
                    <xdr:colOff>666750</xdr:colOff>
                    <xdr:row>51</xdr:row>
                    <xdr:rowOff>0</xdr:rowOff>
                  </to>
                </anchor>
              </controlPr>
            </control>
          </mc:Choice>
        </mc:AlternateContent>
        <mc:AlternateContent xmlns:mc="http://schemas.openxmlformats.org/markup-compatibility/2006">
          <mc:Choice Requires="x14">
            <control shapeId="1034" r:id="rId5" name="Check Box 10">
              <controlPr defaultSize="0" autoFill="0" autoLine="0" autoPict="0">
                <anchor moveWithCells="1">
                  <from>
                    <xdr:col>0</xdr:col>
                    <xdr:colOff>28575</xdr:colOff>
                    <xdr:row>51</xdr:row>
                    <xdr:rowOff>28575</xdr:rowOff>
                  </from>
                  <to>
                    <xdr:col>2</xdr:col>
                    <xdr:colOff>666750</xdr:colOff>
                    <xdr:row>52</xdr:row>
                    <xdr:rowOff>0</xdr:rowOff>
                  </to>
                </anchor>
              </controlPr>
            </control>
          </mc:Choice>
        </mc:AlternateContent>
        <mc:AlternateContent xmlns:mc="http://schemas.openxmlformats.org/markup-compatibility/2006">
          <mc:Choice Requires="x14">
            <control shapeId="1035" r:id="rId6" name="Check Box 11">
              <controlPr defaultSize="0" autoFill="0" autoLine="0" autoPict="0">
                <anchor moveWithCells="1">
                  <from>
                    <xdr:col>0</xdr:col>
                    <xdr:colOff>28575</xdr:colOff>
                    <xdr:row>52</xdr:row>
                    <xdr:rowOff>28575</xdr:rowOff>
                  </from>
                  <to>
                    <xdr:col>2</xdr:col>
                    <xdr:colOff>666750</xdr:colOff>
                    <xdr:row>53</xdr:row>
                    <xdr:rowOff>0</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0</xdr:col>
                    <xdr:colOff>28575</xdr:colOff>
                    <xdr:row>53</xdr:row>
                    <xdr:rowOff>28575</xdr:rowOff>
                  </from>
                  <to>
                    <xdr:col>2</xdr:col>
                    <xdr:colOff>666750</xdr:colOff>
                    <xdr:row>54</xdr:row>
                    <xdr:rowOff>0</xdr:rowOff>
                  </to>
                </anchor>
              </controlPr>
            </control>
          </mc:Choice>
        </mc:AlternateContent>
        <mc:AlternateContent xmlns:mc="http://schemas.openxmlformats.org/markup-compatibility/2006">
          <mc:Choice Requires="x14">
            <control shapeId="1037" r:id="rId8" name="Check Box 13">
              <controlPr defaultSize="0" autoFill="0" autoLine="0" autoPict="0">
                <anchor moveWithCells="1">
                  <from>
                    <xdr:col>0</xdr:col>
                    <xdr:colOff>28575</xdr:colOff>
                    <xdr:row>54</xdr:row>
                    <xdr:rowOff>28575</xdr:rowOff>
                  </from>
                  <to>
                    <xdr:col>2</xdr:col>
                    <xdr:colOff>666750</xdr:colOff>
                    <xdr:row>55</xdr:row>
                    <xdr:rowOff>0</xdr:rowOff>
                  </to>
                </anchor>
              </controlPr>
            </control>
          </mc:Choice>
        </mc:AlternateContent>
        <mc:AlternateContent xmlns:mc="http://schemas.openxmlformats.org/markup-compatibility/2006">
          <mc:Choice Requires="x14">
            <control shapeId="1038" r:id="rId9" name="Check Box 14">
              <controlPr defaultSize="0" autoFill="0" autoLine="0" autoPict="0">
                <anchor moveWithCells="1">
                  <from>
                    <xdr:col>0</xdr:col>
                    <xdr:colOff>28575</xdr:colOff>
                    <xdr:row>55</xdr:row>
                    <xdr:rowOff>28575</xdr:rowOff>
                  </from>
                  <to>
                    <xdr:col>2</xdr:col>
                    <xdr:colOff>666750</xdr:colOff>
                    <xdr:row>56</xdr:row>
                    <xdr:rowOff>0</xdr:rowOff>
                  </to>
                </anchor>
              </controlPr>
            </control>
          </mc:Choice>
        </mc:AlternateContent>
        <mc:AlternateContent xmlns:mc="http://schemas.openxmlformats.org/markup-compatibility/2006">
          <mc:Choice Requires="x14">
            <control shapeId="1039" r:id="rId10" name="Check Box 15">
              <controlPr defaultSize="0" autoFill="0" autoLine="0" autoPict="0">
                <anchor moveWithCells="1">
                  <from>
                    <xdr:col>0</xdr:col>
                    <xdr:colOff>28575</xdr:colOff>
                    <xdr:row>56</xdr:row>
                    <xdr:rowOff>28575</xdr:rowOff>
                  </from>
                  <to>
                    <xdr:col>2</xdr:col>
                    <xdr:colOff>666750</xdr:colOff>
                    <xdr:row>57</xdr:row>
                    <xdr:rowOff>0</xdr:rowOff>
                  </to>
                </anchor>
              </controlPr>
            </control>
          </mc:Choice>
        </mc:AlternateContent>
        <mc:AlternateContent xmlns:mc="http://schemas.openxmlformats.org/markup-compatibility/2006">
          <mc:Choice Requires="x14">
            <control shapeId="1040" r:id="rId11" name="Check Box 16">
              <controlPr defaultSize="0" autoFill="0" autoLine="0" autoPict="0">
                <anchor moveWithCells="1">
                  <from>
                    <xdr:col>0</xdr:col>
                    <xdr:colOff>28575</xdr:colOff>
                    <xdr:row>57</xdr:row>
                    <xdr:rowOff>28575</xdr:rowOff>
                  </from>
                  <to>
                    <xdr:col>2</xdr:col>
                    <xdr:colOff>666750</xdr:colOff>
                    <xdr:row>58</xdr:row>
                    <xdr:rowOff>0</xdr:rowOff>
                  </to>
                </anchor>
              </controlPr>
            </control>
          </mc:Choice>
        </mc:AlternateContent>
        <mc:AlternateContent xmlns:mc="http://schemas.openxmlformats.org/markup-compatibility/2006">
          <mc:Choice Requires="x14">
            <control shapeId="1041" r:id="rId12" name="Check Box 17">
              <controlPr defaultSize="0" autoFill="0" autoLine="0" autoPict="0">
                <anchor moveWithCells="1">
                  <from>
                    <xdr:col>0</xdr:col>
                    <xdr:colOff>28575</xdr:colOff>
                    <xdr:row>58</xdr:row>
                    <xdr:rowOff>28575</xdr:rowOff>
                  </from>
                  <to>
                    <xdr:col>2</xdr:col>
                    <xdr:colOff>666750</xdr:colOff>
                    <xdr:row>59</xdr:row>
                    <xdr:rowOff>0</xdr:rowOff>
                  </to>
                </anchor>
              </controlPr>
            </control>
          </mc:Choice>
        </mc:AlternateContent>
        <mc:AlternateContent xmlns:mc="http://schemas.openxmlformats.org/markup-compatibility/2006">
          <mc:Choice Requires="x14">
            <control shapeId="1042" r:id="rId13" name="Check Box 18">
              <controlPr defaultSize="0" autoFill="0" autoLine="0" autoPict="0">
                <anchor moveWithCells="1">
                  <from>
                    <xdr:col>6</xdr:col>
                    <xdr:colOff>28575</xdr:colOff>
                    <xdr:row>50</xdr:row>
                    <xdr:rowOff>19050</xdr:rowOff>
                  </from>
                  <to>
                    <xdr:col>8</xdr:col>
                    <xdr:colOff>314325</xdr:colOff>
                    <xdr:row>50</xdr:row>
                    <xdr:rowOff>152400</xdr:rowOff>
                  </to>
                </anchor>
              </controlPr>
            </control>
          </mc:Choice>
        </mc:AlternateContent>
        <mc:AlternateContent xmlns:mc="http://schemas.openxmlformats.org/markup-compatibility/2006">
          <mc:Choice Requires="x14">
            <control shapeId="1043" r:id="rId14" name="Check Box 19">
              <controlPr defaultSize="0" autoFill="0" autoLine="0" autoPict="0">
                <anchor moveWithCells="1">
                  <from>
                    <xdr:col>6</xdr:col>
                    <xdr:colOff>28575</xdr:colOff>
                    <xdr:row>51</xdr:row>
                    <xdr:rowOff>28575</xdr:rowOff>
                  </from>
                  <to>
                    <xdr:col>8</xdr:col>
                    <xdr:colOff>314325</xdr:colOff>
                    <xdr:row>52</xdr:row>
                    <xdr:rowOff>0</xdr:rowOff>
                  </to>
                </anchor>
              </controlPr>
            </control>
          </mc:Choice>
        </mc:AlternateContent>
        <mc:AlternateContent xmlns:mc="http://schemas.openxmlformats.org/markup-compatibility/2006">
          <mc:Choice Requires="x14">
            <control shapeId="1044" r:id="rId15" name="Check Box 20">
              <controlPr defaultSize="0" autoFill="0" autoLine="0" autoPict="0">
                <anchor moveWithCells="1">
                  <from>
                    <xdr:col>6</xdr:col>
                    <xdr:colOff>28575</xdr:colOff>
                    <xdr:row>52</xdr:row>
                    <xdr:rowOff>28575</xdr:rowOff>
                  </from>
                  <to>
                    <xdr:col>8</xdr:col>
                    <xdr:colOff>314325</xdr:colOff>
                    <xdr:row>53</xdr:row>
                    <xdr:rowOff>0</xdr:rowOff>
                  </to>
                </anchor>
              </controlPr>
            </control>
          </mc:Choice>
        </mc:AlternateContent>
        <mc:AlternateContent xmlns:mc="http://schemas.openxmlformats.org/markup-compatibility/2006">
          <mc:Choice Requires="x14">
            <control shapeId="1045" r:id="rId16" name="Check Box 21">
              <controlPr defaultSize="0" autoFill="0" autoLine="0" autoPict="0">
                <anchor moveWithCells="1">
                  <from>
                    <xdr:col>6</xdr:col>
                    <xdr:colOff>28575</xdr:colOff>
                    <xdr:row>53</xdr:row>
                    <xdr:rowOff>28575</xdr:rowOff>
                  </from>
                  <to>
                    <xdr:col>8</xdr:col>
                    <xdr:colOff>314325</xdr:colOff>
                    <xdr:row>54</xdr:row>
                    <xdr:rowOff>0</xdr:rowOff>
                  </to>
                </anchor>
              </controlPr>
            </control>
          </mc:Choice>
        </mc:AlternateContent>
        <mc:AlternateContent xmlns:mc="http://schemas.openxmlformats.org/markup-compatibility/2006">
          <mc:Choice Requires="x14">
            <control shapeId="1046" r:id="rId17" name="Check Box 22">
              <controlPr defaultSize="0" autoFill="0" autoLine="0" autoPict="0">
                <anchor moveWithCells="1">
                  <from>
                    <xdr:col>6</xdr:col>
                    <xdr:colOff>28575</xdr:colOff>
                    <xdr:row>54</xdr:row>
                    <xdr:rowOff>28575</xdr:rowOff>
                  </from>
                  <to>
                    <xdr:col>8</xdr:col>
                    <xdr:colOff>314325</xdr:colOff>
                    <xdr:row>55</xdr:row>
                    <xdr:rowOff>0</xdr:rowOff>
                  </to>
                </anchor>
              </controlPr>
            </control>
          </mc:Choice>
        </mc:AlternateContent>
        <mc:AlternateContent xmlns:mc="http://schemas.openxmlformats.org/markup-compatibility/2006">
          <mc:Choice Requires="x14">
            <control shapeId="1047" r:id="rId18" name="Check Box 23">
              <controlPr defaultSize="0" autoFill="0" autoLine="0" autoPict="0">
                <anchor moveWithCells="1">
                  <from>
                    <xdr:col>6</xdr:col>
                    <xdr:colOff>28575</xdr:colOff>
                    <xdr:row>55</xdr:row>
                    <xdr:rowOff>28575</xdr:rowOff>
                  </from>
                  <to>
                    <xdr:col>8</xdr:col>
                    <xdr:colOff>314325</xdr:colOff>
                    <xdr:row>56</xdr:row>
                    <xdr:rowOff>0</xdr:rowOff>
                  </to>
                </anchor>
              </controlPr>
            </control>
          </mc:Choice>
        </mc:AlternateContent>
        <mc:AlternateContent xmlns:mc="http://schemas.openxmlformats.org/markup-compatibility/2006">
          <mc:Choice Requires="x14">
            <control shapeId="1048" r:id="rId19" name="Check Box 24">
              <controlPr defaultSize="0" autoFill="0" autoLine="0" autoPict="0">
                <anchor moveWithCells="1">
                  <from>
                    <xdr:col>6</xdr:col>
                    <xdr:colOff>28575</xdr:colOff>
                    <xdr:row>56</xdr:row>
                    <xdr:rowOff>28575</xdr:rowOff>
                  </from>
                  <to>
                    <xdr:col>8</xdr:col>
                    <xdr:colOff>314325</xdr:colOff>
                    <xdr:row>57</xdr:row>
                    <xdr:rowOff>0</xdr:rowOff>
                  </to>
                </anchor>
              </controlPr>
            </control>
          </mc:Choice>
        </mc:AlternateContent>
        <mc:AlternateContent xmlns:mc="http://schemas.openxmlformats.org/markup-compatibility/2006">
          <mc:Choice Requires="x14">
            <control shapeId="1049" r:id="rId20" name="Check Box 25">
              <controlPr defaultSize="0" autoFill="0" autoLine="0" autoPict="0">
                <anchor moveWithCells="1">
                  <from>
                    <xdr:col>6</xdr:col>
                    <xdr:colOff>28575</xdr:colOff>
                    <xdr:row>57</xdr:row>
                    <xdr:rowOff>28575</xdr:rowOff>
                  </from>
                  <to>
                    <xdr:col>8</xdr:col>
                    <xdr:colOff>314325</xdr:colOff>
                    <xdr:row>58</xdr:row>
                    <xdr:rowOff>0</xdr:rowOff>
                  </to>
                </anchor>
              </controlPr>
            </control>
          </mc:Choice>
        </mc:AlternateContent>
        <mc:AlternateContent xmlns:mc="http://schemas.openxmlformats.org/markup-compatibility/2006">
          <mc:Choice Requires="x14">
            <control shapeId="1050" r:id="rId21" name="Check Box 26">
              <controlPr defaultSize="0" autoFill="0" autoLine="0" autoPict="0">
                <anchor moveWithCells="1">
                  <from>
                    <xdr:col>6</xdr:col>
                    <xdr:colOff>28575</xdr:colOff>
                    <xdr:row>58</xdr:row>
                    <xdr:rowOff>28575</xdr:rowOff>
                  </from>
                  <to>
                    <xdr:col>8</xdr:col>
                    <xdr:colOff>314325</xdr:colOff>
                    <xdr:row>59</xdr:row>
                    <xdr:rowOff>0</xdr:rowOff>
                  </to>
                </anchor>
              </controlPr>
            </control>
          </mc:Choice>
        </mc:AlternateContent>
        <mc:AlternateContent xmlns:mc="http://schemas.openxmlformats.org/markup-compatibility/2006">
          <mc:Choice Requires="x14">
            <control shapeId="1051" r:id="rId22" name="Check Box 27">
              <controlPr defaultSize="0" autoFill="0" autoLine="0" autoPict="0">
                <anchor moveWithCells="1">
                  <from>
                    <xdr:col>6</xdr:col>
                    <xdr:colOff>28575</xdr:colOff>
                    <xdr:row>59</xdr:row>
                    <xdr:rowOff>28575</xdr:rowOff>
                  </from>
                  <to>
                    <xdr:col>8</xdr:col>
                    <xdr:colOff>314325</xdr:colOff>
                    <xdr:row>60</xdr:row>
                    <xdr:rowOff>0</xdr:rowOff>
                  </to>
                </anchor>
              </controlPr>
            </control>
          </mc:Choice>
        </mc:AlternateContent>
        <mc:AlternateContent xmlns:mc="http://schemas.openxmlformats.org/markup-compatibility/2006">
          <mc:Choice Requires="x14">
            <control shapeId="1052" r:id="rId23" name="Check Box 28">
              <controlPr defaultSize="0" autoFill="0" autoLine="0" autoPict="0">
                <anchor moveWithCells="1">
                  <from>
                    <xdr:col>0</xdr:col>
                    <xdr:colOff>28575</xdr:colOff>
                    <xdr:row>59</xdr:row>
                    <xdr:rowOff>28575</xdr:rowOff>
                  </from>
                  <to>
                    <xdr:col>2</xdr:col>
                    <xdr:colOff>666750</xdr:colOff>
                    <xdr:row>60</xdr:row>
                    <xdr:rowOff>0</xdr:rowOff>
                  </to>
                </anchor>
              </controlPr>
            </control>
          </mc:Choice>
        </mc:AlternateContent>
        <mc:AlternateContent xmlns:mc="http://schemas.openxmlformats.org/markup-compatibility/2006">
          <mc:Choice Requires="x14">
            <control shapeId="1054" r:id="rId24" name="Check Box 30">
              <controlPr defaultSize="0" autoFill="0" autoLine="0" autoPict="0">
                <anchor moveWithCells="1">
                  <from>
                    <xdr:col>0</xdr:col>
                    <xdr:colOff>28575</xdr:colOff>
                    <xdr:row>66</xdr:row>
                    <xdr:rowOff>28575</xdr:rowOff>
                  </from>
                  <to>
                    <xdr:col>2</xdr:col>
                    <xdr:colOff>666750</xdr:colOff>
                    <xdr:row>66</xdr:row>
                    <xdr:rowOff>161925</xdr:rowOff>
                  </to>
                </anchor>
              </controlPr>
            </control>
          </mc:Choice>
        </mc:AlternateContent>
        <mc:AlternateContent xmlns:mc="http://schemas.openxmlformats.org/markup-compatibility/2006">
          <mc:Choice Requires="x14">
            <control shapeId="1055" r:id="rId25" name="Check Box 31">
              <controlPr defaultSize="0" autoFill="0" autoLine="0" autoPict="0">
                <anchor moveWithCells="1">
                  <from>
                    <xdr:col>0</xdr:col>
                    <xdr:colOff>28575</xdr:colOff>
                    <xdr:row>67</xdr:row>
                    <xdr:rowOff>28575</xdr:rowOff>
                  </from>
                  <to>
                    <xdr:col>2</xdr:col>
                    <xdr:colOff>666750</xdr:colOff>
                    <xdr:row>67</xdr:row>
                    <xdr:rowOff>161925</xdr:rowOff>
                  </to>
                </anchor>
              </controlPr>
            </control>
          </mc:Choice>
        </mc:AlternateContent>
        <mc:AlternateContent xmlns:mc="http://schemas.openxmlformats.org/markup-compatibility/2006">
          <mc:Choice Requires="x14">
            <control shapeId="1056" r:id="rId26" name="Check Box 32">
              <controlPr defaultSize="0" autoFill="0" autoLine="0" autoPict="0">
                <anchor moveWithCells="1">
                  <from>
                    <xdr:col>0</xdr:col>
                    <xdr:colOff>28575</xdr:colOff>
                    <xdr:row>68</xdr:row>
                    <xdr:rowOff>28575</xdr:rowOff>
                  </from>
                  <to>
                    <xdr:col>2</xdr:col>
                    <xdr:colOff>666750</xdr:colOff>
                    <xdr:row>68</xdr:row>
                    <xdr:rowOff>161925</xdr:rowOff>
                  </to>
                </anchor>
              </controlPr>
            </control>
          </mc:Choice>
        </mc:AlternateContent>
        <mc:AlternateContent xmlns:mc="http://schemas.openxmlformats.org/markup-compatibility/2006">
          <mc:Choice Requires="x14">
            <control shapeId="1057" r:id="rId27" name="Check Box 33">
              <controlPr defaultSize="0" autoFill="0" autoLine="0" autoPict="0">
                <anchor moveWithCells="1">
                  <from>
                    <xdr:col>0</xdr:col>
                    <xdr:colOff>28575</xdr:colOff>
                    <xdr:row>69</xdr:row>
                    <xdr:rowOff>28575</xdr:rowOff>
                  </from>
                  <to>
                    <xdr:col>2</xdr:col>
                    <xdr:colOff>666750</xdr:colOff>
                    <xdr:row>69</xdr:row>
                    <xdr:rowOff>161925</xdr:rowOff>
                  </to>
                </anchor>
              </controlPr>
            </control>
          </mc:Choice>
        </mc:AlternateContent>
        <mc:AlternateContent xmlns:mc="http://schemas.openxmlformats.org/markup-compatibility/2006">
          <mc:Choice Requires="x14">
            <control shapeId="1058" r:id="rId28" name="Check Box 34">
              <controlPr defaultSize="0" autoFill="0" autoLine="0" autoPict="0">
                <anchor moveWithCells="1">
                  <from>
                    <xdr:col>0</xdr:col>
                    <xdr:colOff>28575</xdr:colOff>
                    <xdr:row>70</xdr:row>
                    <xdr:rowOff>28575</xdr:rowOff>
                  </from>
                  <to>
                    <xdr:col>2</xdr:col>
                    <xdr:colOff>666750</xdr:colOff>
                    <xdr:row>70</xdr:row>
                    <xdr:rowOff>161925</xdr:rowOff>
                  </to>
                </anchor>
              </controlPr>
            </control>
          </mc:Choice>
        </mc:AlternateContent>
        <mc:AlternateContent xmlns:mc="http://schemas.openxmlformats.org/markup-compatibility/2006">
          <mc:Choice Requires="x14">
            <control shapeId="1059" r:id="rId29" name="Check Box 35">
              <controlPr defaultSize="0" autoFill="0" autoLine="0" autoPict="0">
                <anchor moveWithCells="1">
                  <from>
                    <xdr:col>0</xdr:col>
                    <xdr:colOff>28575</xdr:colOff>
                    <xdr:row>71</xdr:row>
                    <xdr:rowOff>28575</xdr:rowOff>
                  </from>
                  <to>
                    <xdr:col>2</xdr:col>
                    <xdr:colOff>666750</xdr:colOff>
                    <xdr:row>71</xdr:row>
                    <xdr:rowOff>161925</xdr:rowOff>
                  </to>
                </anchor>
              </controlPr>
            </control>
          </mc:Choice>
        </mc:AlternateContent>
        <mc:AlternateContent xmlns:mc="http://schemas.openxmlformats.org/markup-compatibility/2006">
          <mc:Choice Requires="x14">
            <control shapeId="1060" r:id="rId30" name="Check Box 36">
              <controlPr defaultSize="0" autoFill="0" autoLine="0" autoPict="0">
                <anchor moveWithCells="1">
                  <from>
                    <xdr:col>0</xdr:col>
                    <xdr:colOff>28575</xdr:colOff>
                    <xdr:row>72</xdr:row>
                    <xdr:rowOff>28575</xdr:rowOff>
                  </from>
                  <to>
                    <xdr:col>2</xdr:col>
                    <xdr:colOff>666750</xdr:colOff>
                    <xdr:row>72</xdr:row>
                    <xdr:rowOff>161925</xdr:rowOff>
                  </to>
                </anchor>
              </controlPr>
            </control>
          </mc:Choice>
        </mc:AlternateContent>
        <mc:AlternateContent xmlns:mc="http://schemas.openxmlformats.org/markup-compatibility/2006">
          <mc:Choice Requires="x14">
            <control shapeId="1062" r:id="rId31" name="Check Box 38">
              <controlPr defaultSize="0" autoFill="0" autoLine="0" autoPict="0">
                <anchor moveWithCells="1">
                  <from>
                    <xdr:col>6</xdr:col>
                    <xdr:colOff>28575</xdr:colOff>
                    <xdr:row>66</xdr:row>
                    <xdr:rowOff>19050</xdr:rowOff>
                  </from>
                  <to>
                    <xdr:col>8</xdr:col>
                    <xdr:colOff>514350</xdr:colOff>
                    <xdr:row>66</xdr:row>
                    <xdr:rowOff>161925</xdr:rowOff>
                  </to>
                </anchor>
              </controlPr>
            </control>
          </mc:Choice>
        </mc:AlternateContent>
        <mc:AlternateContent xmlns:mc="http://schemas.openxmlformats.org/markup-compatibility/2006">
          <mc:Choice Requires="x14">
            <control shapeId="1063" r:id="rId32" name="Check Box 39">
              <controlPr defaultSize="0" autoFill="0" autoLine="0" autoPict="0">
                <anchor moveWithCells="1">
                  <from>
                    <xdr:col>6</xdr:col>
                    <xdr:colOff>19050</xdr:colOff>
                    <xdr:row>67</xdr:row>
                    <xdr:rowOff>28575</xdr:rowOff>
                  </from>
                  <to>
                    <xdr:col>8</xdr:col>
                    <xdr:colOff>514350</xdr:colOff>
                    <xdr:row>67</xdr:row>
                    <xdr:rowOff>171450</xdr:rowOff>
                  </to>
                </anchor>
              </controlPr>
            </control>
          </mc:Choice>
        </mc:AlternateContent>
        <mc:AlternateContent xmlns:mc="http://schemas.openxmlformats.org/markup-compatibility/2006">
          <mc:Choice Requires="x14">
            <control shapeId="1064" r:id="rId33" name="Check Box 40">
              <controlPr defaultSize="0" autoFill="0" autoLine="0" autoPict="0">
                <anchor moveWithCells="1">
                  <from>
                    <xdr:col>6</xdr:col>
                    <xdr:colOff>28575</xdr:colOff>
                    <xdr:row>68</xdr:row>
                    <xdr:rowOff>28575</xdr:rowOff>
                  </from>
                  <to>
                    <xdr:col>8</xdr:col>
                    <xdr:colOff>314325</xdr:colOff>
                    <xdr:row>68</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3000000}">
          <x14:formula1>
            <xm:f>LISTAS!$A$3:$A$28</xm:f>
          </x14:formula1>
          <xm:sqref>D8:L8</xm:sqref>
        </x14:dataValidation>
        <x14:dataValidation type="list" allowBlank="1" showInputMessage="1" showErrorMessage="1" xr:uid="{00000000-0002-0000-0000-000004000000}">
          <x14:formula1>
            <xm:f>LISTAS!$A$32:$A$40</xm:f>
          </x14:formula1>
          <xm:sqref>G32:H32</xm:sqref>
        </x14:dataValidation>
        <x14:dataValidation type="list" allowBlank="1" showInputMessage="1" showErrorMessage="1" xr:uid="{00000000-0002-0000-0000-000005000000}">
          <x14:formula1>
            <xm:f>LISTAS!$A$43:$A$54</xm:f>
          </x14:formula1>
          <xm:sqref>A81 A103 A101 A99 A97 A95 A93 A91 A89 A87 A85 A83</xm:sqref>
        </x14:dataValidation>
        <x14:dataValidation type="list" allowBlank="1" showInputMessage="1" showErrorMessage="1" xr:uid="{00000000-0002-0000-0000-000006000000}">
          <x14:formula1>
            <xm:f>LISTAS!$C$33:$C$38</xm:f>
          </x14:formula1>
          <xm:sqref>K81:L104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outlinePr summaryBelow="0" summaryRight="0"/>
  </sheetPr>
  <dimension ref="A1:I54"/>
  <sheetViews>
    <sheetView topLeftCell="A30" workbookViewId="0">
      <selection activeCell="C38" sqref="C38"/>
    </sheetView>
  </sheetViews>
  <sheetFormatPr baseColWidth="10" defaultColWidth="14.42578125" defaultRowHeight="15" customHeight="1" x14ac:dyDescent="0.25"/>
  <cols>
    <col min="1" max="1" width="34" customWidth="1"/>
    <col min="2" max="2" width="41.42578125" customWidth="1"/>
    <col min="3" max="3" width="58.28515625" customWidth="1"/>
    <col min="4" max="4" width="20.42578125" customWidth="1"/>
    <col min="5" max="5" width="22.5703125" customWidth="1"/>
    <col min="6" max="6" width="48.7109375" customWidth="1"/>
    <col min="7" max="8" width="0" hidden="1" customWidth="1"/>
    <col min="9" max="9" width="80.7109375" customWidth="1"/>
  </cols>
  <sheetData>
    <row r="1" spans="1:9" ht="15" customHeight="1" x14ac:dyDescent="0.25">
      <c r="A1">
        <v>1</v>
      </c>
      <c r="B1">
        <v>2</v>
      </c>
      <c r="C1">
        <v>3</v>
      </c>
      <c r="D1">
        <v>4</v>
      </c>
    </row>
    <row r="2" spans="1:9" ht="15" customHeight="1" x14ac:dyDescent="0.25">
      <c r="A2" s="12" t="s">
        <v>9</v>
      </c>
      <c r="B2" s="13" t="s">
        <v>10</v>
      </c>
      <c r="C2" s="14" t="s">
        <v>42</v>
      </c>
      <c r="D2" s="13" t="s">
        <v>51</v>
      </c>
      <c r="E2" t="s">
        <v>124</v>
      </c>
      <c r="F2" t="s">
        <v>125</v>
      </c>
      <c r="G2" t="s">
        <v>126</v>
      </c>
      <c r="H2" t="s">
        <v>127</v>
      </c>
      <c r="I2" t="s">
        <v>128</v>
      </c>
    </row>
    <row r="3" spans="1:9" ht="63" customHeight="1" x14ac:dyDescent="0.25">
      <c r="A3" s="10" t="s">
        <v>11</v>
      </c>
      <c r="B3" s="9" t="s">
        <v>0</v>
      </c>
      <c r="C3" s="11" t="s">
        <v>43</v>
      </c>
      <c r="D3" s="9" t="s">
        <v>52</v>
      </c>
    </row>
    <row r="4" spans="1:9" ht="15" customHeight="1" x14ac:dyDescent="0.25">
      <c r="A4" s="10" t="s">
        <v>53</v>
      </c>
      <c r="B4" s="9" t="s">
        <v>32</v>
      </c>
      <c r="C4" s="11" t="s">
        <v>44</v>
      </c>
      <c r="D4" s="9" t="s">
        <v>11</v>
      </c>
    </row>
    <row r="5" spans="1:9" ht="30" customHeight="1" x14ac:dyDescent="0.25">
      <c r="A5" s="10" t="s">
        <v>12</v>
      </c>
      <c r="B5" s="9" t="s">
        <v>33</v>
      </c>
      <c r="C5" s="11" t="s">
        <v>44</v>
      </c>
      <c r="D5" s="9" t="s">
        <v>53</v>
      </c>
    </row>
    <row r="6" spans="1:9" ht="66" customHeight="1" x14ac:dyDescent="0.25">
      <c r="A6" s="10" t="s">
        <v>13</v>
      </c>
      <c r="B6" s="9" t="s">
        <v>33</v>
      </c>
      <c r="C6" s="11" t="s">
        <v>44</v>
      </c>
      <c r="D6" s="9" t="s">
        <v>53</v>
      </c>
    </row>
    <row r="7" spans="1:9" x14ac:dyDescent="0.25">
      <c r="A7" s="10" t="s">
        <v>34</v>
      </c>
      <c r="B7" s="9" t="s">
        <v>14</v>
      </c>
      <c r="C7" s="11" t="s">
        <v>45</v>
      </c>
      <c r="D7" s="9" t="s">
        <v>11</v>
      </c>
    </row>
    <row r="8" spans="1:9" ht="15" customHeight="1" x14ac:dyDescent="0.25">
      <c r="A8" s="10" t="s">
        <v>35</v>
      </c>
      <c r="B8" s="9" t="s">
        <v>14</v>
      </c>
      <c r="C8" s="11" t="s">
        <v>45</v>
      </c>
      <c r="D8" s="9" t="s">
        <v>34</v>
      </c>
    </row>
    <row r="9" spans="1:9" x14ac:dyDescent="0.25">
      <c r="A9" s="10" t="s">
        <v>15</v>
      </c>
      <c r="B9" s="9" t="s">
        <v>16</v>
      </c>
      <c r="C9" s="11" t="s">
        <v>45</v>
      </c>
      <c r="D9" s="9" t="s">
        <v>11</v>
      </c>
    </row>
    <row r="10" spans="1:9" ht="15" customHeight="1" x14ac:dyDescent="0.25">
      <c r="A10" s="10" t="s">
        <v>17</v>
      </c>
      <c r="B10" s="9" t="s">
        <v>16</v>
      </c>
      <c r="C10" s="11" t="s">
        <v>45</v>
      </c>
      <c r="D10" s="9" t="s">
        <v>15</v>
      </c>
    </row>
    <row r="11" spans="1:9" ht="15" customHeight="1" x14ac:dyDescent="0.25">
      <c r="A11" s="10" t="s">
        <v>18</v>
      </c>
      <c r="B11" s="9" t="s">
        <v>16</v>
      </c>
      <c r="C11" s="11" t="s">
        <v>45</v>
      </c>
      <c r="D11" s="9" t="s">
        <v>15</v>
      </c>
    </row>
    <row r="12" spans="1:9" ht="15" customHeight="1" x14ac:dyDescent="0.25">
      <c r="A12" s="10" t="s">
        <v>31</v>
      </c>
      <c r="B12" s="9" t="s">
        <v>16</v>
      </c>
      <c r="C12" s="11" t="s">
        <v>45</v>
      </c>
      <c r="D12" s="9" t="s">
        <v>15</v>
      </c>
    </row>
    <row r="13" spans="1:9" ht="15" customHeight="1" x14ac:dyDescent="0.25">
      <c r="A13" s="10" t="s">
        <v>47</v>
      </c>
      <c r="B13" s="9" t="s">
        <v>16</v>
      </c>
      <c r="C13" s="11" t="s">
        <v>45</v>
      </c>
      <c r="D13" s="9" t="s">
        <v>15</v>
      </c>
    </row>
    <row r="14" spans="1:9" ht="30" x14ac:dyDescent="0.25">
      <c r="A14" s="10" t="s">
        <v>36</v>
      </c>
      <c r="B14" s="9" t="s">
        <v>19</v>
      </c>
      <c r="C14" s="11" t="s">
        <v>46</v>
      </c>
      <c r="D14" s="9" t="s">
        <v>11</v>
      </c>
    </row>
    <row r="15" spans="1:9" ht="30" customHeight="1" x14ac:dyDescent="0.25">
      <c r="A15" s="10" t="s">
        <v>20</v>
      </c>
      <c r="B15" s="9" t="s">
        <v>21</v>
      </c>
      <c r="C15" s="11" t="s">
        <v>45</v>
      </c>
      <c r="D15" s="9" t="s">
        <v>11</v>
      </c>
    </row>
    <row r="16" spans="1:9" ht="118.9" customHeight="1" x14ac:dyDescent="0.25">
      <c r="A16" s="10" t="s">
        <v>37</v>
      </c>
      <c r="B16" s="9" t="s">
        <v>21</v>
      </c>
      <c r="C16" s="11" t="s">
        <v>45</v>
      </c>
      <c r="D16" s="9" t="s">
        <v>20</v>
      </c>
    </row>
    <row r="17" spans="1:4" ht="15" customHeight="1" x14ac:dyDescent="0.25">
      <c r="A17" s="10" t="s">
        <v>22</v>
      </c>
      <c r="B17" s="9" t="s">
        <v>23</v>
      </c>
      <c r="C17" s="11" t="s">
        <v>45</v>
      </c>
      <c r="D17" s="9" t="s">
        <v>11</v>
      </c>
    </row>
    <row r="18" spans="1:4" ht="15" customHeight="1" x14ac:dyDescent="0.25">
      <c r="A18" s="10" t="s">
        <v>50</v>
      </c>
      <c r="B18" s="9" t="s">
        <v>23</v>
      </c>
      <c r="C18" s="11" t="s">
        <v>45</v>
      </c>
      <c r="D18" s="9" t="s">
        <v>11</v>
      </c>
    </row>
    <row r="19" spans="1:4" ht="15" customHeight="1" x14ac:dyDescent="0.25">
      <c r="A19" s="10" t="s">
        <v>24</v>
      </c>
      <c r="B19" s="9" t="s">
        <v>25</v>
      </c>
      <c r="C19" s="11" t="s">
        <v>45</v>
      </c>
      <c r="D19" s="9" t="s">
        <v>11</v>
      </c>
    </row>
    <row r="20" spans="1:4" ht="15" customHeight="1" x14ac:dyDescent="0.25">
      <c r="A20" s="10" t="s">
        <v>38</v>
      </c>
      <c r="B20" s="9" t="s">
        <v>39</v>
      </c>
      <c r="C20" s="11" t="s">
        <v>45</v>
      </c>
      <c r="D20" s="9" t="s">
        <v>11</v>
      </c>
    </row>
    <row r="21" spans="1:4" ht="15" customHeight="1" x14ac:dyDescent="0.25">
      <c r="A21" s="10" t="s">
        <v>49</v>
      </c>
      <c r="B21" s="9" t="s">
        <v>39</v>
      </c>
      <c r="C21" s="11" t="s">
        <v>45</v>
      </c>
      <c r="D21" s="9" t="s">
        <v>38</v>
      </c>
    </row>
    <row r="22" spans="1:4" ht="31.9" customHeight="1" x14ac:dyDescent="0.25">
      <c r="A22" s="10" t="s">
        <v>40</v>
      </c>
      <c r="B22" s="9" t="s">
        <v>26</v>
      </c>
      <c r="C22" s="11" t="s">
        <v>45</v>
      </c>
      <c r="D22" s="9" t="s">
        <v>11</v>
      </c>
    </row>
    <row r="23" spans="1:4" ht="45" x14ac:dyDescent="0.25">
      <c r="A23" s="10" t="s">
        <v>41</v>
      </c>
      <c r="B23" s="9" t="s">
        <v>26</v>
      </c>
      <c r="C23" s="11" t="s">
        <v>45</v>
      </c>
      <c r="D23" s="9" t="s">
        <v>40</v>
      </c>
    </row>
    <row r="24" spans="1:4" ht="15" customHeight="1" x14ac:dyDescent="0.25">
      <c r="A24" s="10" t="s">
        <v>27</v>
      </c>
      <c r="B24" s="9" t="s">
        <v>0</v>
      </c>
      <c r="C24" s="11" t="s">
        <v>43</v>
      </c>
      <c r="D24" s="9" t="s">
        <v>11</v>
      </c>
    </row>
    <row r="25" spans="1:4" ht="15" customHeight="1" x14ac:dyDescent="0.25">
      <c r="A25" s="10" t="s">
        <v>28</v>
      </c>
      <c r="B25" s="9" t="s">
        <v>26</v>
      </c>
      <c r="C25" s="11" t="s">
        <v>45</v>
      </c>
      <c r="D25" s="9" t="s">
        <v>40</v>
      </c>
    </row>
    <row r="26" spans="1:4" ht="45" x14ac:dyDescent="0.25">
      <c r="A26" s="10" t="s">
        <v>29</v>
      </c>
      <c r="B26" s="9" t="s">
        <v>26</v>
      </c>
      <c r="C26" s="11" t="s">
        <v>45</v>
      </c>
      <c r="D26" s="9" t="s">
        <v>40</v>
      </c>
    </row>
    <row r="27" spans="1:4" ht="45" x14ac:dyDescent="0.25">
      <c r="A27" s="10" t="s">
        <v>30</v>
      </c>
      <c r="B27" s="9" t="s">
        <v>26</v>
      </c>
      <c r="C27" s="11" t="s">
        <v>45</v>
      </c>
      <c r="D27" s="9" t="s">
        <v>40</v>
      </c>
    </row>
    <row r="28" spans="1:4" ht="15" customHeight="1" x14ac:dyDescent="0.25">
      <c r="A28" s="15" t="s">
        <v>48</v>
      </c>
      <c r="B28" s="16" t="s">
        <v>26</v>
      </c>
      <c r="C28" s="17" t="s">
        <v>45</v>
      </c>
      <c r="D28" s="9" t="s">
        <v>40</v>
      </c>
    </row>
    <row r="31" spans="1:4" ht="15" customHeight="1" x14ac:dyDescent="0.25">
      <c r="B31" s="28" t="s">
        <v>92</v>
      </c>
      <c r="C31" s="28" t="s">
        <v>93</v>
      </c>
    </row>
    <row r="32" spans="1:4" ht="90" x14ac:dyDescent="0.25">
      <c r="A32" s="23" t="s">
        <v>79</v>
      </c>
      <c r="B32" s="29" t="s">
        <v>95</v>
      </c>
      <c r="C32" s="29" t="s">
        <v>94</v>
      </c>
    </row>
    <row r="33" spans="1:3" ht="15" customHeight="1" x14ac:dyDescent="0.25">
      <c r="A33" s="23" t="s">
        <v>80</v>
      </c>
      <c r="B33" s="26"/>
      <c r="C33" s="31">
        <v>5</v>
      </c>
    </row>
    <row r="34" spans="1:3" ht="15" customHeight="1" x14ac:dyDescent="0.25">
      <c r="A34" s="23" t="s">
        <v>81</v>
      </c>
      <c r="B34" s="26"/>
      <c r="C34" s="31">
        <v>4</v>
      </c>
    </row>
    <row r="35" spans="1:3" ht="15" customHeight="1" x14ac:dyDescent="0.25">
      <c r="A35" s="23" t="s">
        <v>82</v>
      </c>
      <c r="B35" s="27"/>
      <c r="C35" s="31">
        <v>3</v>
      </c>
    </row>
    <row r="36" spans="1:3" ht="15" customHeight="1" x14ac:dyDescent="0.25">
      <c r="A36" s="23" t="s">
        <v>83</v>
      </c>
      <c r="C36" s="31">
        <v>2</v>
      </c>
    </row>
    <row r="37" spans="1:3" ht="15" customHeight="1" x14ac:dyDescent="0.25">
      <c r="A37" s="23" t="s">
        <v>84</v>
      </c>
      <c r="C37" s="31">
        <v>1</v>
      </c>
    </row>
    <row r="38" spans="1:3" ht="15" customHeight="1" x14ac:dyDescent="0.25">
      <c r="A38" s="23" t="s">
        <v>85</v>
      </c>
      <c r="C38" s="31" t="s">
        <v>141</v>
      </c>
    </row>
    <row r="39" spans="1:3" ht="15" customHeight="1" x14ac:dyDescent="0.25">
      <c r="A39" s="23" t="s">
        <v>86</v>
      </c>
    </row>
    <row r="40" spans="1:3" ht="15" customHeight="1" x14ac:dyDescent="0.25">
      <c r="A40" s="23" t="s">
        <v>87</v>
      </c>
    </row>
    <row r="41" spans="1:3" ht="15" customHeight="1" x14ac:dyDescent="0.25">
      <c r="A41">
        <v>1</v>
      </c>
      <c r="B41">
        <v>2</v>
      </c>
      <c r="C41">
        <v>3</v>
      </c>
    </row>
    <row r="42" spans="1:3" ht="15" customHeight="1" x14ac:dyDescent="0.25">
      <c r="A42" s="36" t="s">
        <v>129</v>
      </c>
      <c r="B42" s="37" t="s">
        <v>97</v>
      </c>
      <c r="C42" s="37" t="s">
        <v>98</v>
      </c>
    </row>
    <row r="43" spans="1:3" ht="75" x14ac:dyDescent="0.25">
      <c r="A43" s="38" t="s">
        <v>99</v>
      </c>
      <c r="B43" s="32" t="s">
        <v>100</v>
      </c>
      <c r="C43" s="33" t="s">
        <v>134</v>
      </c>
    </row>
    <row r="44" spans="1:3" ht="60" x14ac:dyDescent="0.25">
      <c r="A44" s="33" t="s">
        <v>101</v>
      </c>
      <c r="B44" s="30" t="s">
        <v>102</v>
      </c>
      <c r="C44" s="33" t="s">
        <v>135</v>
      </c>
    </row>
    <row r="45" spans="1:3" ht="75" x14ac:dyDescent="0.25">
      <c r="A45" s="33" t="s">
        <v>103</v>
      </c>
      <c r="B45" s="30" t="s">
        <v>104</v>
      </c>
      <c r="C45" s="33" t="s">
        <v>136</v>
      </c>
    </row>
    <row r="46" spans="1:3" ht="105" x14ac:dyDescent="0.25">
      <c r="A46" s="33" t="s">
        <v>105</v>
      </c>
      <c r="B46" s="39" t="s">
        <v>106</v>
      </c>
      <c r="C46" s="33" t="s">
        <v>137</v>
      </c>
    </row>
    <row r="47" spans="1:3" ht="105" x14ac:dyDescent="0.25">
      <c r="A47" s="33" t="s">
        <v>107</v>
      </c>
      <c r="B47" s="39" t="s">
        <v>108</v>
      </c>
      <c r="C47" s="33" t="s">
        <v>138</v>
      </c>
    </row>
    <row r="48" spans="1:3" ht="75" x14ac:dyDescent="0.25">
      <c r="A48" s="40" t="s">
        <v>109</v>
      </c>
      <c r="B48" s="39" t="s">
        <v>110</v>
      </c>
      <c r="C48" s="33" t="s">
        <v>139</v>
      </c>
    </row>
    <row r="49" spans="1:3" ht="75" x14ac:dyDescent="0.25">
      <c r="A49" s="33" t="s">
        <v>111</v>
      </c>
      <c r="B49" s="30" t="s">
        <v>112</v>
      </c>
      <c r="C49" s="33" t="s">
        <v>140</v>
      </c>
    </row>
    <row r="50" spans="1:3" ht="75" x14ac:dyDescent="0.25">
      <c r="A50" s="33" t="s">
        <v>113</v>
      </c>
      <c r="B50" s="32" t="s">
        <v>114</v>
      </c>
      <c r="C50" s="30" t="s">
        <v>114</v>
      </c>
    </row>
    <row r="51" spans="1:3" ht="60" x14ac:dyDescent="0.25">
      <c r="A51" s="33" t="s">
        <v>115</v>
      </c>
      <c r="B51" s="32" t="s">
        <v>116</v>
      </c>
      <c r="C51" s="30" t="s">
        <v>116</v>
      </c>
    </row>
    <row r="52" spans="1:3" ht="90" x14ac:dyDescent="0.25">
      <c r="A52" s="33" t="s">
        <v>117</v>
      </c>
      <c r="B52" s="32" t="s">
        <v>118</v>
      </c>
      <c r="C52" s="30" t="s">
        <v>118</v>
      </c>
    </row>
    <row r="53" spans="1:3" ht="150" x14ac:dyDescent="0.25">
      <c r="A53" s="33" t="s">
        <v>119</v>
      </c>
      <c r="B53" s="32" t="s">
        <v>120</v>
      </c>
      <c r="C53" s="30" t="s">
        <v>121</v>
      </c>
    </row>
    <row r="54" spans="1:3" ht="120" x14ac:dyDescent="0.25">
      <c r="A54" s="33" t="s">
        <v>122</v>
      </c>
      <c r="B54" s="30" t="s">
        <v>123</v>
      </c>
      <c r="C54" s="30" t="s">
        <v>123</v>
      </c>
    </row>
  </sheetData>
  <sheetProtection selectLockedCells="1" selectUnlockedCell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Formato</vt:lpstr>
      <vt:lpstr>LISTAS</vt:lpstr>
      <vt:lpstr>Formato!Área_de_impresión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Tania Tello</dc:creator>
  <cp:lastModifiedBy>Cristian B</cp:lastModifiedBy>
  <cp:lastPrinted>2023-02-22T23:46:09Z</cp:lastPrinted>
  <dcterms:created xsi:type="dcterms:W3CDTF">2015-11-05T16:15:41Z</dcterms:created>
  <dcterms:modified xsi:type="dcterms:W3CDTF">2023-06-02T21:31:42Z</dcterms:modified>
</cp:coreProperties>
</file>