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GESTION ADMINISTRATIVA\"/>
    </mc:Choice>
  </mc:AlternateContent>
  <xr:revisionPtr revIDLastSave="0" documentId="13_ncr:1_{32FF72B3-755D-48BC-8991-DCFE614F06D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1" r:id="rId1"/>
    <sheet name="LISTAS" sheetId="2" state="hidden" r:id="rId2"/>
  </sheets>
  <definedNames>
    <definedName name="_xlnm.Print_Area" localSheetId="0">Formato!$A$1:$L$104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D81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<sst xmlns="http://schemas.openxmlformats.org/spreadsheetml/2006/main" count="247" uniqueCount="165">
  <si>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</si>
  <si>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</si>
  <si>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</si>
  <si>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</si>
  <si>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</si>
  <si>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</si>
  <si>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</si>
  <si>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</si>
  <si>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</si>
  <si>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</si>
  <si>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</si>
  <si>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</si>
  <si>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</si>
  <si>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</si>
  <si>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</si>
  <si>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</si>
  <si>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</si>
  <si>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</si>
  <si>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</si>
  <si>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</si>
  <si>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</si>
  <si>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</si>
  <si>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</si>
  <si>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</si>
  <si>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</si>
  <si>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</si>
  <si>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</si>
  <si>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</si>
  <si>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</si>
  <si>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</si>
  <si>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</si>
  <si>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</si>
  <si>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</si>
  <si>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</si>
  <si>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</si>
  <si>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</si>
  <si>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</si>
  <si>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</si>
  <si>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</si>
  <si>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</si>
  <si>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</si>
  <si>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</si>
  <si>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</si>
  <si>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</si>
  <si>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</si>
  <si>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</si>
  <si>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</si>
  <si>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</si>
  <si>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</si>
  <si>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</si>
  <si>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</si>
  <si>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</si>
  <si>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</si>
  <si>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</si>
  <si>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</si>
  <si>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</si>
  <si>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</si>
  <si>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</si>
  <si>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</si>
  <si>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</si>
  <si>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</si>
  <si>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</si>
  <si>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</si>
  <si>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</si>
  <si>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</si>
  <si>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</si>
  <si>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</si>
  <si>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</si>
  <si>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</si>
  <si>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</si>
  <si>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</si>
  <si>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</si>
  <si>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</si>
  <si>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</si>
  <si>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</si>
  <si>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</si>
  <si>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</si>
  <si>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</si>
  <si>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</si>
  <si>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</si>
  <si>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</si>
  <si>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</si>
  <si>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</si>
  <si>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</si>
  <si>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</si>
  <si>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</si>
  <si>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</si>
  <si>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</si>
  <si>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</si>
  <si>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</si>
  <si>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</si>
  <si>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</si>
  <si>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</si>
  <si>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</si>
  <si>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</si>
  <si>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</si>
  <si>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</si>
  <si>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</si>
  <si>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</si>
  <si>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</si>
  <si>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</si>
  <si>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</si>
  <si>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</si>
  <si>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</si>
  <si>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</si>
  <si>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</si>
  <si>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</si>
  <si>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</si>
  <si>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</si>
  <si>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</si>
  <si>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</si>
  <si>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</si>
  <si>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</si>
  <si>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</si>
  <si>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</si>
  <si>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</si>
  <si>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</si>
  <si>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</si>
  <si>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</si>
  <si>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</si>
  <si>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</si>
  <si>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</si>
  <si>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</si>
  <si>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</si>
  <si>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</si>
  <si>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</si>
  <si>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</si>
  <si>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</si>
  <si>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</si>
  <si>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</si>
  <si>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</si>
  <si>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</si>
  <si>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</si>
  <si>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</si>
  <si>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</si>
  <si>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</si>
  <si>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</si>
  <si>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</si>
  <si>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</si>
  <si>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</si>
  <si>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</si>
  <si>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</si>
  <si>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</si>
  <si>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</si>
  <si>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</si>
  <si>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</si>
  <si>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</si>
  <si>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</si>
  <si>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</si>
  <si>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</si>
  <si>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</si>
  <si>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Realizar las labores de limpieza y cafetería, para brindar comodidad a los funcionarios en los sitios de trabajo de los procesos a los cuales está prestando los servicios, conforme a las normas y procedimientos vigentes.</t>
  </si>
  <si>
    <t>• Realizar las labores de aseo, alistamiento y presentación de las áreas físicas.
• Atender el servicio de cafetería y servicios generales para los usuarios y personal de las áreas de la compañía.
• Realizar los trámites de solicitud de los elementos y suministros de aseo y cafetería.
• Ejercer el control de los insumos asignados para el cumplimiento de sus funciones.
• Cumplir con las normas y procedimientos establecidos por la compañía.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</si>
  <si>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</si>
  <si>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</si>
  <si>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>Su autoridad se genera en el desarrollo de las actividades propias de su cargo, siempre y cuando sean para dar cumplimiento a directrices ya establecidas por la organización, de lo contrario deberá buscar aprobación por su jefe inmediato.</t>
  </si>
  <si>
    <t xml:space="preserve">Prestación de servicio de aseo y cafetería. </t>
  </si>
  <si>
    <t>Interno</t>
  </si>
  <si>
    <t>Diario</t>
  </si>
  <si>
    <t>Prestación del servicio de aseo y cafetería.</t>
  </si>
  <si>
    <t>Externo</t>
  </si>
  <si>
    <t>No Requiere</t>
  </si>
  <si>
    <t xml:space="preserve">Bachiller. </t>
  </si>
  <si>
    <t xml:space="preserve">6 meses de experiencia. </t>
  </si>
  <si>
    <t xml:space="preserve">• Curso manipulación de alimentos.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</si>
</sst>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48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0" fillId="0" borderId="7" xfId="0" applyFont="1" applyBorder="1" applyAlignment="1">
      <alignment horizontal="justify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justify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28575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50</xdr:row>
          <xdr:rowOff>19050</xdr:rowOff>
        </xdr:from>
        <xdr:to>
          <xdr:col>8</xdr:col>
          <xdr:colOff>314325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28575</xdr:rowOff>
        </xdr:from>
        <xdr:to>
          <xdr:col>8</xdr:col>
          <xdr:colOff>314325</xdr:colOff>
          <xdr:row>52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53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28575</xdr:rowOff>
        </xdr:from>
        <xdr:to>
          <xdr:col>3</xdr:col>
          <xdr:colOff>0</xdr:colOff>
          <xdr:row>66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3</xdr:col>
          <xdr:colOff>0</xdr:colOff>
          <xdr:row>67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66</xdr:row>
          <xdr:rowOff>19050</xdr:rowOff>
        </xdr:from>
        <xdr:to>
          <xdr:col>8</xdr:col>
          <xdr:colOff>514350</xdr:colOff>
          <xdr:row>66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8</xdr:col>
          <xdr:colOff>514350</xdr:colOff>
          <xdr:row>67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28575</xdr:rowOff>
        </xdr:from>
        <xdr:to>
          <xdr:col>8</xdr:col>
          <xdr:colOff>314325</xdr:colOff>
          <xdr:row>68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999"/>
  <sheetViews>
    <sheetView tabSelected="1" view="pageBreakPreview" topLeftCell="A90" zoomScaleNormal="100" zoomScaleSheetLayoutView="100" workbookViewId="0">
      <selection activeCell="K97" sqref="K97:L97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61" t="s">
        <v>150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72" t="s">
        <v>147</v>
      </c>
      <c r="B2" s="73"/>
      <c r="C2" s="76" t="s">
        <v>143</v>
      </c>
      <c r="D2" s="77"/>
      <c r="E2" s="78"/>
      <c r="F2" s="76" t="s">
        <v>144</v>
      </c>
      <c r="G2" s="77"/>
      <c r="H2" s="78"/>
      <c r="I2" s="76" t="s">
        <v>145</v>
      </c>
      <c r="J2" s="78"/>
      <c r="K2" s="76" t="s">
        <v>146</v>
      </c>
      <c r="L2" s="78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74" t="s">
        <v>142</v>
      </c>
      <c r="B3" s="75"/>
      <c r="C3" s="137">
        <v>43265</v>
      </c>
      <c r="D3" s="138"/>
      <c r="E3" s="80"/>
      <c r="F3" s="137">
        <v>44979</v>
      </c>
      <c r="G3" s="138"/>
      <c r="H3" s="80"/>
      <c r="I3" s="79">
        <v>3</v>
      </c>
      <c r="J3" s="80"/>
      <c r="K3" s="79" t="s">
        <v>148</v>
      </c>
      <c r="L3" s="80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62" t="s">
        <v>3</v>
      </c>
      <c r="B5" s="62"/>
      <c r="C5" s="63">
        <v>45043</v>
      </c>
      <c r="D5" s="63"/>
      <c r="E5" s="63"/>
      <c r="F5" s="63"/>
      <c r="G5" s="63"/>
      <c r="H5" s="63"/>
      <c r="I5" s="63"/>
      <c r="J5" s="63"/>
      <c r="K5" s="63"/>
      <c r="L5" s="63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47" t="s">
        <v>4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64" t="s">
        <v>6</v>
      </c>
      <c r="B8" s="65"/>
      <c r="C8" s="66"/>
      <c r="D8" s="68" t="s">
        <v>48</v>
      </c>
      <c r="E8" s="69"/>
      <c r="F8" s="69"/>
      <c r="G8" s="69"/>
      <c r="H8" s="69"/>
      <c r="I8" s="69"/>
      <c r="J8" s="69"/>
      <c r="K8" s="69"/>
      <c r="L8" s="70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64" t="s">
        <v>7</v>
      </c>
      <c r="B9" s="65"/>
      <c r="C9" s="66"/>
      <c r="D9" s="71" t="str">
        <f>VLOOKUP($D$8,LISTAS!$A$2:$D$28,LISTAS!B$1,0)</f>
        <v>Gestión Administrativa</v>
      </c>
      <c r="E9" s="69"/>
      <c r="F9" s="69"/>
      <c r="G9" s="69"/>
      <c r="H9" s="69"/>
      <c r="I9" s="69"/>
      <c r="J9" s="69"/>
      <c r="K9" s="69"/>
      <c r="L9" s="70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64" t="s">
        <v>42</v>
      </c>
      <c r="B10" s="65"/>
      <c r="C10" s="66"/>
      <c r="D10" s="71" t="str">
        <f>VLOOKUP($D$8,LISTAS!$A$2:$D$28,LISTAS!C$1,0)</f>
        <v>Apoyo</v>
      </c>
      <c r="E10" s="69"/>
      <c r="F10" s="69"/>
      <c r="G10" s="69"/>
      <c r="H10" s="69"/>
      <c r="I10" s="69"/>
      <c r="J10" s="69"/>
      <c r="K10" s="69"/>
      <c r="L10" s="70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 x14ac:dyDescent="0.25">
      <c r="A11" s="64" t="s">
        <v>5</v>
      </c>
      <c r="B11" s="65"/>
      <c r="C11" s="66"/>
      <c r="D11" s="71" t="str">
        <f>VLOOKUP($D$8,LISTAS!$A$2:$D$28,LISTAS!D$1,0)</f>
        <v>Director de Gestión Administrativa</v>
      </c>
      <c r="E11" s="69"/>
      <c r="F11" s="69"/>
      <c r="G11" s="69"/>
      <c r="H11" s="69"/>
      <c r="I11" s="69"/>
      <c r="J11" s="69"/>
      <c r="K11" s="69"/>
      <c r="L11" s="70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64" t="s">
        <v>54</v>
      </c>
      <c r="B12" s="65"/>
      <c r="C12" s="66"/>
      <c r="D12" s="67" t="s">
        <v>2</v>
      </c>
      <c r="E12" s="67"/>
      <c r="F12" s="67"/>
      <c r="G12" s="67"/>
      <c r="H12" s="67"/>
      <c r="I12" s="67"/>
      <c r="J12" s="67"/>
      <c r="K12" s="67"/>
      <c r="L12" s="67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 x14ac:dyDescent="0.25">
      <c r="A13" s="64" t="s">
        <v>8</v>
      </c>
      <c r="B13" s="65"/>
      <c r="C13" s="65"/>
      <c r="D13" s="67" t="s">
        <v>2</v>
      </c>
      <c r="E13" s="67"/>
      <c r="F13" s="67"/>
      <c r="G13" s="67"/>
      <c r="H13" s="67"/>
      <c r="I13" s="67"/>
      <c r="J13" s="67"/>
      <c r="K13" s="67"/>
      <c r="L13" s="6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47" t="s">
        <v>55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 x14ac:dyDescent="0.25">
      <c r="A17" s="81" t="s">
        <v>151</v>
      </c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3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47" t="s">
        <v>61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87.75" customHeight="1" x14ac:dyDescent="0.25">
      <c r="A21" s="91" t="s">
        <v>152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 x14ac:dyDescent="0.25">
      <c r="A22" s="103"/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84" t="s">
        <v>62</v>
      </c>
      <c r="B23" s="85"/>
      <c r="C23" s="85"/>
      <c r="D23" s="92"/>
      <c r="E23" s="84" t="s">
        <v>63</v>
      </c>
      <c r="F23" s="85"/>
      <c r="G23" s="85"/>
      <c r="H23" s="92"/>
      <c r="I23" s="84" t="s">
        <v>64</v>
      </c>
      <c r="J23" s="85"/>
      <c r="K23" s="85"/>
      <c r="L23" s="86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64.5" customHeight="1" x14ac:dyDescent="0.25">
      <c r="A24" s="95" t="s">
        <v>153</v>
      </c>
      <c r="B24" s="95"/>
      <c r="C24" s="95"/>
      <c r="D24" s="95"/>
      <c r="E24" s="96" t="s">
        <v>154</v>
      </c>
      <c r="F24" s="96"/>
      <c r="G24" s="96"/>
      <c r="H24" s="96"/>
      <c r="I24" s="95" t="s">
        <v>155</v>
      </c>
      <c r="J24" s="95"/>
      <c r="K24" s="95"/>
      <c r="L24" s="95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 x14ac:dyDescent="0.25">
      <c r="A25" s="97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9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47" t="s">
        <v>73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 x14ac:dyDescent="0.25">
      <c r="A27" s="100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 x14ac:dyDescent="0.25">
      <c r="A28" s="43" t="s">
        <v>74</v>
      </c>
      <c r="B28" s="43"/>
      <c r="C28" s="43"/>
      <c r="D28" s="22"/>
      <c r="E28" s="84" t="s">
        <v>76</v>
      </c>
      <c r="F28" s="85"/>
      <c r="G28" s="85"/>
      <c r="H28" s="92"/>
      <c r="J28" s="43" t="s">
        <v>75</v>
      </c>
      <c r="K28" s="43"/>
      <c r="L28" s="43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30" customHeight="1" x14ac:dyDescent="0.25">
      <c r="A29" s="101" t="s">
        <v>162</v>
      </c>
      <c r="B29" s="102"/>
      <c r="C29" s="102"/>
      <c r="D29" s="21"/>
      <c r="E29" s="104" t="s">
        <v>164</v>
      </c>
      <c r="F29" s="46"/>
      <c r="G29" s="46"/>
      <c r="H29" s="46"/>
      <c r="J29" s="105" t="s">
        <v>163</v>
      </c>
      <c r="K29" s="45"/>
      <c r="L29" s="106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 x14ac:dyDescent="0.25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 x14ac:dyDescent="0.25">
      <c r="A31" s="43" t="s">
        <v>72</v>
      </c>
      <c r="B31" s="43"/>
      <c r="C31" s="43"/>
      <c r="E31" s="84" t="s">
        <v>77</v>
      </c>
      <c r="F31" s="85"/>
      <c r="G31" s="43" t="s">
        <v>78</v>
      </c>
      <c r="H31" s="43"/>
      <c r="J31" s="9" t="s">
        <v>88</v>
      </c>
      <c r="K31" s="43" t="s">
        <v>89</v>
      </c>
      <c r="L31" s="43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102" t="s">
        <v>161</v>
      </c>
      <c r="B32" s="102"/>
      <c r="C32" s="102"/>
      <c r="E32" s="44" t="s">
        <v>2</v>
      </c>
      <c r="F32" s="45"/>
      <c r="G32" s="46"/>
      <c r="H32" s="46"/>
      <c r="J32" s="23" t="s">
        <v>2</v>
      </c>
      <c r="K32" s="46"/>
      <c r="L32" s="46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 x14ac:dyDescent="0.25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47" t="s">
        <v>91</v>
      </c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 x14ac:dyDescent="0.25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43" t="s">
        <v>96</v>
      </c>
      <c r="B36" s="43"/>
      <c r="C36" s="43"/>
      <c r="D36" s="43"/>
      <c r="E36" s="43"/>
      <c r="F36" s="43"/>
      <c r="G36" s="43" t="s">
        <v>93</v>
      </c>
      <c r="H36" s="43"/>
      <c r="I36" s="43"/>
      <c r="J36" s="43"/>
      <c r="K36" s="43"/>
      <c r="L36" s="43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 x14ac:dyDescent="0.25">
      <c r="A38" s="42" t="str">
        <f>IF($D$13="SI",LISTAS!B32,"NO APLICA")</f>
        <v>NO APLICA</v>
      </c>
      <c r="B38" s="42"/>
      <c r="C38" s="42"/>
      <c r="D38" s="42"/>
      <c r="E38" s="42"/>
      <c r="F38" s="42"/>
      <c r="G38" s="42" t="str">
        <f>IF($D$13="SI",LISTAS!C32,"NO APLICA")</f>
        <v>NO APLICA</v>
      </c>
      <c r="H38" s="42"/>
      <c r="I38" s="42"/>
      <c r="J38" s="42"/>
      <c r="K38" s="42"/>
      <c r="L38" s="4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 x14ac:dyDescent="0.25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47" t="s">
        <v>65</v>
      </c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 x14ac:dyDescent="0.25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84" t="s">
        <v>66</v>
      </c>
      <c r="B42" s="85"/>
      <c r="C42" s="86"/>
      <c r="D42" s="84" t="s">
        <v>67</v>
      </c>
      <c r="E42" s="85"/>
      <c r="F42" s="86"/>
      <c r="G42" s="84" t="s">
        <v>68</v>
      </c>
      <c r="H42" s="85"/>
      <c r="I42" s="86"/>
      <c r="J42" s="84" t="s">
        <v>69</v>
      </c>
      <c r="K42" s="85"/>
      <c r="L42" s="86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27" customHeight="1" x14ac:dyDescent="0.25">
      <c r="A43" s="87" t="s">
        <v>70</v>
      </c>
      <c r="B43" s="87"/>
      <c r="C43" s="87"/>
      <c r="D43" s="88" t="s">
        <v>156</v>
      </c>
      <c r="E43" s="88"/>
      <c r="F43" s="88"/>
      <c r="G43" s="89" t="s">
        <v>157</v>
      </c>
      <c r="H43" s="89"/>
      <c r="I43" s="89"/>
      <c r="J43" s="90" t="s">
        <v>158</v>
      </c>
      <c r="K43" s="90"/>
      <c r="L43" s="90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24.75" customHeight="1" x14ac:dyDescent="0.25">
      <c r="A44" s="87" t="s">
        <v>71</v>
      </c>
      <c r="B44" s="87"/>
      <c r="C44" s="87"/>
      <c r="D44" s="88" t="s">
        <v>159</v>
      </c>
      <c r="E44" s="88"/>
      <c r="F44" s="88"/>
      <c r="G44" s="89" t="s">
        <v>160</v>
      </c>
      <c r="H44" s="89"/>
      <c r="I44" s="89"/>
      <c r="J44" s="90" t="s">
        <v>158</v>
      </c>
      <c r="K44" s="90"/>
      <c r="L44" s="90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" customHeight="1" x14ac:dyDescent="0.25">
      <c r="A45" s="25"/>
      <c r="B45" s="25"/>
      <c r="C45" s="25"/>
      <c r="E45" s="26"/>
      <c r="F45" s="26"/>
      <c r="G45" s="26"/>
      <c r="H45" s="26"/>
      <c r="J45" s="26"/>
      <c r="K45" s="26"/>
      <c r="L45" s="2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 x14ac:dyDescent="0.25"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14.25" customHeight="1" x14ac:dyDescent="0.25">
      <c r="A47" s="47" t="s">
        <v>56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 x14ac:dyDescent="0.25">
      <c r="A49" s="94" t="s">
        <v>57</v>
      </c>
      <c r="B49" s="94"/>
      <c r="C49" s="94"/>
      <c r="D49" s="94"/>
      <c r="E49" s="94"/>
      <c r="F49" s="94"/>
      <c r="G49" s="94" t="s">
        <v>58</v>
      </c>
      <c r="H49" s="94"/>
      <c r="I49" s="94"/>
      <c r="J49" s="94"/>
      <c r="K49" s="94"/>
      <c r="L49" s="94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.6" customHeight="1" x14ac:dyDescent="0.25">
      <c r="A50" s="56"/>
      <c r="B50" s="56"/>
      <c r="C50" s="56"/>
      <c r="D50" s="56"/>
      <c r="E50" s="56"/>
      <c r="F50" s="56"/>
      <c r="G50" s="57"/>
      <c r="H50" s="57"/>
      <c r="I50" s="57"/>
      <c r="J50" s="57"/>
      <c r="K50" s="57"/>
      <c r="L50" s="57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15" customHeight="1" x14ac:dyDescent="0.25">
      <c r="A51" s="58"/>
      <c r="B51" s="58"/>
      <c r="C51" s="58"/>
      <c r="D51" s="58"/>
      <c r="E51" s="58"/>
      <c r="F51" s="58"/>
      <c r="G51" s="60"/>
      <c r="H51" s="60"/>
      <c r="I51" s="60"/>
      <c r="J51" s="60"/>
      <c r="K51" s="60"/>
      <c r="L51" s="6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 x14ac:dyDescent="0.25">
      <c r="A52" s="58"/>
      <c r="B52" s="58"/>
      <c r="C52" s="58"/>
      <c r="D52" s="58"/>
      <c r="E52" s="58"/>
      <c r="F52" s="58"/>
      <c r="G52" s="60"/>
      <c r="H52" s="60"/>
      <c r="I52" s="60"/>
      <c r="J52" s="60"/>
      <c r="K52" s="60"/>
      <c r="L52" s="60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ht="13.15" customHeight="1" x14ac:dyDescent="0.25">
      <c r="A53" s="58"/>
      <c r="B53" s="58"/>
      <c r="C53" s="58"/>
      <c r="D53" s="58"/>
      <c r="E53" s="58"/>
      <c r="F53" s="58"/>
      <c r="G53" s="60"/>
      <c r="H53" s="60"/>
      <c r="I53" s="60"/>
      <c r="J53" s="60"/>
      <c r="K53" s="60"/>
      <c r="L53" s="60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15" customHeight="1" x14ac:dyDescent="0.25">
      <c r="A54" s="58"/>
      <c r="B54" s="58"/>
      <c r="C54" s="58"/>
      <c r="D54" s="58"/>
      <c r="E54" s="58"/>
      <c r="F54" s="58"/>
      <c r="G54" s="60"/>
      <c r="H54" s="60"/>
      <c r="I54" s="60"/>
      <c r="J54" s="60"/>
      <c r="K54" s="60"/>
      <c r="L54" s="60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 x14ac:dyDescent="0.25">
      <c r="A55" s="58"/>
      <c r="B55" s="58"/>
      <c r="C55" s="58"/>
      <c r="D55" s="58"/>
      <c r="E55" s="58"/>
      <c r="F55" s="58"/>
      <c r="G55" s="60"/>
      <c r="H55" s="60"/>
      <c r="I55" s="60"/>
      <c r="J55" s="60"/>
      <c r="K55" s="60"/>
      <c r="L55" s="60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 x14ac:dyDescent="0.25">
      <c r="A56" s="58"/>
      <c r="B56" s="58"/>
      <c r="C56" s="58"/>
      <c r="D56" s="58"/>
      <c r="E56" s="58"/>
      <c r="F56" s="58"/>
      <c r="G56" s="60"/>
      <c r="H56" s="60"/>
      <c r="I56" s="60"/>
      <c r="J56" s="60"/>
      <c r="K56" s="60"/>
      <c r="L56" s="60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 x14ac:dyDescent="0.25">
      <c r="A57" s="58"/>
      <c r="B57" s="58"/>
      <c r="C57" s="58"/>
      <c r="D57" s="58"/>
      <c r="E57" s="58"/>
      <c r="F57" s="58"/>
      <c r="G57" s="60"/>
      <c r="H57" s="60"/>
      <c r="I57" s="60"/>
      <c r="J57" s="60"/>
      <c r="K57" s="60"/>
      <c r="L57" s="60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 x14ac:dyDescent="0.25">
      <c r="A58" s="58"/>
      <c r="B58" s="58"/>
      <c r="C58" s="58"/>
      <c r="D58" s="58"/>
      <c r="E58" s="58"/>
      <c r="F58" s="58"/>
      <c r="G58" s="60"/>
      <c r="H58" s="60"/>
      <c r="I58" s="60"/>
      <c r="J58" s="60"/>
      <c r="K58" s="60"/>
      <c r="L58" s="60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 x14ac:dyDescent="0.25">
      <c r="A59" s="58"/>
      <c r="B59" s="58"/>
      <c r="C59" s="58"/>
      <c r="D59" s="58"/>
      <c r="E59" s="58"/>
      <c r="F59" s="58"/>
      <c r="G59" s="60"/>
      <c r="H59" s="60"/>
      <c r="I59" s="60"/>
      <c r="J59" s="60"/>
      <c r="K59" s="60"/>
      <c r="L59" s="60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 x14ac:dyDescent="0.25">
      <c r="A60" s="58"/>
      <c r="B60" s="58"/>
      <c r="C60" s="58"/>
      <c r="D60" s="58"/>
      <c r="E60" s="58"/>
      <c r="F60" s="58"/>
      <c r="G60" s="60"/>
      <c r="H60" s="60"/>
      <c r="I60" s="60"/>
      <c r="J60" s="60"/>
      <c r="K60" s="60"/>
      <c r="L60" s="60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31.15" customHeight="1" x14ac:dyDescent="0.25">
      <c r="A61" s="107"/>
      <c r="B61" s="107"/>
      <c r="C61" s="107"/>
      <c r="D61" s="107"/>
      <c r="E61" s="107"/>
      <c r="F61" s="107"/>
      <c r="G61" s="108"/>
      <c r="H61" s="108"/>
      <c r="I61" s="108"/>
      <c r="J61" s="108"/>
      <c r="K61" s="108"/>
      <c r="L61" s="108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4.9000000000000004" customHeight="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 x14ac:dyDescent="0.25">
      <c r="A63" s="47" t="s">
        <v>90</v>
      </c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500000000000002" customHeight="1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94" t="s">
        <v>59</v>
      </c>
      <c r="B65" s="94"/>
      <c r="C65" s="94"/>
      <c r="D65" s="94"/>
      <c r="E65" s="94"/>
      <c r="F65" s="94"/>
      <c r="G65" s="94" t="s">
        <v>60</v>
      </c>
      <c r="H65" s="94"/>
      <c r="I65" s="94"/>
      <c r="J65" s="94"/>
      <c r="K65" s="94"/>
      <c r="L65" s="94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 x14ac:dyDescent="0.25">
      <c r="A66" s="56"/>
      <c r="B66" s="56"/>
      <c r="C66" s="56"/>
      <c r="D66" s="56"/>
      <c r="E66" s="56"/>
      <c r="F66" s="56"/>
      <c r="G66" s="57"/>
      <c r="H66" s="57"/>
      <c r="I66" s="57"/>
      <c r="J66" s="57"/>
      <c r="K66" s="57"/>
      <c r="L66" s="57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58"/>
      <c r="B67" s="58"/>
      <c r="C67" s="58"/>
      <c r="D67" s="58"/>
      <c r="E67" s="58"/>
      <c r="F67" s="58"/>
      <c r="G67" s="59"/>
      <c r="H67" s="59"/>
      <c r="I67" s="59"/>
      <c r="J67" s="59"/>
      <c r="K67" s="59"/>
      <c r="L67" s="5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 x14ac:dyDescent="0.25">
      <c r="A68" s="58"/>
      <c r="B68" s="58"/>
      <c r="C68" s="58"/>
      <c r="D68" s="58"/>
      <c r="E68" s="58"/>
      <c r="F68" s="58"/>
      <c r="G68" s="60"/>
      <c r="H68" s="60"/>
      <c r="I68" s="60"/>
      <c r="J68" s="60"/>
      <c r="K68" s="60"/>
      <c r="L68" s="60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58"/>
      <c r="B69" s="58"/>
      <c r="C69" s="58"/>
      <c r="D69" s="58"/>
      <c r="E69" s="58"/>
      <c r="F69" s="58"/>
      <c r="G69" s="60"/>
      <c r="H69" s="60"/>
      <c r="I69" s="60"/>
      <c r="J69" s="60"/>
      <c r="K69" s="60"/>
      <c r="L69" s="60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ht="14.25" customHeight="1" x14ac:dyDescent="0.25">
      <c r="A70" s="58"/>
      <c r="B70" s="58"/>
      <c r="C70" s="58"/>
      <c r="D70" s="58"/>
      <c r="E70" s="58"/>
      <c r="F70" s="58"/>
      <c r="G70" s="60"/>
      <c r="H70" s="60"/>
      <c r="I70" s="60"/>
      <c r="J70" s="60"/>
      <c r="K70" s="60"/>
      <c r="L70" s="60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 x14ac:dyDescent="0.25">
      <c r="A71" s="58"/>
      <c r="B71" s="58"/>
      <c r="C71" s="58"/>
      <c r="D71" s="58"/>
      <c r="E71" s="58"/>
      <c r="F71" s="58"/>
      <c r="G71" s="60"/>
      <c r="H71" s="60"/>
      <c r="I71" s="60"/>
      <c r="J71" s="60"/>
      <c r="K71" s="60"/>
      <c r="L71" s="60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 x14ac:dyDescent="0.25">
      <c r="A72" s="58"/>
      <c r="B72" s="58"/>
      <c r="C72" s="58"/>
      <c r="D72" s="58"/>
      <c r="E72" s="58"/>
      <c r="F72" s="58"/>
      <c r="G72" s="60"/>
      <c r="H72" s="60"/>
      <c r="I72" s="60"/>
      <c r="J72" s="60"/>
      <c r="K72" s="60"/>
      <c r="L72" s="60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 x14ac:dyDescent="0.25">
      <c r="A73" s="58"/>
      <c r="B73" s="58"/>
      <c r="C73" s="58"/>
      <c r="D73" s="58"/>
      <c r="E73" s="58"/>
      <c r="F73" s="58"/>
      <c r="G73" s="60"/>
      <c r="H73" s="60"/>
      <c r="I73" s="60"/>
      <c r="J73" s="60"/>
      <c r="K73" s="60"/>
      <c r="L73" s="60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 x14ac:dyDescent="0.25"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ht="14.25" customHeight="1" x14ac:dyDescent="0.25">
      <c r="A75" s="49" t="s">
        <v>133</v>
      </c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500000000000002" customHeight="1" x14ac:dyDescent="0.25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 x14ac:dyDescent="0.25">
      <c r="A77" s="52" t="s">
        <v>149</v>
      </c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4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6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26.45" customHeight="1" x14ac:dyDescent="0.25">
      <c r="A79" s="118" t="s">
        <v>1</v>
      </c>
      <c r="B79" s="118"/>
      <c r="C79" s="118"/>
      <c r="D79" s="118" t="s">
        <v>130</v>
      </c>
      <c r="E79" s="118"/>
      <c r="F79" s="118"/>
      <c r="G79" s="118"/>
      <c r="H79" s="118" t="s">
        <v>131</v>
      </c>
      <c r="I79" s="118"/>
      <c r="J79" s="118"/>
      <c r="K79" s="119" t="s">
        <v>132</v>
      </c>
      <c r="L79" s="120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 x14ac:dyDescent="0.25">
      <c r="A80" s="117"/>
      <c r="B80" s="117"/>
      <c r="C80" s="117"/>
      <c r="D80" s="117"/>
      <c r="E80" s="117"/>
      <c r="F80" s="117"/>
      <c r="G80" s="36"/>
      <c r="I80" s="35"/>
      <c r="J80" s="35"/>
      <c r="K80" s="123"/>
      <c r="L80" s="123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5" customHeight="1" x14ac:dyDescent="0.25">
      <c r="A81" s="98" t="s">
        <v>99</v>
      </c>
      <c r="B81" s="98"/>
      <c r="C81" s="139"/>
      <c r="D81" s="126" t="str">
        <f>VLOOKUP(A81,LISTAS!$A$42:$C$54,LISTAS!$B$41,0)</f>
        <v>Capacidad para construir relaciones de cooperación y confianza con las personas que interactúo para favorecer el logro de  los objetivos de la organización, buscando el beneficio común.</v>
      </c>
      <c r="E81" s="127"/>
      <c r="F81" s="127"/>
      <c r="G81" s="128"/>
      <c r="H81" s="109" t="str">
        <f>VLOOKUP(A81,LISTAS!$A$42:$C$54,LISTAS!$C$41,0)</f>
        <v>1) Trabaja en equipo en pro de objetivos colectivos derribando barreras funcionales, jerárquicas y entre áreas. 
2) Construye y mantiene relaciones interpersonales de confianza y respeto.</v>
      </c>
      <c r="I81" s="110"/>
      <c r="J81" s="111"/>
      <c r="K81" s="121">
        <v>4</v>
      </c>
      <c r="L81" s="122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 x14ac:dyDescent="0.25">
      <c r="A82" s="140"/>
      <c r="B82" s="140"/>
      <c r="C82" s="141"/>
      <c r="D82" s="129"/>
      <c r="E82" s="130"/>
      <c r="F82" s="130"/>
      <c r="G82" s="131"/>
      <c r="H82" s="112"/>
      <c r="I82" s="113"/>
      <c r="J82" s="114"/>
      <c r="K82" s="124">
        <v>4</v>
      </c>
      <c r="L82" s="125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 x14ac:dyDescent="0.25">
      <c r="A83" s="121" t="s">
        <v>101</v>
      </c>
      <c r="B83" s="142"/>
      <c r="C83" s="143"/>
      <c r="D83" s="126" t="str">
        <f>VLOOKUP(A83,LISTAS!$A$42:$C$54,LISTAS!$B$41,0)</f>
        <v>Capacidad para escuchar y expresarse de manera clara y oportuna basado en hechos concretos y verificados.</v>
      </c>
      <c r="E83" s="127"/>
      <c r="F83" s="127"/>
      <c r="G83" s="128"/>
      <c r="H83" s="109" t="str">
        <f>VLOOKUP(A83,LISTAS!$A$42:$C$54,LISTAS!$C$41,0)</f>
        <v>1) Se expresa de manera directa, sincera y asertiva.
2) Demuestra coherencia entre lo que dice y hace. Es propositivo y no reactivo.</v>
      </c>
      <c r="I83" s="110"/>
      <c r="J83" s="111"/>
      <c r="K83" s="121">
        <v>3</v>
      </c>
      <c r="L83" s="122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15" customHeight="1" x14ac:dyDescent="0.25">
      <c r="A84" s="144"/>
      <c r="B84" s="140"/>
      <c r="C84" s="141"/>
      <c r="D84" s="129"/>
      <c r="E84" s="130"/>
      <c r="F84" s="130"/>
      <c r="G84" s="131"/>
      <c r="H84" s="112"/>
      <c r="I84" s="113"/>
      <c r="J84" s="114"/>
      <c r="K84" s="124">
        <v>3</v>
      </c>
      <c r="L84" s="125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 x14ac:dyDescent="0.25">
      <c r="A85" s="121" t="s">
        <v>109</v>
      </c>
      <c r="B85" s="142"/>
      <c r="C85" s="143"/>
      <c r="D85" s="126" t="str">
        <f>VLOOKUP(A85,LISTAS!$A$42:$C$54,LISTAS!$B$41,0)</f>
        <v>Personas competitivas, enfocadas al cumplimiento responsable de metas.</v>
      </c>
      <c r="E85" s="127"/>
      <c r="F85" s="127"/>
      <c r="G85" s="128"/>
      <c r="H85" s="109" t="str">
        <f>VLOOKUP(A85,LISTAS!$A$42:$C$54,LISTAS!$C$41,0)</f>
        <v>1) Alinea su quehacer diario enfocándolo al plan estratégico de la empresa. Es resolutivo.
2) Produce resultados y cumple compromisos - alcanza los objetivos y supera las metas.</v>
      </c>
      <c r="I85" s="110"/>
      <c r="J85" s="111"/>
      <c r="K85" s="121">
        <v>3</v>
      </c>
      <c r="L85" s="122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6.15" customHeight="1" x14ac:dyDescent="0.25">
      <c r="A86" s="144"/>
      <c r="B86" s="140"/>
      <c r="C86" s="141"/>
      <c r="D86" s="129"/>
      <c r="E86" s="130"/>
      <c r="F86" s="130"/>
      <c r="G86" s="131"/>
      <c r="H86" s="112"/>
      <c r="I86" s="113"/>
      <c r="J86" s="114"/>
      <c r="K86" s="121">
        <v>3</v>
      </c>
      <c r="L86" s="122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 x14ac:dyDescent="0.25">
      <c r="A87" s="121" t="s">
        <v>103</v>
      </c>
      <c r="B87" s="142"/>
      <c r="C87" s="143"/>
      <c r="D87" s="126" t="str">
        <f>VLOOKUP(A87,LISTAS!$A$42:$C$54,LISTAS!$B$41,0)</f>
        <v>Capacidad para identificar y comprender las necesidades y expectativas de nuestros clientes (internos y externos) con empatía.</v>
      </c>
      <c r="E87" s="127"/>
      <c r="F87" s="127"/>
      <c r="G87" s="128"/>
      <c r="H87" s="109" t="str">
        <f>VLOOKUP(A87,LISTAS!$A$42:$C$54,LISTAS!$C$41,0)</f>
        <v>1) Muestra respeto, interés y disposición en comprender las necesidades de clientes, y usuarios; es amable y paciente.
2) Resuelve, atiende con agilidad y oportunidad, busca soluciones de raíz.</v>
      </c>
      <c r="I87" s="110"/>
      <c r="J87" s="111"/>
      <c r="K87" s="121">
        <v>4</v>
      </c>
      <c r="L87" s="122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 x14ac:dyDescent="0.25">
      <c r="A88" s="144"/>
      <c r="B88" s="140"/>
      <c r="C88" s="141"/>
      <c r="D88" s="129"/>
      <c r="E88" s="130"/>
      <c r="F88" s="130"/>
      <c r="G88" s="131"/>
      <c r="H88" s="112"/>
      <c r="I88" s="113"/>
      <c r="J88" s="114"/>
      <c r="K88" s="121">
        <v>4</v>
      </c>
      <c r="L88" s="122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900000000000006" customHeight="1" x14ac:dyDescent="0.25">
      <c r="A89" s="121" t="s">
        <v>105</v>
      </c>
      <c r="B89" s="142"/>
      <c r="C89" s="143"/>
      <c r="D89" s="126" t="str">
        <f>VLOOKUP(A89,LISTAS!$A$42:$C$54,LISTAS!$B$41,0)</f>
        <v>Capacidad para trabajar efectivamente en una variedad de situaciones, con diversos individuos o grupos, valorando las perspectivas diferentes para lograr un proceso de adaptación</v>
      </c>
      <c r="E89" s="127"/>
      <c r="F89" s="127"/>
      <c r="G89" s="128"/>
      <c r="H89" s="109" t="str">
        <f>VLOOKUP(A89,LISTAS!$A$42:$C$54,LISTAS!$C$41,0)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89" s="110"/>
      <c r="J89" s="111"/>
      <c r="K89" s="121">
        <v>3</v>
      </c>
      <c r="L89" s="122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50000000000003" customHeight="1" x14ac:dyDescent="0.25">
      <c r="A90" s="144"/>
      <c r="B90" s="140"/>
      <c r="C90" s="141"/>
      <c r="D90" s="129"/>
      <c r="E90" s="130"/>
      <c r="F90" s="130"/>
      <c r="G90" s="131"/>
      <c r="H90" s="112"/>
      <c r="I90" s="113"/>
      <c r="J90" s="114"/>
      <c r="K90" s="121">
        <v>3</v>
      </c>
      <c r="L90" s="122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29.45" customHeight="1" x14ac:dyDescent="0.25">
      <c r="A91" s="121" t="s">
        <v>115</v>
      </c>
      <c r="B91" s="142"/>
      <c r="C91" s="143"/>
      <c r="D91" s="126" t="str">
        <f>VLOOKUP(A91,LISTAS!$A$42:$C$54,LISTAS!$B$41,0)</f>
        <v>Participa y promueve en su equipo el cumplimiento de las responsabilidades transversales que se desprenden de los sistemas de gestión</v>
      </c>
      <c r="E91" s="127"/>
      <c r="F91" s="127"/>
      <c r="G91" s="128"/>
      <c r="H91" s="109" t="str">
        <f>VLOOKUP(A91,LISTAS!$A$42:$C$54,LISTAS!$C$41,0)</f>
        <v>Participa y promueve en su equipo el cumplimiento de las responsabilidades transversales que se desprenden de los sistemas de gestión</v>
      </c>
      <c r="I91" s="110"/>
      <c r="J91" s="111"/>
      <c r="K91" s="88">
        <v>4</v>
      </c>
      <c r="L91" s="88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 x14ac:dyDescent="0.25">
      <c r="A92" s="144"/>
      <c r="B92" s="140"/>
      <c r="C92" s="141"/>
      <c r="D92" s="129"/>
      <c r="E92" s="130"/>
      <c r="F92" s="130"/>
      <c r="G92" s="131"/>
      <c r="H92" s="112"/>
      <c r="I92" s="113"/>
      <c r="J92" s="114"/>
      <c r="K92" s="88">
        <v>4</v>
      </c>
      <c r="L92" s="88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 x14ac:dyDescent="0.25">
      <c r="A93" s="121" t="s">
        <v>117</v>
      </c>
      <c r="B93" s="142"/>
      <c r="C93" s="143"/>
      <c r="D93" s="126" t="str">
        <f>VLOOKUP(A93,LISTAS!$A$42:$C$54,LISTAS!$B$41,0)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3" s="127"/>
      <c r="F93" s="127"/>
      <c r="G93" s="128"/>
      <c r="H93" s="109" t="str">
        <f>VLOOKUP(A93,LISTAS!$A$42:$C$54,LISTAS!$C$41,0)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3" s="110"/>
      <c r="J93" s="111"/>
      <c r="K93" s="88">
        <v>5</v>
      </c>
      <c r="L93" s="88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 x14ac:dyDescent="0.25">
      <c r="A94" s="144"/>
      <c r="B94" s="140"/>
      <c r="C94" s="141"/>
      <c r="D94" s="129"/>
      <c r="E94" s="130"/>
      <c r="F94" s="130"/>
      <c r="G94" s="131"/>
      <c r="H94" s="112"/>
      <c r="I94" s="113"/>
      <c r="J94" s="114"/>
      <c r="K94" s="88"/>
      <c r="L94" s="8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50000000000003" customHeight="1" x14ac:dyDescent="0.25">
      <c r="A95" s="121" t="s">
        <v>119</v>
      </c>
      <c r="B95" s="142"/>
      <c r="C95" s="143"/>
      <c r="D95" s="126" t="str">
        <f>VLOOKUP(A95,LISTAS!$A$42:$C$54,LISTAS!$B$41,0)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95" s="127"/>
      <c r="F95" s="127"/>
      <c r="G95" s="128"/>
      <c r="H95" s="109" t="str">
        <f>VLOOKUP(A95,LISTAS!$A$42:$C$54,LISTAS!$C$41,0)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95" s="110"/>
      <c r="J95" s="111"/>
      <c r="K95" s="88">
        <v>5</v>
      </c>
      <c r="L95" s="88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9" customHeight="1" x14ac:dyDescent="0.25">
      <c r="A96" s="144"/>
      <c r="B96" s="140"/>
      <c r="C96" s="141"/>
      <c r="D96" s="129"/>
      <c r="E96" s="130"/>
      <c r="F96" s="130"/>
      <c r="G96" s="131"/>
      <c r="H96" s="112"/>
      <c r="I96" s="113"/>
      <c r="J96" s="114"/>
      <c r="K96" s="88"/>
      <c r="L96" s="88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5" customHeight="1" x14ac:dyDescent="0.25">
      <c r="A97" s="121" t="s">
        <v>122</v>
      </c>
      <c r="B97" s="142"/>
      <c r="C97" s="143"/>
      <c r="D97" s="126" t="str">
        <f>VLOOKUP(A97,LISTAS!$A$42:$C$54,LISTAS!$B$41,0)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97" s="127"/>
      <c r="F97" s="127"/>
      <c r="G97" s="128"/>
      <c r="H97" s="109" t="str">
        <f>VLOOKUP(A97,LISTAS!$A$42:$C$54,LISTAS!$C$41,0)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97" s="110"/>
      <c r="J97" s="111"/>
      <c r="K97" s="88">
        <v>4</v>
      </c>
      <c r="L97" s="88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8.15" customHeight="1" x14ac:dyDescent="0.25">
      <c r="A98" s="144"/>
      <c r="B98" s="140"/>
      <c r="C98" s="141"/>
      <c r="D98" s="129"/>
      <c r="E98" s="130"/>
      <c r="F98" s="130"/>
      <c r="G98" s="131"/>
      <c r="H98" s="112"/>
      <c r="I98" s="113"/>
      <c r="J98" s="114"/>
      <c r="K98" s="88"/>
      <c r="L98" s="88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 x14ac:dyDescent="0.25">
      <c r="A99" s="121"/>
      <c r="B99" s="142"/>
      <c r="C99" s="143"/>
      <c r="D99" s="126" t="e">
        <f>VLOOKUP(A99,LISTAS!$A$42:$C$54,LISTAS!$B$41,0)</f>
        <v>#N/A</v>
      </c>
      <c r="E99" s="127"/>
      <c r="F99" s="127"/>
      <c r="G99" s="128"/>
      <c r="H99" s="109" t="e">
        <f>VLOOKUP(A99,LISTAS!$A$42:$C$54,LISTAS!$C$41,0)</f>
        <v>#N/A</v>
      </c>
      <c r="I99" s="110"/>
      <c r="J99" s="111"/>
      <c r="K99" s="88"/>
      <c r="L99" s="88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3" customHeight="1" x14ac:dyDescent="0.25">
      <c r="A100" s="144"/>
      <c r="B100" s="140"/>
      <c r="C100" s="141"/>
      <c r="D100" s="129"/>
      <c r="E100" s="130"/>
      <c r="F100" s="130"/>
      <c r="G100" s="131"/>
      <c r="H100" s="112"/>
      <c r="I100" s="113"/>
      <c r="J100" s="114"/>
      <c r="K100" s="88"/>
      <c r="L100" s="88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5.450000000000003" customHeight="1" x14ac:dyDescent="0.25">
      <c r="A101" s="121"/>
      <c r="B101" s="142"/>
      <c r="C101" s="143"/>
      <c r="D101" s="126" t="e">
        <f>VLOOKUP(A101,LISTAS!$A$42:$C$54,LISTAS!$B$41,0)</f>
        <v>#N/A</v>
      </c>
      <c r="E101" s="127"/>
      <c r="F101" s="127"/>
      <c r="G101" s="128"/>
      <c r="H101" s="109" t="e">
        <f>VLOOKUP(A101,LISTAS!$A$42:$C$54,LISTAS!$C$41,0)</f>
        <v>#N/A</v>
      </c>
      <c r="I101" s="110"/>
      <c r="J101" s="111"/>
      <c r="K101" s="88"/>
      <c r="L101" s="88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41.45" customHeight="1" x14ac:dyDescent="0.25">
      <c r="A102" s="145"/>
      <c r="B102" s="146"/>
      <c r="C102" s="147"/>
      <c r="D102" s="129"/>
      <c r="E102" s="130"/>
      <c r="F102" s="130"/>
      <c r="G102" s="131"/>
      <c r="H102" s="133"/>
      <c r="I102" s="134"/>
      <c r="J102" s="135"/>
      <c r="K102" s="132"/>
      <c r="L102" s="132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78.599999999999994" customHeight="1" x14ac:dyDescent="0.25">
      <c r="A103" s="88"/>
      <c r="B103" s="88"/>
      <c r="C103" s="88"/>
      <c r="D103" s="126" t="e">
        <f>VLOOKUP(A103,LISTAS!$A$42:$C$54,LISTAS!$B$41,0)</f>
        <v>#N/A</v>
      </c>
      <c r="E103" s="127"/>
      <c r="F103" s="127"/>
      <c r="G103" s="128"/>
      <c r="H103" s="136" t="e">
        <f>VLOOKUP(A103,LISTAS!$A$42:$C$54,LISTAS!$C$41,0)</f>
        <v>#N/A</v>
      </c>
      <c r="I103" s="136"/>
      <c r="J103" s="136"/>
      <c r="K103" s="88"/>
      <c r="L103" s="88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58.15" customHeight="1" x14ac:dyDescent="0.25">
      <c r="A104" s="88"/>
      <c r="B104" s="88"/>
      <c r="C104" s="88"/>
      <c r="D104" s="129"/>
      <c r="E104" s="130"/>
      <c r="F104" s="130"/>
      <c r="G104" s="131"/>
      <c r="H104" s="136"/>
      <c r="I104" s="136"/>
      <c r="J104" s="136"/>
      <c r="K104" s="88"/>
      <c r="L104" s="88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93">
    <mergeCell ref="I3:J3"/>
    <mergeCell ref="F3:H3"/>
    <mergeCell ref="C3:E3"/>
    <mergeCell ref="K104:L104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  <mergeCell ref="K101:L101"/>
    <mergeCell ref="K102:L102"/>
    <mergeCell ref="K103:L103"/>
    <mergeCell ref="D101:G102"/>
    <mergeCell ref="D103:G104"/>
    <mergeCell ref="H101:J102"/>
    <mergeCell ref="H103:J104"/>
    <mergeCell ref="K98:L98"/>
    <mergeCell ref="K99:L99"/>
    <mergeCell ref="K100:L100"/>
    <mergeCell ref="D97:G98"/>
    <mergeCell ref="D99:G100"/>
    <mergeCell ref="H97:J98"/>
    <mergeCell ref="H99:J100"/>
    <mergeCell ref="K91:L91"/>
    <mergeCell ref="K95:L95"/>
    <mergeCell ref="K96:L96"/>
    <mergeCell ref="K97:L97"/>
    <mergeCell ref="D95:G96"/>
    <mergeCell ref="H95:J96"/>
    <mergeCell ref="K92:L92"/>
    <mergeCell ref="K93:L93"/>
    <mergeCell ref="K94:L94"/>
    <mergeCell ref="D93:G94"/>
    <mergeCell ref="H91:J92"/>
    <mergeCell ref="H93:J94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K83:L83"/>
    <mergeCell ref="K84:L84"/>
    <mergeCell ref="K85:L85"/>
    <mergeCell ref="K86:L86"/>
    <mergeCell ref="K87:L87"/>
    <mergeCell ref="K88:L88"/>
    <mergeCell ref="K89:L89"/>
    <mergeCell ref="K90:L90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53:F53"/>
    <mergeCell ref="G53:L53"/>
    <mergeCell ref="A54:F54"/>
    <mergeCell ref="G54:L54"/>
    <mergeCell ref="A55:F55"/>
    <mergeCell ref="G55:L55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38:F38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28575</xdr:rowOff>
                  </from>
                  <to>
                    <xdr:col>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2</xdr:col>
                    <xdr:colOff>666750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50</xdr:row>
                    <xdr:rowOff>19050</xdr:rowOff>
                  </from>
                  <to>
                    <xdr:col>8</xdr:col>
                    <xdr:colOff>314325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28575</xdr:rowOff>
                  </from>
                  <to>
                    <xdr:col>8</xdr:col>
                    <xdr:colOff>314325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28575</xdr:rowOff>
                  </from>
                  <to>
                    <xdr:col>2</xdr:col>
                    <xdr:colOff>666750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2</xdr:col>
                    <xdr:colOff>666750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66</xdr:row>
                    <xdr:rowOff>19050</xdr:rowOff>
                  </from>
                  <to>
                    <xdr:col>8</xdr:col>
                    <xdr:colOff>514350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67</xdr:row>
                    <xdr:rowOff>28575</xdr:rowOff>
                  </from>
                  <to>
                    <xdr:col>8</xdr:col>
                    <xdr:colOff>514350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28575</xdr:rowOff>
                  </from>
                  <to>
                    <xdr:col>8</xdr:col>
                    <xdr:colOff>314325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K81:L104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3" t="s">
        <v>9</v>
      </c>
      <c r="B2" s="14" t="s">
        <v>10</v>
      </c>
      <c r="C2" s="15" t="s">
        <v>42</v>
      </c>
      <c r="D2" s="14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 x14ac:dyDescent="0.25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 x14ac:dyDescent="0.25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 x14ac:dyDescent="0.25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 x14ac:dyDescent="0.25">
      <c r="A6" s="11" t="s">
        <v>13</v>
      </c>
      <c r="B6" s="10" t="s">
        <v>33</v>
      </c>
      <c r="C6" s="12" t="s">
        <v>44</v>
      </c>
      <c r="D6" s="10" t="s">
        <v>53</v>
      </c>
    </row>
    <row r="7" spans="1:9" x14ac:dyDescent="0.25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 x14ac:dyDescent="0.25">
      <c r="A8" s="11" t="s">
        <v>35</v>
      </c>
      <c r="B8" s="10" t="s">
        <v>14</v>
      </c>
      <c r="C8" s="12" t="s">
        <v>45</v>
      </c>
      <c r="D8" s="10" t="s">
        <v>34</v>
      </c>
    </row>
    <row r="9" spans="1:9" x14ac:dyDescent="0.25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 x14ac:dyDescent="0.25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 x14ac:dyDescent="0.25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 x14ac:dyDescent="0.25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 x14ac:dyDescent="0.25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 x14ac:dyDescent="0.25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 x14ac:dyDescent="0.25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 x14ac:dyDescent="0.25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 x14ac:dyDescent="0.25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 x14ac:dyDescent="0.25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 x14ac:dyDescent="0.25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 x14ac:dyDescent="0.25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 x14ac:dyDescent="0.25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 x14ac:dyDescent="0.25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 x14ac:dyDescent="0.2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 x14ac:dyDescent="0.25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 x14ac:dyDescent="0.25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 x14ac:dyDescent="0.2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 x14ac:dyDescent="0.2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 x14ac:dyDescent="0.25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 x14ac:dyDescent="0.25">
      <c r="B31" s="29" t="s">
        <v>92</v>
      </c>
      <c r="C31" s="29" t="s">
        <v>93</v>
      </c>
    </row>
    <row r="32" spans="1:4" ht="90" x14ac:dyDescent="0.25">
      <c r="A32" s="24" t="s">
        <v>79</v>
      </c>
      <c r="B32" s="30" t="s">
        <v>95</v>
      </c>
      <c r="C32" s="30" t="s">
        <v>94</v>
      </c>
    </row>
    <row r="33" spans="1:3" ht="15" customHeight="1" x14ac:dyDescent="0.25">
      <c r="A33" s="24" t="s">
        <v>80</v>
      </c>
      <c r="B33" s="27"/>
      <c r="C33" s="32">
        <v>5</v>
      </c>
    </row>
    <row r="34" spans="1:3" ht="15" customHeight="1" x14ac:dyDescent="0.25">
      <c r="A34" s="24" t="s">
        <v>81</v>
      </c>
      <c r="B34" s="27"/>
      <c r="C34" s="32">
        <v>4</v>
      </c>
    </row>
    <row r="35" spans="1:3" ht="15" customHeight="1" x14ac:dyDescent="0.25">
      <c r="A35" s="24" t="s">
        <v>82</v>
      </c>
      <c r="B35" s="28"/>
      <c r="C35" s="32">
        <v>3</v>
      </c>
    </row>
    <row r="36" spans="1:3" ht="15" customHeight="1" x14ac:dyDescent="0.25">
      <c r="A36" s="24" t="s">
        <v>83</v>
      </c>
      <c r="C36" s="32">
        <v>2</v>
      </c>
    </row>
    <row r="37" spans="1:3" ht="15" customHeight="1" x14ac:dyDescent="0.25">
      <c r="A37" s="24" t="s">
        <v>84</v>
      </c>
      <c r="C37" s="32">
        <v>1</v>
      </c>
    </row>
    <row r="38" spans="1:3" ht="15" customHeight="1" x14ac:dyDescent="0.25">
      <c r="A38" s="24" t="s">
        <v>85</v>
      </c>
      <c r="C38" s="32" t="s">
        <v>141</v>
      </c>
    </row>
    <row r="39" spans="1:3" ht="15" customHeight="1" x14ac:dyDescent="0.25">
      <c r="A39" s="24" t="s">
        <v>86</v>
      </c>
    </row>
    <row r="40" spans="1:3" ht="15" customHeight="1" x14ac:dyDescent="0.25">
      <c r="A40" s="24" t="s">
        <v>87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7" t="s">
        <v>129</v>
      </c>
      <c r="B42" s="38" t="s">
        <v>97</v>
      </c>
      <c r="C42" s="38" t="s">
        <v>98</v>
      </c>
    </row>
    <row r="43" spans="1:3" ht="75" x14ac:dyDescent="0.25">
      <c r="A43" s="39" t="s">
        <v>99</v>
      </c>
      <c r="B43" s="33" t="s">
        <v>100</v>
      </c>
      <c r="C43" s="34" t="s">
        <v>134</v>
      </c>
    </row>
    <row r="44" spans="1:3" ht="60" x14ac:dyDescent="0.25">
      <c r="A44" s="34" t="s">
        <v>101</v>
      </c>
      <c r="B44" s="31" t="s">
        <v>102</v>
      </c>
      <c r="C44" s="34" t="s">
        <v>135</v>
      </c>
    </row>
    <row r="45" spans="1:3" ht="75" x14ac:dyDescent="0.25">
      <c r="A45" s="34" t="s">
        <v>103</v>
      </c>
      <c r="B45" s="31" t="s">
        <v>104</v>
      </c>
      <c r="C45" s="34" t="s">
        <v>136</v>
      </c>
    </row>
    <row r="46" spans="1:3" ht="105" x14ac:dyDescent="0.25">
      <c r="A46" s="34" t="s">
        <v>105</v>
      </c>
      <c r="B46" s="40" t="s">
        <v>106</v>
      </c>
      <c r="C46" s="34" t="s">
        <v>137</v>
      </c>
    </row>
    <row r="47" spans="1:3" ht="105" x14ac:dyDescent="0.25">
      <c r="A47" s="34" t="s">
        <v>107</v>
      </c>
      <c r="B47" s="40" t="s">
        <v>108</v>
      </c>
      <c r="C47" s="34" t="s">
        <v>138</v>
      </c>
    </row>
    <row r="48" spans="1:3" ht="75" x14ac:dyDescent="0.25">
      <c r="A48" s="41" t="s">
        <v>109</v>
      </c>
      <c r="B48" s="40" t="s">
        <v>110</v>
      </c>
      <c r="C48" s="34" t="s">
        <v>139</v>
      </c>
    </row>
    <row r="49" spans="1:3" ht="75" x14ac:dyDescent="0.25">
      <c r="A49" s="34" t="s">
        <v>111</v>
      </c>
      <c r="B49" s="31" t="s">
        <v>112</v>
      </c>
      <c r="C49" s="34" t="s">
        <v>140</v>
      </c>
    </row>
    <row r="50" spans="1:3" ht="75" x14ac:dyDescent="0.25">
      <c r="A50" s="34" t="s">
        <v>113</v>
      </c>
      <c r="B50" s="33" t="s">
        <v>114</v>
      </c>
      <c r="C50" s="31" t="s">
        <v>114</v>
      </c>
    </row>
    <row r="51" spans="1:3" ht="60" x14ac:dyDescent="0.25">
      <c r="A51" s="34" t="s">
        <v>115</v>
      </c>
      <c r="B51" s="33" t="s">
        <v>116</v>
      </c>
      <c r="C51" s="31" t="s">
        <v>116</v>
      </c>
    </row>
    <row r="52" spans="1:3" ht="90" x14ac:dyDescent="0.25">
      <c r="A52" s="34" t="s">
        <v>117</v>
      </c>
      <c r="B52" s="33" t="s">
        <v>118</v>
      </c>
      <c r="C52" s="31" t="s">
        <v>118</v>
      </c>
    </row>
    <row r="53" spans="1:3" ht="150" x14ac:dyDescent="0.25">
      <c r="A53" s="34" t="s">
        <v>119</v>
      </c>
      <c r="B53" s="33" t="s">
        <v>120</v>
      </c>
      <c r="C53" s="31" t="s">
        <v>121</v>
      </c>
    </row>
    <row r="54" spans="1:3" ht="120" x14ac:dyDescent="0.25">
      <c r="A54" s="34" t="s">
        <v>122</v>
      </c>
      <c r="B54" s="31" t="s">
        <v>123</v>
      </c>
      <c r="C54" s="31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2023-06-02T21:25:07Z</dcterms:modified>
</cp:coreProperties>
</file>