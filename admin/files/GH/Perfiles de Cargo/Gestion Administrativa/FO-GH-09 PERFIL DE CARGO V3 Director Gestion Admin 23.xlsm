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GESTION ADMINISTRATIVA\"/>
    </mc:Choice>
  </mc:AlternateContent>
  <xr:revisionPtr revIDLastSave="0" documentId="13_ncr:1_{D82F80A6-F91C-4598-8581-EC9DAC86CF1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1" r:id="rId1"/>
    <sheet name="LISTAS" sheetId="2" state="hidden" r:id="rId2"/>
  </sheets>
  <definedNames>
    <definedName name="_xlnm.Print_Area" localSheetId="0">Formato!$A$1:$L$105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6" i="1" l="1"/>
  <c r="H88" i="1"/>
  <c r="H90" i="1"/>
  <c r="H92" i="1"/>
  <c r="H94" i="1"/>
  <c r="H96" i="1"/>
  <c r="H98" i="1"/>
  <c r="H100" i="1"/>
  <c r="H102" i="1"/>
  <c r="H104" i="1"/>
  <c r="D88" i="1"/>
  <c r="D90" i="1"/>
  <c r="D92" i="1"/>
  <c r="D94" i="1"/>
  <c r="D96" i="1"/>
  <c r="D98" i="1"/>
  <c r="D100" i="1"/>
  <c r="D102" i="1"/>
  <c r="D104" i="1"/>
  <c r="D86" i="1"/>
  <c r="H84" i="1"/>
  <c r="D84" i="1"/>
  <c r="D82" i="1"/>
  <c r="H82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<sst xmlns="http://schemas.openxmlformats.org/spreadsheetml/2006/main" count="255" uniqueCount="171">
  <si>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</si>
  <si>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</si>
  <si>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</si>
  <si>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</si>
  <si>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</si>
  <si>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</si>
  <si>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</si>
  <si>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</si>
  <si>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</si>
  <si>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</si>
  <si>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</si>
  <si>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</si>
  <si>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</si>
  <si>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</si>
  <si>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</si>
  <si>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</si>
  <si>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</si>
  <si>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</si>
  <si>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</si>
  <si>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</si>
  <si>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</si>
  <si>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</si>
  <si>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</si>
  <si>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</si>
  <si>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</si>
  <si>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</si>
  <si>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</si>
  <si>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</si>
  <si>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</si>
  <si>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</si>
  <si>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</si>
  <si>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</si>
  <si>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</si>
  <si>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</si>
  <si>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</si>
  <si>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</si>
  <si>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</si>
  <si>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</si>
  <si>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</si>
  <si>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</si>
  <si>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</si>
  <si>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</si>
  <si>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</si>
  <si>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</si>
  <si>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</si>
  <si>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</si>
  <si>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</si>
  <si>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</si>
  <si>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</si>
  <si>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</si>
  <si>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</si>
  <si>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</si>
  <si>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</si>
  <si>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</si>
  <si>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</si>
  <si>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</si>
  <si>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</si>
  <si>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</si>
  <si>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</si>
  <si>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</si>
  <si>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</si>
  <si>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</si>
  <si>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</si>
  <si>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</si>
  <si>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</si>
  <si>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</si>
  <si>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</si>
  <si>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</si>
  <si>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</si>
  <si>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</si>
  <si>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</si>
  <si>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</si>
  <si>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</si>
  <si>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</si>
  <si>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</si>
  <si>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</si>
  <si>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</si>
  <si>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</si>
  <si>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</si>
  <si>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</si>
  <si>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</si>
  <si>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</si>
  <si>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</si>
  <si>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</si>
  <si>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</si>
  <si>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</si>
  <si>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</si>
  <si>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</si>
  <si>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</si>
  <si>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</si>
  <si>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</si>
  <si>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</si>
  <si>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</si>
  <si>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</si>
  <si>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</si>
  <si>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</si>
  <si>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</si>
  <si>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</si>
  <si>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</si>
  <si>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</si>
  <si>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</si>
  <si>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</si>
  <si>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</si>
  <si>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</si>
  <si>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</si>
  <si>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</si>
  <si>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</si>
  <si>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</si>
  <si>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</si>
  <si>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</si>
  <si>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</si>
  <si>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</si>
  <si>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</si>
  <si>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</si>
  <si>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</si>
  <si>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</si>
  <si>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</si>
  <si>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</si>
  <si>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</si>
  <si>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</si>
  <si>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</si>
  <si>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</si>
  <si>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</si>
  <si>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</si>
  <si>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</si>
  <si>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</si>
  <si>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</si>
  <si>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</si>
  <si>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</si>
  <si>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</si>
  <si>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</si>
  <si>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</si>
  <si>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</si>
  <si>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</si>
  <si>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</si>
  <si>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</si>
  <si>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</si>
  <si>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</si>
  <si>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</si>
  <si>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</si>
  <si>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</si>
  <si>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</si>
  <si>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</si>
  <si>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</si>
  <si>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</si>
  <si>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</si>
  <si>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</si>
  <si>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</si>
  <si>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</si>
  <si>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</si>
  <si>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Vincular y mantener un grupo humano con las competencias necesarias para que la empresa cumpla los objetivos, diseñando, implementando y administrando el proceso que tiene a su cargo, en todos los temas relacionados a selección, capacitación, gestión de desempeño, bienestar y desarrollo, entre otros.</t>
  </si>
  <si>
    <t xml:space="preserve">• Realizar control, monitoreo y seguimiento a los indicadores de gestión del área.
• Verificar la implementación de las acciones preventivas y correctivas de acuerdo con los resultados de las auditorías internas y externas.
• Administrar de manera adecuada y responsable el personal que este bajo su responsabilidad.
• Administrar de manera eficiente el presupuesto asignado al proceso.
• Coordinar las actividades de bienestar y seguridad y salud en el trabajo, establecidas dentro del plan de trabajo anual.  
• Realizar el reclutamiento y selección del personal requerido dentro de la organización. 
• Administrar y aplicar las pruebas psicotécnicas a los candidatos (as) preseleccionados. 
• Programar o realizar las visitas domiciliarias y de seguimiento de acuerdo al Manual de Gestión Humana y Administración. 
• Coordinar con cada proceso el envío del plan de formación, requeridas para su equipo de trabajo. 
• Apoyar a las demás empresas usuarias el envío de Hojas de vida de acuerdo al perfil solicitado. 
• Coordinar la evaluación de desempeño de los colaboradores en coordinación con los líderes de proceso y establecer los planes de mejora que correspondan.
• Promover la motivación e integración así como las condiciones de trabajo que garanticen la salud y seguridad de los colaboradores. 
• Llevar a cabo los procesos disciplinarios a que haya lugar en coordinación con la Directora Jurídica y de Propiedad Horizontal. 
• Documentar y actualizar las políticas y procedimientos del proceso de Gestión Administrativa. 
• Coordinador, supervisar y evaluar las actividades del personal bajo su responsabilidad. 
• Coordinar la compra y distribución de la dotación para todo el personal. 
• Velar por el cumplimiento de la cuota SENA. 
• Coordinador los procesos de promoción, capacitación, vacaciones y licencias.
• Presentar avances de indicadores de forma mensual. 
• Coordinar las actividades relacionadas a Responsabilidad Social Empresarial, gestionando los recursos requeridos y aprobados en el presupuesto anual. 
• Dar seguimiento al cumplimiento del manual de compras y asociados de negocio de la compañía. 
• Planear y ejecutar las actividades relacionadas a seguridad y salud en el trabajo, dando cumplimiento a la normatividad legal vigente. 
• Actualizar de forma anual el inventario de bienes muebles de la organización, con apoyo de cada líder de proceso. 
• Administrar y verificar de manera conjunta con la Dirección de Gestión Administrativa el correcto funcionamiento de las políticas del Programa de Corrupción y Soborno de la compañía con colaboradores, contratistas, proveedores y accionistas. 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</si>
  <si>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</si>
  <si>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</si>
  <si>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 xml:space="preserve">Toma decisiones a nivel operativo, para el desarrollo adecuado de sus funciones establecidas en los procedimientos.
Toda decisión que impacte los procesos  o el presupuesto del área, debe ser consultada con el Jefe inmediato.
</t>
  </si>
  <si>
    <t>Coordinar las labores solicitadas, con cada uno de los procesos.
Para garantizar el cumplimiento del Manual de Gestión Humana y del reglamento de trabajo que garanticen el normal funcionamiento de la compañía.</t>
  </si>
  <si>
    <t>Interno</t>
  </si>
  <si>
    <t xml:space="preserve">
Diario
</t>
  </si>
  <si>
    <t>Cliente Externo/Usuarios</t>
  </si>
  <si>
    <t xml:space="preserve">Apoyo a la gestión del proceso administrativo.
Acompañamiento en el proceso de SST. 
</t>
  </si>
  <si>
    <t>Externo</t>
  </si>
  <si>
    <t>Diario</t>
  </si>
  <si>
    <t xml:space="preserve"> </t>
  </si>
  <si>
    <t>Proveedores</t>
  </si>
  <si>
    <t>Verificar la calidad y cumplimiento de la orden de compra.</t>
  </si>
  <si>
    <t>Semanal</t>
  </si>
  <si>
    <t xml:space="preserve">Profesional Universitario en Psicología o áreas administrativas.*Preferiblemente con especialización en Seguridad y Salud en el Trabajo. </t>
  </si>
  <si>
    <t>1 a 3 años de experiencia</t>
  </si>
  <si>
    <t xml:space="preserve">• Office (Word, Excel y Power Point).
• Curso 50 horas en Seguridad y Salud en el trabajo. </t>
  </si>
  <si>
    <t>No Requiere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</si>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</sst>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47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0" fillId="0" borderId="7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4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justify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49" fontId="12" fillId="0" borderId="4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28575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51</xdr:row>
          <xdr:rowOff>19050</xdr:rowOff>
        </xdr:from>
        <xdr:to>
          <xdr:col>8</xdr:col>
          <xdr:colOff>314325</xdr:colOff>
          <xdr:row>51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28575</xdr:rowOff>
        </xdr:from>
        <xdr:to>
          <xdr:col>8</xdr:col>
          <xdr:colOff>314325</xdr:colOff>
          <xdr:row>53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60</xdr:row>
          <xdr:rowOff>28575</xdr:rowOff>
        </xdr:from>
        <xdr:to>
          <xdr:col>8</xdr:col>
          <xdr:colOff>314325</xdr:colOff>
          <xdr:row>61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60</xdr:row>
          <xdr:rowOff>28575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67</xdr:row>
          <xdr:rowOff>28575</xdr:rowOff>
        </xdr:from>
        <xdr:to>
          <xdr:col>3</xdr:col>
          <xdr:colOff>0</xdr:colOff>
          <xdr:row>67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73</xdr:row>
          <xdr:rowOff>28575</xdr:rowOff>
        </xdr:from>
        <xdr:to>
          <xdr:col>3</xdr:col>
          <xdr:colOff>0</xdr:colOff>
          <xdr:row>73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67</xdr:row>
          <xdr:rowOff>19050</xdr:rowOff>
        </xdr:from>
        <xdr:to>
          <xdr:col>8</xdr:col>
          <xdr:colOff>514350</xdr:colOff>
          <xdr:row>67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68</xdr:row>
          <xdr:rowOff>28575</xdr:rowOff>
        </xdr:from>
        <xdr:to>
          <xdr:col>8</xdr:col>
          <xdr:colOff>514350</xdr:colOff>
          <xdr:row>68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69</xdr:row>
          <xdr:rowOff>28575</xdr:rowOff>
        </xdr:from>
        <xdr:to>
          <xdr:col>8</xdr:col>
          <xdr:colOff>314325</xdr:colOff>
          <xdr:row>69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1000"/>
  <sheetViews>
    <sheetView tabSelected="1" view="pageBreakPreview" topLeftCell="A94" zoomScaleNormal="100" zoomScaleSheetLayoutView="100" workbookViewId="0">
      <selection activeCell="K104" sqref="K104:L104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65" t="s">
        <v>149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76" t="s">
        <v>146</v>
      </c>
      <c r="B2" s="77"/>
      <c r="C2" s="80" t="s">
        <v>142</v>
      </c>
      <c r="D2" s="81"/>
      <c r="E2" s="82"/>
      <c r="F2" s="80" t="s">
        <v>143</v>
      </c>
      <c r="G2" s="81"/>
      <c r="H2" s="82"/>
      <c r="I2" s="80" t="s">
        <v>144</v>
      </c>
      <c r="J2" s="82"/>
      <c r="K2" s="80" t="s">
        <v>145</v>
      </c>
      <c r="L2" s="82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78" t="s">
        <v>141</v>
      </c>
      <c r="B3" s="79"/>
      <c r="C3" s="136">
        <v>43265</v>
      </c>
      <c r="D3" s="137"/>
      <c r="E3" s="84"/>
      <c r="F3" s="136">
        <v>44979</v>
      </c>
      <c r="G3" s="137"/>
      <c r="H3" s="84"/>
      <c r="I3" s="83">
        <v>3</v>
      </c>
      <c r="J3" s="84"/>
      <c r="K3" s="83" t="s">
        <v>147</v>
      </c>
      <c r="L3" s="84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66" t="s">
        <v>3</v>
      </c>
      <c r="B5" s="66"/>
      <c r="C5" s="67">
        <v>45043</v>
      </c>
      <c r="D5" s="67"/>
      <c r="E5" s="67"/>
      <c r="F5" s="67"/>
      <c r="G5" s="67"/>
      <c r="H5" s="67"/>
      <c r="I5" s="67"/>
      <c r="J5" s="67"/>
      <c r="K5" s="67"/>
      <c r="L5" s="67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51" t="s">
        <v>4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68" t="s">
        <v>6</v>
      </c>
      <c r="B8" s="69"/>
      <c r="C8" s="70"/>
      <c r="D8" s="72" t="s">
        <v>40</v>
      </c>
      <c r="E8" s="73"/>
      <c r="F8" s="73"/>
      <c r="G8" s="73"/>
      <c r="H8" s="73"/>
      <c r="I8" s="73"/>
      <c r="J8" s="73"/>
      <c r="K8" s="73"/>
      <c r="L8" s="74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68" t="s">
        <v>7</v>
      </c>
      <c r="B9" s="69"/>
      <c r="C9" s="70"/>
      <c r="D9" s="75" t="str">
        <f>VLOOKUP($D$8,LISTAS!$A$2:$D$28,LISTAS!B$1,0)</f>
        <v>Gestión Administrativa</v>
      </c>
      <c r="E9" s="73"/>
      <c r="F9" s="73"/>
      <c r="G9" s="73"/>
      <c r="H9" s="73"/>
      <c r="I9" s="73"/>
      <c r="J9" s="73"/>
      <c r="K9" s="73"/>
      <c r="L9" s="74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68" t="s">
        <v>42</v>
      </c>
      <c r="B10" s="69"/>
      <c r="C10" s="70"/>
      <c r="D10" s="75" t="str">
        <f>VLOOKUP($D$8,LISTAS!$A$2:$D$28,LISTAS!C$1,0)</f>
        <v>Apoyo</v>
      </c>
      <c r="E10" s="73"/>
      <c r="F10" s="73"/>
      <c r="G10" s="73"/>
      <c r="H10" s="73"/>
      <c r="I10" s="73"/>
      <c r="J10" s="73"/>
      <c r="K10" s="73"/>
      <c r="L10" s="74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 x14ac:dyDescent="0.25">
      <c r="A11" s="68" t="s">
        <v>5</v>
      </c>
      <c r="B11" s="69"/>
      <c r="C11" s="70"/>
      <c r="D11" s="75" t="str">
        <f>VLOOKUP($D$8,LISTAS!$A$2:$D$28,LISTAS!D$1,0)</f>
        <v>Gerente</v>
      </c>
      <c r="E11" s="73"/>
      <c r="F11" s="73"/>
      <c r="G11" s="73"/>
      <c r="H11" s="73"/>
      <c r="I11" s="73"/>
      <c r="J11" s="73"/>
      <c r="K11" s="73"/>
      <c r="L11" s="74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68" t="s">
        <v>54</v>
      </c>
      <c r="B12" s="69"/>
      <c r="C12" s="70"/>
      <c r="D12" s="71" t="s">
        <v>170</v>
      </c>
      <c r="E12" s="71"/>
      <c r="F12" s="71"/>
      <c r="G12" s="71"/>
      <c r="H12" s="71"/>
      <c r="I12" s="71"/>
      <c r="J12" s="71"/>
      <c r="K12" s="71"/>
      <c r="L12" s="71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 x14ac:dyDescent="0.25">
      <c r="A13" s="68" t="s">
        <v>8</v>
      </c>
      <c r="B13" s="69"/>
      <c r="C13" s="69"/>
      <c r="D13" s="71" t="s">
        <v>170</v>
      </c>
      <c r="E13" s="71"/>
      <c r="F13" s="71"/>
      <c r="G13" s="71"/>
      <c r="H13" s="71"/>
      <c r="I13" s="71"/>
      <c r="J13" s="71"/>
      <c r="K13" s="71"/>
      <c r="L13" s="7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51" t="s">
        <v>55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 x14ac:dyDescent="0.25">
      <c r="A16" s="59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50000000000003" customHeight="1" x14ac:dyDescent="0.25">
      <c r="A17" s="85" t="s">
        <v>150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7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 x14ac:dyDescent="0.25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51" t="s">
        <v>61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332.25" customHeight="1" x14ac:dyDescent="0.25">
      <c r="A21" s="91" t="s">
        <v>151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 x14ac:dyDescent="0.25">
      <c r="A22" s="102"/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88" t="s">
        <v>62</v>
      </c>
      <c r="B23" s="89"/>
      <c r="C23" s="89"/>
      <c r="D23" s="92"/>
      <c r="E23" s="88" t="s">
        <v>63</v>
      </c>
      <c r="F23" s="89"/>
      <c r="G23" s="89"/>
      <c r="H23" s="92"/>
      <c r="I23" s="88" t="s">
        <v>64</v>
      </c>
      <c r="J23" s="89"/>
      <c r="K23" s="89"/>
      <c r="L23" s="90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93" customHeight="1" x14ac:dyDescent="0.25">
      <c r="A24" s="95" t="s">
        <v>152</v>
      </c>
      <c r="B24" s="95"/>
      <c r="C24" s="95"/>
      <c r="D24" s="95"/>
      <c r="E24" s="95" t="s">
        <v>153</v>
      </c>
      <c r="F24" s="95"/>
      <c r="G24" s="95"/>
      <c r="H24" s="95"/>
      <c r="I24" s="95" t="s">
        <v>154</v>
      </c>
      <c r="J24" s="96"/>
      <c r="K24" s="96"/>
      <c r="L24" s="96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 x14ac:dyDescent="0.25">
      <c r="A25" s="97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9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51" t="s">
        <v>72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 x14ac:dyDescent="0.25">
      <c r="A27" s="100"/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 x14ac:dyDescent="0.25">
      <c r="A28" s="47" t="s">
        <v>73</v>
      </c>
      <c r="B28" s="47"/>
      <c r="C28" s="47"/>
      <c r="D28" s="22"/>
      <c r="E28" s="88" t="s">
        <v>75</v>
      </c>
      <c r="F28" s="89"/>
      <c r="G28" s="89"/>
      <c r="H28" s="92"/>
      <c r="J28" s="47" t="s">
        <v>74</v>
      </c>
      <c r="K28" s="47"/>
      <c r="L28" s="47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77.25" customHeight="1" x14ac:dyDescent="0.25">
      <c r="A29" s="101" t="s">
        <v>166</v>
      </c>
      <c r="B29" s="50"/>
      <c r="C29" s="50"/>
      <c r="D29" s="21"/>
      <c r="E29" s="101" t="s">
        <v>168</v>
      </c>
      <c r="F29" s="50"/>
      <c r="G29" s="50"/>
      <c r="H29" s="50"/>
      <c r="J29" s="103" t="s">
        <v>167</v>
      </c>
      <c r="K29" s="49"/>
      <c r="L29" s="104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 x14ac:dyDescent="0.25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 x14ac:dyDescent="0.25">
      <c r="A31" s="47" t="s">
        <v>71</v>
      </c>
      <c r="B31" s="47"/>
      <c r="C31" s="47"/>
      <c r="E31" s="88" t="s">
        <v>76</v>
      </c>
      <c r="F31" s="89"/>
      <c r="G31" s="47" t="s">
        <v>77</v>
      </c>
      <c r="H31" s="47"/>
      <c r="J31" s="9" t="s">
        <v>87</v>
      </c>
      <c r="K31" s="47" t="s">
        <v>88</v>
      </c>
      <c r="L31" s="47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105" t="s">
        <v>169</v>
      </c>
      <c r="B32" s="105"/>
      <c r="C32" s="105"/>
      <c r="E32" s="48" t="s">
        <v>2</v>
      </c>
      <c r="F32" s="49"/>
      <c r="G32" s="50"/>
      <c r="H32" s="50"/>
      <c r="J32" s="23" t="s">
        <v>2</v>
      </c>
      <c r="K32" s="50"/>
      <c r="L32" s="50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 x14ac:dyDescent="0.25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51" t="s">
        <v>90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 x14ac:dyDescent="0.25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47" t="s">
        <v>95</v>
      </c>
      <c r="B36" s="47"/>
      <c r="C36" s="47"/>
      <c r="D36" s="47"/>
      <c r="E36" s="47"/>
      <c r="F36" s="47"/>
      <c r="G36" s="47" t="s">
        <v>92</v>
      </c>
      <c r="H36" s="47"/>
      <c r="I36" s="47"/>
      <c r="J36" s="47"/>
      <c r="K36" s="47"/>
      <c r="L36" s="47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 x14ac:dyDescent="0.2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 x14ac:dyDescent="0.25">
      <c r="A38" s="42" t="str">
        <f>IF($D$13="SI",LISTAS!B32,"NO APLICA")</f>
        <v>• No presentar ningún antecedente
• No presentar resultado positivo en pruebas de consumo
• Resultado satisfactorio en la prueba de confiabilidad.
• Concepto favorable en visitas domiciliarias.</v>
      </c>
      <c r="B38" s="42"/>
      <c r="C38" s="42"/>
      <c r="D38" s="42"/>
      <c r="E38" s="42"/>
      <c r="F38" s="42"/>
      <c r="G38" s="42" t="str">
        <f>IF($D$13="SI",LISTAS!C32,"NO APLICA")</f>
        <v>• No presentar resultado positivo en pruebas de consumo
• Concepto médico ocupacional favorable para la realización de la labor</v>
      </c>
      <c r="H38" s="42"/>
      <c r="I38" s="42"/>
      <c r="J38" s="42"/>
      <c r="K38" s="42"/>
      <c r="L38" s="4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 x14ac:dyDescent="0.25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51" t="s">
        <v>65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 x14ac:dyDescent="0.25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88" t="s">
        <v>66</v>
      </c>
      <c r="B42" s="89"/>
      <c r="C42" s="90"/>
      <c r="D42" s="88" t="s">
        <v>67</v>
      </c>
      <c r="E42" s="89"/>
      <c r="F42" s="90"/>
      <c r="G42" s="88" t="s">
        <v>68</v>
      </c>
      <c r="H42" s="89"/>
      <c r="I42" s="90"/>
      <c r="J42" s="88" t="s">
        <v>69</v>
      </c>
      <c r="K42" s="89"/>
      <c r="L42" s="90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92.25" customHeight="1" x14ac:dyDescent="0.25">
      <c r="A43" s="43" t="s">
        <v>70</v>
      </c>
      <c r="B43" s="43"/>
      <c r="C43" s="43"/>
      <c r="D43" s="44" t="s">
        <v>155</v>
      </c>
      <c r="E43" s="43"/>
      <c r="F43" s="43"/>
      <c r="G43" s="45" t="s">
        <v>156</v>
      </c>
      <c r="H43" s="45"/>
      <c r="I43" s="45"/>
      <c r="J43" s="46" t="s">
        <v>157</v>
      </c>
      <c r="K43" s="46"/>
      <c r="L43" s="46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92.25" customHeight="1" x14ac:dyDescent="0.25">
      <c r="A44" s="43" t="s">
        <v>158</v>
      </c>
      <c r="B44" s="43"/>
      <c r="C44" s="43"/>
      <c r="D44" s="44" t="s">
        <v>159</v>
      </c>
      <c r="E44" s="43"/>
      <c r="F44" s="43"/>
      <c r="G44" s="45" t="s">
        <v>160</v>
      </c>
      <c r="H44" s="45"/>
      <c r="I44" s="45"/>
      <c r="J44" s="46" t="s">
        <v>161</v>
      </c>
      <c r="K44" s="46"/>
      <c r="L44" s="46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47.25" customHeight="1" x14ac:dyDescent="0.25">
      <c r="A45" s="43" t="s">
        <v>163</v>
      </c>
      <c r="B45" s="43"/>
      <c r="C45" s="43"/>
      <c r="D45" s="44" t="s">
        <v>164</v>
      </c>
      <c r="E45" s="43"/>
      <c r="F45" s="43"/>
      <c r="G45" s="45" t="s">
        <v>160</v>
      </c>
      <c r="H45" s="45"/>
      <c r="I45" s="45"/>
      <c r="J45" s="46" t="s">
        <v>165</v>
      </c>
      <c r="K45" s="46"/>
      <c r="L45" s="4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ht="3" customHeight="1" x14ac:dyDescent="0.25">
      <c r="A46" s="25"/>
      <c r="B46" s="25"/>
      <c r="C46" s="25"/>
      <c r="E46" s="26"/>
      <c r="F46" s="26"/>
      <c r="G46" s="26"/>
      <c r="H46" s="26"/>
      <c r="J46" s="26"/>
      <c r="K46" s="26"/>
      <c r="L46" s="26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3" customHeight="1" x14ac:dyDescent="0.25"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</row>
    <row r="48" spans="1:24" ht="14.25" customHeight="1" x14ac:dyDescent="0.25">
      <c r="A48" s="51" t="s">
        <v>56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3" customHeight="1" x14ac:dyDescent="0.25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</row>
    <row r="50" spans="1:24" ht="14.25" customHeight="1" x14ac:dyDescent="0.25">
      <c r="A50" s="94" t="s">
        <v>57</v>
      </c>
      <c r="B50" s="94"/>
      <c r="C50" s="94"/>
      <c r="D50" s="94"/>
      <c r="E50" s="94"/>
      <c r="F50" s="94"/>
      <c r="G50" s="94" t="s">
        <v>58</v>
      </c>
      <c r="H50" s="94"/>
      <c r="I50" s="94"/>
      <c r="J50" s="94"/>
      <c r="K50" s="94"/>
      <c r="L50" s="94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3.6" customHeight="1" x14ac:dyDescent="0.25">
      <c r="A51" s="60"/>
      <c r="B51" s="60"/>
      <c r="C51" s="60"/>
      <c r="D51" s="60"/>
      <c r="E51" s="60"/>
      <c r="F51" s="60"/>
      <c r="G51" s="61"/>
      <c r="H51" s="61"/>
      <c r="I51" s="61"/>
      <c r="J51" s="61"/>
      <c r="K51" s="61"/>
      <c r="L51" s="6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15" customHeight="1" x14ac:dyDescent="0.25">
      <c r="A52" s="62"/>
      <c r="B52" s="62"/>
      <c r="C52" s="62"/>
      <c r="D52" s="62"/>
      <c r="E52" s="62"/>
      <c r="F52" s="62"/>
      <c r="G52" s="64"/>
      <c r="H52" s="64"/>
      <c r="I52" s="64"/>
      <c r="J52" s="64"/>
      <c r="K52" s="64"/>
      <c r="L52" s="64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15" customHeight="1" x14ac:dyDescent="0.25">
      <c r="A53" s="62"/>
      <c r="B53" s="62"/>
      <c r="C53" s="62"/>
      <c r="D53" s="62"/>
      <c r="E53" s="62"/>
      <c r="F53" s="62"/>
      <c r="G53" s="64"/>
      <c r="H53" s="64"/>
      <c r="I53" s="64"/>
      <c r="J53" s="64"/>
      <c r="K53" s="64"/>
      <c r="L53" s="64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ht="13.15" customHeight="1" x14ac:dyDescent="0.25">
      <c r="A54" s="62"/>
      <c r="B54" s="62"/>
      <c r="C54" s="62"/>
      <c r="D54" s="62"/>
      <c r="E54" s="62"/>
      <c r="F54" s="62"/>
      <c r="G54" s="64"/>
      <c r="H54" s="64"/>
      <c r="I54" s="64"/>
      <c r="J54" s="64"/>
      <c r="K54" s="64"/>
      <c r="L54" s="64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 x14ac:dyDescent="0.25">
      <c r="A55" s="62"/>
      <c r="B55" s="62"/>
      <c r="C55" s="62"/>
      <c r="D55" s="62"/>
      <c r="E55" s="62"/>
      <c r="F55" s="62"/>
      <c r="G55" s="64" t="s">
        <v>162</v>
      </c>
      <c r="H55" s="64"/>
      <c r="I55" s="64"/>
      <c r="J55" s="64"/>
      <c r="K55" s="64"/>
      <c r="L55" s="64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 x14ac:dyDescent="0.25">
      <c r="A56" s="62"/>
      <c r="B56" s="62"/>
      <c r="C56" s="62"/>
      <c r="D56" s="62"/>
      <c r="E56" s="62"/>
      <c r="F56" s="62"/>
      <c r="G56" s="64"/>
      <c r="H56" s="64"/>
      <c r="I56" s="64"/>
      <c r="J56" s="64"/>
      <c r="K56" s="64"/>
      <c r="L56" s="64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 x14ac:dyDescent="0.25">
      <c r="A57" s="62"/>
      <c r="B57" s="62"/>
      <c r="C57" s="62"/>
      <c r="D57" s="62"/>
      <c r="E57" s="62"/>
      <c r="F57" s="62"/>
      <c r="G57" s="64"/>
      <c r="H57" s="64"/>
      <c r="I57" s="64"/>
      <c r="J57" s="64"/>
      <c r="K57" s="64"/>
      <c r="L57" s="64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 x14ac:dyDescent="0.25">
      <c r="A58" s="62"/>
      <c r="B58" s="62"/>
      <c r="C58" s="62"/>
      <c r="D58" s="62"/>
      <c r="E58" s="62"/>
      <c r="F58" s="62"/>
      <c r="G58" s="64"/>
      <c r="H58" s="64"/>
      <c r="I58" s="64"/>
      <c r="J58" s="64"/>
      <c r="K58" s="64"/>
      <c r="L58" s="64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 x14ac:dyDescent="0.25">
      <c r="A59" s="62"/>
      <c r="B59" s="62"/>
      <c r="C59" s="62"/>
      <c r="D59" s="62"/>
      <c r="E59" s="62"/>
      <c r="F59" s="62"/>
      <c r="G59" s="64"/>
      <c r="H59" s="64"/>
      <c r="I59" s="64"/>
      <c r="J59" s="64"/>
      <c r="K59" s="64"/>
      <c r="L59" s="64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 x14ac:dyDescent="0.25">
      <c r="A60" s="62"/>
      <c r="B60" s="62"/>
      <c r="C60" s="62"/>
      <c r="D60" s="62"/>
      <c r="E60" s="62"/>
      <c r="F60" s="62"/>
      <c r="G60" s="64"/>
      <c r="H60" s="64"/>
      <c r="I60" s="64"/>
      <c r="J60" s="64"/>
      <c r="K60" s="64"/>
      <c r="L60" s="64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13.15" customHeight="1" x14ac:dyDescent="0.25">
      <c r="A61" s="62"/>
      <c r="B61" s="62"/>
      <c r="C61" s="62"/>
      <c r="D61" s="62"/>
      <c r="E61" s="62"/>
      <c r="F61" s="62"/>
      <c r="G61" s="64"/>
      <c r="H61" s="64"/>
      <c r="I61" s="64"/>
      <c r="J61" s="64"/>
      <c r="K61" s="64"/>
      <c r="L61" s="64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31.15" customHeight="1" x14ac:dyDescent="0.25">
      <c r="A62" s="106"/>
      <c r="B62" s="106"/>
      <c r="C62" s="106"/>
      <c r="D62" s="106"/>
      <c r="E62" s="106"/>
      <c r="F62" s="106"/>
      <c r="G62" s="107"/>
      <c r="H62" s="107"/>
      <c r="I62" s="107"/>
      <c r="J62" s="107"/>
      <c r="K62" s="107"/>
      <c r="L62" s="107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4" ht="4.9000000000000004" customHeight="1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14.25" customHeight="1" x14ac:dyDescent="0.25">
      <c r="A64" s="51" t="s">
        <v>89</v>
      </c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2.4500000000000002" customHeight="1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14.25" customHeight="1" x14ac:dyDescent="0.25">
      <c r="A66" s="94" t="s">
        <v>59</v>
      </c>
      <c r="B66" s="94"/>
      <c r="C66" s="94"/>
      <c r="D66" s="94"/>
      <c r="E66" s="94"/>
      <c r="F66" s="94"/>
      <c r="G66" s="94" t="s">
        <v>60</v>
      </c>
      <c r="H66" s="94"/>
      <c r="I66" s="94"/>
      <c r="J66" s="94"/>
      <c r="K66" s="94"/>
      <c r="L66" s="94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3" customHeight="1" x14ac:dyDescent="0.25">
      <c r="A67" s="60"/>
      <c r="B67" s="60"/>
      <c r="C67" s="60"/>
      <c r="D67" s="60"/>
      <c r="E67" s="60"/>
      <c r="F67" s="60"/>
      <c r="G67" s="61"/>
      <c r="H67" s="61"/>
      <c r="I67" s="61"/>
      <c r="J67" s="61"/>
      <c r="K67" s="61"/>
      <c r="L67" s="6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 x14ac:dyDescent="0.25">
      <c r="A68" s="62"/>
      <c r="B68" s="62"/>
      <c r="C68" s="62"/>
      <c r="D68" s="62"/>
      <c r="E68" s="62"/>
      <c r="F68" s="62"/>
      <c r="G68" s="63"/>
      <c r="H68" s="63"/>
      <c r="I68" s="63"/>
      <c r="J68" s="63"/>
      <c r="K68" s="63"/>
      <c r="L68" s="6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62"/>
      <c r="B69" s="62"/>
      <c r="C69" s="62"/>
      <c r="D69" s="62"/>
      <c r="E69" s="62"/>
      <c r="F69" s="62"/>
      <c r="G69" s="64"/>
      <c r="H69" s="64"/>
      <c r="I69" s="64"/>
      <c r="J69" s="64"/>
      <c r="K69" s="64"/>
      <c r="L69" s="64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ht="14.25" customHeight="1" x14ac:dyDescent="0.25">
      <c r="A70" s="62"/>
      <c r="B70" s="62"/>
      <c r="C70" s="62"/>
      <c r="D70" s="62"/>
      <c r="E70" s="62"/>
      <c r="F70" s="62"/>
      <c r="G70" s="64"/>
      <c r="H70" s="64"/>
      <c r="I70" s="64"/>
      <c r="J70" s="64"/>
      <c r="K70" s="64"/>
      <c r="L70" s="64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ht="14.25" customHeight="1" x14ac:dyDescent="0.25">
      <c r="A71" s="62"/>
      <c r="B71" s="62"/>
      <c r="C71" s="62"/>
      <c r="D71" s="62"/>
      <c r="E71" s="62"/>
      <c r="F71" s="62"/>
      <c r="G71" s="64"/>
      <c r="H71" s="64"/>
      <c r="I71" s="64"/>
      <c r="J71" s="64"/>
      <c r="K71" s="64"/>
      <c r="L71" s="64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1:24" ht="14.25" customHeight="1" x14ac:dyDescent="0.25">
      <c r="A72" s="62"/>
      <c r="B72" s="62"/>
      <c r="C72" s="62"/>
      <c r="D72" s="62"/>
      <c r="E72" s="62"/>
      <c r="F72" s="62"/>
      <c r="G72" s="64"/>
      <c r="H72" s="64"/>
      <c r="I72" s="64"/>
      <c r="J72" s="64"/>
      <c r="K72" s="64"/>
      <c r="L72" s="64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 x14ac:dyDescent="0.25">
      <c r="A73" s="62"/>
      <c r="B73" s="62"/>
      <c r="C73" s="62"/>
      <c r="D73" s="62"/>
      <c r="E73" s="62"/>
      <c r="F73" s="62"/>
      <c r="G73" s="64"/>
      <c r="H73" s="64"/>
      <c r="I73" s="64"/>
      <c r="J73" s="64"/>
      <c r="K73" s="64"/>
      <c r="L73" s="64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14.25" customHeight="1" x14ac:dyDescent="0.25">
      <c r="A74" s="62"/>
      <c r="B74" s="62"/>
      <c r="C74" s="62"/>
      <c r="D74" s="62"/>
      <c r="E74" s="62"/>
      <c r="F74" s="62"/>
      <c r="G74" s="64"/>
      <c r="H74" s="64"/>
      <c r="I74" s="64"/>
      <c r="J74" s="64"/>
      <c r="K74" s="64"/>
      <c r="L74" s="64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ht="3" customHeight="1" x14ac:dyDescent="0.25"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</row>
    <row r="76" spans="1:24" ht="14.25" customHeight="1" x14ac:dyDescent="0.25">
      <c r="A76" s="53" t="s">
        <v>132</v>
      </c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5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ht="2.4500000000000002" customHeight="1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</row>
    <row r="78" spans="1:24" ht="14.25" customHeight="1" x14ac:dyDescent="0.25">
      <c r="A78" s="56" t="s">
        <v>148</v>
      </c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8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ht="2.4500000000000002" customHeight="1" x14ac:dyDescent="0.25">
      <c r="A79" s="114"/>
      <c r="B79" s="114"/>
      <c r="C79" s="114"/>
      <c r="D79" s="114"/>
      <c r="E79" s="114"/>
      <c r="F79" s="114"/>
      <c r="G79" s="114"/>
      <c r="H79" s="114"/>
      <c r="I79" s="114"/>
      <c r="J79" s="114"/>
      <c r="K79" s="114"/>
      <c r="L79" s="115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</row>
    <row r="80" spans="1:24" ht="26.45" customHeight="1" x14ac:dyDescent="0.25">
      <c r="A80" s="117" t="s">
        <v>1</v>
      </c>
      <c r="B80" s="117"/>
      <c r="C80" s="117"/>
      <c r="D80" s="117" t="s">
        <v>129</v>
      </c>
      <c r="E80" s="117"/>
      <c r="F80" s="117"/>
      <c r="G80" s="117"/>
      <c r="H80" s="117" t="s">
        <v>130</v>
      </c>
      <c r="I80" s="117"/>
      <c r="J80" s="117"/>
      <c r="K80" s="118" t="s">
        <v>131</v>
      </c>
      <c r="L80" s="119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3.6" customHeight="1" x14ac:dyDescent="0.25">
      <c r="A81" s="116"/>
      <c r="B81" s="116"/>
      <c r="C81" s="116"/>
      <c r="D81" s="116"/>
      <c r="E81" s="116"/>
      <c r="F81" s="116"/>
      <c r="G81" s="36"/>
      <c r="I81" s="35"/>
      <c r="J81" s="35"/>
      <c r="K81" s="122"/>
      <c r="L81" s="122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7.45" customHeight="1" x14ac:dyDescent="0.25">
      <c r="A82" s="98" t="s">
        <v>98</v>
      </c>
      <c r="B82" s="98"/>
      <c r="C82" s="138"/>
      <c r="D82" s="125" t="str">
        <f>VLOOKUP(A82,LISTAS!$A$42:$C$54,LISTAS!$B$41,0)</f>
        <v>Capacidad para construir relaciones de cooperación y confianza con las personas que interactúo para favorecer el logro de  los objetivos de la organización, buscando el beneficio común.</v>
      </c>
      <c r="E82" s="126"/>
      <c r="F82" s="126"/>
      <c r="G82" s="127"/>
      <c r="H82" s="108" t="str">
        <f>VLOOKUP(A82,LISTAS!$A$42:$C$54,LISTAS!$C$41,0)</f>
        <v>1) Trabaja en equipo en pro de objetivos colectivos derribando barreras funcionales, jerárquicas y entre áreas. 
2) Construye y mantiene relaciones interpersonales de confianza y respeto.</v>
      </c>
      <c r="I82" s="109"/>
      <c r="J82" s="110"/>
      <c r="K82" s="120">
        <v>4</v>
      </c>
      <c r="L82" s="12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42" customHeight="1" x14ac:dyDescent="0.25">
      <c r="A83" s="139"/>
      <c r="B83" s="139"/>
      <c r="C83" s="140"/>
      <c r="D83" s="128"/>
      <c r="E83" s="129"/>
      <c r="F83" s="129"/>
      <c r="G83" s="130"/>
      <c r="H83" s="111"/>
      <c r="I83" s="112"/>
      <c r="J83" s="113"/>
      <c r="K83" s="123">
        <v>4</v>
      </c>
      <c r="L83" s="124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30.6" customHeight="1" x14ac:dyDescent="0.25">
      <c r="A84" s="120" t="s">
        <v>100</v>
      </c>
      <c r="B84" s="141"/>
      <c r="C84" s="142"/>
      <c r="D84" s="125" t="str">
        <f>VLOOKUP(A84,LISTAS!$A$42:$C$54,LISTAS!$B$41,0)</f>
        <v>Capacidad para escuchar y expresarse de manera clara y oportuna basado en hechos concretos y verificados.</v>
      </c>
      <c r="E84" s="126"/>
      <c r="F84" s="126"/>
      <c r="G84" s="127"/>
      <c r="H84" s="108" t="str">
        <f>VLOOKUP(A84,LISTAS!$A$42:$C$54,LISTAS!$C$41,0)</f>
        <v>1) Se expresa de manera directa, sincera y asertiva.
2) Demuestra coherencia entre lo que dice y hace. Es propositivo y no reactivo.</v>
      </c>
      <c r="I84" s="109"/>
      <c r="J84" s="110"/>
      <c r="K84" s="120">
        <v>4</v>
      </c>
      <c r="L84" s="12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40.15" customHeight="1" x14ac:dyDescent="0.25">
      <c r="A85" s="143"/>
      <c r="B85" s="139"/>
      <c r="C85" s="140"/>
      <c r="D85" s="128"/>
      <c r="E85" s="129"/>
      <c r="F85" s="129"/>
      <c r="G85" s="130"/>
      <c r="H85" s="111"/>
      <c r="I85" s="112"/>
      <c r="J85" s="113"/>
      <c r="K85" s="123">
        <v>4</v>
      </c>
      <c r="L85" s="124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39" customHeight="1" x14ac:dyDescent="0.25">
      <c r="A86" s="120" t="s">
        <v>108</v>
      </c>
      <c r="B86" s="141"/>
      <c r="C86" s="142"/>
      <c r="D86" s="125" t="str">
        <f>VLOOKUP(A86,LISTAS!$A$42:$C$54,LISTAS!$B$41,0)</f>
        <v>Personas competitivas, enfocadas al cumplimiento responsable de metas.</v>
      </c>
      <c r="E86" s="126"/>
      <c r="F86" s="126"/>
      <c r="G86" s="127"/>
      <c r="H86" s="108" t="str">
        <f>VLOOKUP(A86,LISTAS!$A$42:$C$54,LISTAS!$C$41,0)</f>
        <v>1) Alinea su quehacer diario enfocándolo al plan estratégico de la empresa. Es resolutivo.
2) Produce resultados y cumple compromisos - alcanza los objetivos y supera las metas.</v>
      </c>
      <c r="I86" s="109"/>
      <c r="J86" s="110"/>
      <c r="K86" s="120">
        <v>4</v>
      </c>
      <c r="L86" s="12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46.15" customHeight="1" x14ac:dyDescent="0.25">
      <c r="A87" s="143"/>
      <c r="B87" s="139"/>
      <c r="C87" s="140"/>
      <c r="D87" s="128"/>
      <c r="E87" s="129"/>
      <c r="F87" s="129"/>
      <c r="G87" s="130"/>
      <c r="H87" s="111"/>
      <c r="I87" s="112"/>
      <c r="J87" s="113"/>
      <c r="K87" s="120">
        <v>4</v>
      </c>
      <c r="L87" s="12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 x14ac:dyDescent="0.25">
      <c r="A88" s="120" t="s">
        <v>102</v>
      </c>
      <c r="B88" s="141"/>
      <c r="C88" s="142"/>
      <c r="D88" s="125" t="str">
        <f>VLOOKUP(A88,LISTAS!$A$42:$C$54,LISTAS!$B$41,0)</f>
        <v>Capacidad para identificar y comprender las necesidades y expectativas de nuestros clientes (internos y externos) con empatía.</v>
      </c>
      <c r="E88" s="126"/>
      <c r="F88" s="126"/>
      <c r="G88" s="127"/>
      <c r="H88" s="108" t="str">
        <f>VLOOKUP(A88,LISTAS!$A$42:$C$54,LISTAS!$C$41,0)</f>
        <v>1) Muestra respeto, interés y disposición en comprender las necesidades de clientes, y usuarios; es amable y paciente.
2) Resuelve, atiende con agilidad y oportunidad, busca soluciones de raíz.</v>
      </c>
      <c r="I88" s="109"/>
      <c r="J88" s="110"/>
      <c r="K88" s="120">
        <v>4</v>
      </c>
      <c r="L88" s="12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51.6" customHeight="1" x14ac:dyDescent="0.25">
      <c r="A89" s="143"/>
      <c r="B89" s="139"/>
      <c r="C89" s="140"/>
      <c r="D89" s="128"/>
      <c r="E89" s="129"/>
      <c r="F89" s="129"/>
      <c r="G89" s="130"/>
      <c r="H89" s="111"/>
      <c r="I89" s="112"/>
      <c r="J89" s="113"/>
      <c r="K89" s="120">
        <v>4</v>
      </c>
      <c r="L89" s="12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70.900000000000006" customHeight="1" x14ac:dyDescent="0.25">
      <c r="A90" s="120" t="s">
        <v>104</v>
      </c>
      <c r="B90" s="141"/>
      <c r="C90" s="142"/>
      <c r="D90" s="125" t="str">
        <f>VLOOKUP(A90,LISTAS!$A$42:$C$54,LISTAS!$B$41,0)</f>
        <v>Capacidad para trabajar efectivamente en una variedad de situaciones, con diversos individuos o grupos, valorando las perspectivas diferentes para lograr un proceso de adaptación</v>
      </c>
      <c r="E90" s="126"/>
      <c r="F90" s="126"/>
      <c r="G90" s="127"/>
      <c r="H90" s="108" t="str">
        <f>VLOOKUP(A90,LISTAS!$A$42:$C$54,LISTAS!$C$41,0)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90" s="109"/>
      <c r="J90" s="110"/>
      <c r="K90" s="120">
        <v>4</v>
      </c>
      <c r="L90" s="12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38.450000000000003" customHeight="1" x14ac:dyDescent="0.25">
      <c r="A91" s="143"/>
      <c r="B91" s="139"/>
      <c r="C91" s="140"/>
      <c r="D91" s="128"/>
      <c r="E91" s="129"/>
      <c r="F91" s="129"/>
      <c r="G91" s="130"/>
      <c r="H91" s="111"/>
      <c r="I91" s="112"/>
      <c r="J91" s="113"/>
      <c r="K91" s="120">
        <v>4</v>
      </c>
      <c r="L91" s="12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29.45" customHeight="1" x14ac:dyDescent="0.25">
      <c r="A92" s="120" t="s">
        <v>106</v>
      </c>
      <c r="B92" s="141"/>
      <c r="C92" s="142"/>
      <c r="D92" s="125" t="str">
        <f>VLOOKUP(A92,LISTAS!$A$42:$C$54,LISTAS!$B$41,0)</f>
        <v>Capacidad de inspirar y movilizar a los equipos de trabajo</v>
      </c>
      <c r="E92" s="126"/>
      <c r="F92" s="126"/>
      <c r="G92" s="127"/>
      <c r="H92" s="108" t="str">
        <f>VLOOKUP(A92,LISTAS!$A$42:$C$54,LISTAS!$C$41,0)</f>
        <v>1) Coordina y organiza eficazmente su equipo, propiciando un adecuado ambiente de trabajo, orientando y dirigiendo a los demás para motivarlos e inducirlos a que se llegue a las metas y objetivos planteados.
2) Promueve ambientes participativos permitiendo que su equipo aporte sus propias ideas y sugerencias.</v>
      </c>
      <c r="I92" s="109"/>
      <c r="J92" s="110"/>
      <c r="K92" s="44">
        <v>4</v>
      </c>
      <c r="L92" s="44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8.450000000000003" customHeight="1" x14ac:dyDescent="0.25">
      <c r="A93" s="143"/>
      <c r="B93" s="139"/>
      <c r="C93" s="140"/>
      <c r="D93" s="128"/>
      <c r="E93" s="129"/>
      <c r="F93" s="129"/>
      <c r="G93" s="130"/>
      <c r="H93" s="111"/>
      <c r="I93" s="112"/>
      <c r="J93" s="113"/>
      <c r="K93" s="44"/>
      <c r="L93" s="44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6" customHeight="1" x14ac:dyDescent="0.25">
      <c r="A94" s="120" t="s">
        <v>110</v>
      </c>
      <c r="B94" s="141"/>
      <c r="C94" s="142"/>
      <c r="D94" s="125" t="str">
        <f>VLOOKUP(A94,LISTAS!$A$42:$C$54,LISTAS!$B$41,0)</f>
        <v>Perspectiva amplia del entorno, la cual facilita hacer proyecciones, determinando adecuadamente planes a largo plazo.</v>
      </c>
      <c r="E94" s="126"/>
      <c r="F94" s="126"/>
      <c r="G94" s="127"/>
      <c r="H94" s="108" t="str">
        <f>VLOOKUP(A94,LISTAS!$A$42:$C$54,LISTAS!$C$41,0)</f>
        <v>1) Logra fijar un objetivo, analiza los medios que tiene para alcanzarlo y los organiza para lograr el fin.
2) Genera planes de acción en pro del cumplimiento de los objetivos.</v>
      </c>
      <c r="I94" s="109"/>
      <c r="J94" s="110"/>
      <c r="K94" s="44">
        <v>4</v>
      </c>
      <c r="L94" s="44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0.6" customHeight="1" x14ac:dyDescent="0.25">
      <c r="A95" s="143"/>
      <c r="B95" s="139"/>
      <c r="C95" s="140"/>
      <c r="D95" s="128"/>
      <c r="E95" s="129"/>
      <c r="F95" s="129"/>
      <c r="G95" s="130"/>
      <c r="H95" s="111"/>
      <c r="I95" s="112"/>
      <c r="J95" s="113"/>
      <c r="K95" s="44">
        <v>4</v>
      </c>
      <c r="L95" s="44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5.450000000000003" customHeight="1" x14ac:dyDescent="0.25">
      <c r="A96" s="120" t="s">
        <v>112</v>
      </c>
      <c r="B96" s="141"/>
      <c r="C96" s="142"/>
      <c r="D96" s="125" t="str">
        <f>VLOOKUP(A96,LISTAS!$A$42:$C$54,LISTAS!$B$41,0)</f>
        <v>Ejecuta el cierre oportuno de los planes de acción establecidos, logrando el cumplimiento de las actividades planteadas y subsanando las causas que dieron lugar a la misma.</v>
      </c>
      <c r="E96" s="126"/>
      <c r="F96" s="126"/>
      <c r="G96" s="127"/>
      <c r="H96" s="108" t="str">
        <f>VLOOKUP(A96,LISTAS!$A$42:$C$54,LISTAS!$C$41,0)</f>
        <v>Ejecuta el cierre oportuno de los planes de acción establecidos, logrando el cumplimiento de las actividades planteadas y subsanando las causas que dieron lugar a la misma.</v>
      </c>
      <c r="I96" s="109"/>
      <c r="J96" s="110"/>
      <c r="K96" s="44">
        <v>5</v>
      </c>
      <c r="L96" s="44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31.9" customHeight="1" x14ac:dyDescent="0.25">
      <c r="A97" s="143"/>
      <c r="B97" s="139"/>
      <c r="C97" s="140"/>
      <c r="D97" s="128"/>
      <c r="E97" s="129"/>
      <c r="F97" s="129"/>
      <c r="G97" s="130"/>
      <c r="H97" s="111"/>
      <c r="I97" s="112"/>
      <c r="J97" s="113"/>
      <c r="K97" s="44"/>
      <c r="L97" s="44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29.45" customHeight="1" x14ac:dyDescent="0.25">
      <c r="A98" s="120" t="s">
        <v>114</v>
      </c>
      <c r="B98" s="141"/>
      <c r="C98" s="142"/>
      <c r="D98" s="125" t="str">
        <f>VLOOKUP(A98,LISTAS!$A$42:$C$54,LISTAS!$B$41,0)</f>
        <v>Participa y promueve en su equipo el cumplimiento de las responsabilidades transversales que se desprenden de los sistemas de gestión</v>
      </c>
      <c r="E98" s="126"/>
      <c r="F98" s="126"/>
      <c r="G98" s="127"/>
      <c r="H98" s="108" t="str">
        <f>VLOOKUP(A98,LISTAS!$A$42:$C$54,LISTAS!$C$41,0)</f>
        <v>Participa y promueve en su equipo el cumplimiento de las responsabilidades transversales que se desprenden de los sistemas de gestión</v>
      </c>
      <c r="I98" s="109"/>
      <c r="J98" s="110"/>
      <c r="K98" s="44">
        <v>5</v>
      </c>
      <c r="L98" s="44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28.15" customHeight="1" x14ac:dyDescent="0.25">
      <c r="A99" s="143"/>
      <c r="B99" s="139"/>
      <c r="C99" s="140"/>
      <c r="D99" s="128"/>
      <c r="E99" s="129"/>
      <c r="F99" s="129"/>
      <c r="G99" s="130"/>
      <c r="H99" s="111"/>
      <c r="I99" s="112"/>
      <c r="J99" s="113"/>
      <c r="K99" s="44"/>
      <c r="L99" s="44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30.6" customHeight="1" x14ac:dyDescent="0.25">
      <c r="A100" s="120" t="s">
        <v>116</v>
      </c>
      <c r="B100" s="141"/>
      <c r="C100" s="142"/>
      <c r="D100" s="125" t="str">
        <f>VLOOKUP(A100,LISTAS!$A$42:$C$54,LISTAS!$B$41,0)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100" s="126"/>
      <c r="F100" s="126"/>
      <c r="G100" s="127"/>
      <c r="H100" s="108" t="str">
        <f>VLOOKUP(A100,LISTAS!$A$42:$C$54,LISTAS!$C$41,0)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100" s="109"/>
      <c r="J100" s="110"/>
      <c r="K100" s="44">
        <v>5</v>
      </c>
      <c r="L100" s="44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3" customHeight="1" x14ac:dyDescent="0.25">
      <c r="A101" s="143"/>
      <c r="B101" s="139"/>
      <c r="C101" s="140"/>
      <c r="D101" s="128"/>
      <c r="E101" s="129"/>
      <c r="F101" s="129"/>
      <c r="G101" s="130"/>
      <c r="H101" s="111"/>
      <c r="I101" s="112"/>
      <c r="J101" s="113"/>
      <c r="K101" s="44"/>
      <c r="L101" s="44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35.450000000000003" customHeight="1" x14ac:dyDescent="0.25">
      <c r="A102" s="120" t="s">
        <v>118</v>
      </c>
      <c r="B102" s="141"/>
      <c r="C102" s="142"/>
      <c r="D102" s="125" t="str">
        <f>VLOOKUP(A102,LISTAS!$A$42:$C$54,LISTAS!$B$41,0)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102" s="126"/>
      <c r="F102" s="126"/>
      <c r="G102" s="127"/>
      <c r="H102" s="108" t="str">
        <f>VLOOKUP(A102,LISTAS!$A$42:$C$54,LISTAS!$C$41,0)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102" s="109"/>
      <c r="J102" s="110"/>
      <c r="K102" s="44">
        <v>5</v>
      </c>
      <c r="L102" s="44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41.45" customHeight="1" x14ac:dyDescent="0.25">
      <c r="A103" s="144"/>
      <c r="B103" s="145"/>
      <c r="C103" s="146"/>
      <c r="D103" s="128"/>
      <c r="E103" s="129"/>
      <c r="F103" s="129"/>
      <c r="G103" s="130"/>
      <c r="H103" s="132"/>
      <c r="I103" s="133"/>
      <c r="J103" s="134"/>
      <c r="K103" s="131"/>
      <c r="L103" s="13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78.599999999999994" customHeight="1" x14ac:dyDescent="0.25">
      <c r="A104" s="44" t="s">
        <v>121</v>
      </c>
      <c r="B104" s="44"/>
      <c r="C104" s="44"/>
      <c r="D104" s="125" t="str">
        <f>VLOOKUP(A104,LISTAS!$A$42:$C$54,LISTAS!$B$41,0)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104" s="126"/>
      <c r="F104" s="126"/>
      <c r="G104" s="127"/>
      <c r="H104" s="135" t="str">
        <f>VLOOKUP(A104,LISTAS!$A$42:$C$54,LISTAS!$C$41,0)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104" s="135"/>
      <c r="J104" s="135"/>
      <c r="K104" s="44">
        <v>4</v>
      </c>
      <c r="L104" s="44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58.15" customHeight="1" x14ac:dyDescent="0.25">
      <c r="A105" s="44"/>
      <c r="B105" s="44"/>
      <c r="C105" s="44"/>
      <c r="D105" s="128"/>
      <c r="E105" s="129"/>
      <c r="F105" s="129"/>
      <c r="G105" s="130"/>
      <c r="H105" s="135"/>
      <c r="I105" s="135"/>
      <c r="J105" s="135"/>
      <c r="K105" s="44"/>
      <c r="L105" s="44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  <row r="1000" spans="1:24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</row>
  </sheetData>
  <mergeCells count="197">
    <mergeCell ref="I3:J3"/>
    <mergeCell ref="F3:H3"/>
    <mergeCell ref="C3:E3"/>
    <mergeCell ref="K105:L105"/>
    <mergeCell ref="A82:C83"/>
    <mergeCell ref="D82:G83"/>
    <mergeCell ref="H82:J83"/>
    <mergeCell ref="A84:C85"/>
    <mergeCell ref="D84:G85"/>
    <mergeCell ref="H84:J85"/>
    <mergeCell ref="A86:C87"/>
    <mergeCell ref="A88:C89"/>
    <mergeCell ref="A90:C91"/>
    <mergeCell ref="A92:C93"/>
    <mergeCell ref="A94:C95"/>
    <mergeCell ref="A96:C97"/>
    <mergeCell ref="A98:C99"/>
    <mergeCell ref="A100:C101"/>
    <mergeCell ref="A102:C103"/>
    <mergeCell ref="A104:C105"/>
    <mergeCell ref="D86:G87"/>
    <mergeCell ref="D88:G89"/>
    <mergeCell ref="D90:G91"/>
    <mergeCell ref="D92:G93"/>
    <mergeCell ref="K102:L102"/>
    <mergeCell ref="K103:L103"/>
    <mergeCell ref="K104:L104"/>
    <mergeCell ref="D102:G103"/>
    <mergeCell ref="D104:G105"/>
    <mergeCell ref="H102:J103"/>
    <mergeCell ref="H104:J105"/>
    <mergeCell ref="K99:L99"/>
    <mergeCell ref="K100:L100"/>
    <mergeCell ref="K101:L101"/>
    <mergeCell ref="D98:G99"/>
    <mergeCell ref="D100:G101"/>
    <mergeCell ref="H98:J99"/>
    <mergeCell ref="H100:J101"/>
    <mergeCell ref="K92:L92"/>
    <mergeCell ref="K96:L96"/>
    <mergeCell ref="K97:L97"/>
    <mergeCell ref="K98:L98"/>
    <mergeCell ref="D96:G97"/>
    <mergeCell ref="H96:J97"/>
    <mergeCell ref="K93:L93"/>
    <mergeCell ref="K94:L94"/>
    <mergeCell ref="K95:L95"/>
    <mergeCell ref="D94:G95"/>
    <mergeCell ref="H92:J93"/>
    <mergeCell ref="H94:J95"/>
    <mergeCell ref="H86:J87"/>
    <mergeCell ref="H88:J89"/>
    <mergeCell ref="H90:J91"/>
    <mergeCell ref="A79:L79"/>
    <mergeCell ref="A81:F81"/>
    <mergeCell ref="A80:C80"/>
    <mergeCell ref="D80:G80"/>
    <mergeCell ref="K80:L80"/>
    <mergeCell ref="K82:L82"/>
    <mergeCell ref="K81:L81"/>
    <mergeCell ref="K83:L83"/>
    <mergeCell ref="H80:J80"/>
    <mergeCell ref="K84:L84"/>
    <mergeCell ref="K85:L85"/>
    <mergeCell ref="K86:L86"/>
    <mergeCell ref="K87:L87"/>
    <mergeCell ref="K88:L88"/>
    <mergeCell ref="K89:L89"/>
    <mergeCell ref="K90:L90"/>
    <mergeCell ref="K91:L91"/>
    <mergeCell ref="A18:L18"/>
    <mergeCell ref="A22:L22"/>
    <mergeCell ref="E29:H29"/>
    <mergeCell ref="J28:L28"/>
    <mergeCell ref="J29:L29"/>
    <mergeCell ref="A31:C31"/>
    <mergeCell ref="A32:C32"/>
    <mergeCell ref="A71:F71"/>
    <mergeCell ref="G71:L71"/>
    <mergeCell ref="A64:L64"/>
    <mergeCell ref="A65:L65"/>
    <mergeCell ref="A60:F60"/>
    <mergeCell ref="G60:L60"/>
    <mergeCell ref="A61:F61"/>
    <mergeCell ref="G61:L61"/>
    <mergeCell ref="A62:F62"/>
    <mergeCell ref="G62:L62"/>
    <mergeCell ref="A45:C45"/>
    <mergeCell ref="A54:F54"/>
    <mergeCell ref="G54:L54"/>
    <mergeCell ref="A55:F55"/>
    <mergeCell ref="G55:L55"/>
    <mergeCell ref="A56:F56"/>
    <mergeCell ref="G56:L56"/>
    <mergeCell ref="A16:L16"/>
    <mergeCell ref="A49:L49"/>
    <mergeCell ref="A50:F50"/>
    <mergeCell ref="G50:L50"/>
    <mergeCell ref="A66:F66"/>
    <mergeCell ref="G66:L66"/>
    <mergeCell ref="A48:L48"/>
    <mergeCell ref="A51:F51"/>
    <mergeCell ref="G51:L51"/>
    <mergeCell ref="G38:L38"/>
    <mergeCell ref="A19:L19"/>
    <mergeCell ref="D45:F45"/>
    <mergeCell ref="G45:I45"/>
    <mergeCell ref="J45:L45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59:F59"/>
    <mergeCell ref="G59:L59"/>
    <mergeCell ref="A17:L17"/>
    <mergeCell ref="G42:I42"/>
    <mergeCell ref="J42:L42"/>
    <mergeCell ref="A43:C43"/>
    <mergeCell ref="D43:F43"/>
    <mergeCell ref="G43:I43"/>
    <mergeCell ref="J43:L43"/>
    <mergeCell ref="A57:F57"/>
    <mergeCell ref="G57:L57"/>
    <mergeCell ref="A58:F58"/>
    <mergeCell ref="G58:L58"/>
    <mergeCell ref="A42:C42"/>
    <mergeCell ref="A52:F52"/>
    <mergeCell ref="G52:L52"/>
    <mergeCell ref="A53:F53"/>
    <mergeCell ref="G53:L53"/>
    <mergeCell ref="A40:L40"/>
    <mergeCell ref="A21:L21"/>
    <mergeCell ref="A23:D23"/>
    <mergeCell ref="E23:H23"/>
    <mergeCell ref="I23:L23"/>
    <mergeCell ref="E31:F31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6:L76"/>
    <mergeCell ref="A78:L78"/>
    <mergeCell ref="A77:L77"/>
    <mergeCell ref="A67:F67"/>
    <mergeCell ref="G67:L67"/>
    <mergeCell ref="A68:F68"/>
    <mergeCell ref="G68:L68"/>
    <mergeCell ref="A69:F69"/>
    <mergeCell ref="G69:L69"/>
    <mergeCell ref="A70:F70"/>
    <mergeCell ref="G70:L70"/>
    <mergeCell ref="A74:F74"/>
    <mergeCell ref="G74:L74"/>
    <mergeCell ref="A72:F72"/>
    <mergeCell ref="G72:L72"/>
    <mergeCell ref="A73:F73"/>
    <mergeCell ref="G73:L73"/>
    <mergeCell ref="A38:F38"/>
    <mergeCell ref="A44:C44"/>
    <mergeCell ref="D44:F44"/>
    <mergeCell ref="G44:I44"/>
    <mergeCell ref="J44:L44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4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28575</xdr:rowOff>
                  </from>
                  <to>
                    <xdr:col>2</xdr:col>
                    <xdr:colOff>666750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51</xdr:row>
                    <xdr:rowOff>19050</xdr:rowOff>
                  </from>
                  <to>
                    <xdr:col>8</xdr:col>
                    <xdr:colOff>314325</xdr:colOff>
                    <xdr:row>51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28575</xdr:rowOff>
                  </from>
                  <to>
                    <xdr:col>8</xdr:col>
                    <xdr:colOff>314325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60</xdr:row>
                    <xdr:rowOff>28575</xdr:rowOff>
                  </from>
                  <to>
                    <xdr:col>8</xdr:col>
                    <xdr:colOff>314325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60</xdr:row>
                    <xdr:rowOff>28575</xdr:rowOff>
                  </from>
                  <to>
                    <xdr:col>2</xdr:col>
                    <xdr:colOff>666750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67</xdr:row>
                    <xdr:rowOff>28575</xdr:rowOff>
                  </from>
                  <to>
                    <xdr:col>2</xdr:col>
                    <xdr:colOff>666750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73</xdr:row>
                    <xdr:rowOff>28575</xdr:rowOff>
                  </from>
                  <to>
                    <xdr:col>2</xdr:col>
                    <xdr:colOff>666750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67</xdr:row>
                    <xdr:rowOff>19050</xdr:rowOff>
                  </from>
                  <to>
                    <xdr:col>8</xdr:col>
                    <xdr:colOff>514350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68</xdr:row>
                    <xdr:rowOff>28575</xdr:rowOff>
                  </from>
                  <to>
                    <xdr:col>8</xdr:col>
                    <xdr:colOff>514350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69</xdr:row>
                    <xdr:rowOff>28575</xdr:rowOff>
                  </from>
                  <to>
                    <xdr:col>8</xdr:col>
                    <xdr:colOff>314325</xdr:colOff>
                    <xdr:row>69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A82 A104 A102 A100 A98 A96 A94 A92 A90 A88 A86 A84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K82:L105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3" t="s">
        <v>9</v>
      </c>
      <c r="B2" s="14" t="s">
        <v>10</v>
      </c>
      <c r="C2" s="15" t="s">
        <v>42</v>
      </c>
      <c r="D2" s="14" t="s">
        <v>51</v>
      </c>
      <c r="E2" t="s">
        <v>123</v>
      </c>
      <c r="F2" t="s">
        <v>124</v>
      </c>
      <c r="G2" t="s">
        <v>125</v>
      </c>
      <c r="H2" t="s">
        <v>126</v>
      </c>
      <c r="I2" t="s">
        <v>127</v>
      </c>
    </row>
    <row r="3" spans="1:9" ht="63" customHeight="1" x14ac:dyDescent="0.25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 x14ac:dyDescent="0.25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 x14ac:dyDescent="0.25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 x14ac:dyDescent="0.25">
      <c r="A6" s="11" t="s">
        <v>13</v>
      </c>
      <c r="B6" s="10" t="s">
        <v>33</v>
      </c>
      <c r="C6" s="12" t="s">
        <v>44</v>
      </c>
      <c r="D6" s="10" t="s">
        <v>53</v>
      </c>
    </row>
    <row r="7" spans="1:9" x14ac:dyDescent="0.25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 x14ac:dyDescent="0.25">
      <c r="A8" s="11" t="s">
        <v>35</v>
      </c>
      <c r="B8" s="10" t="s">
        <v>14</v>
      </c>
      <c r="C8" s="12" t="s">
        <v>45</v>
      </c>
      <c r="D8" s="10" t="s">
        <v>34</v>
      </c>
    </row>
    <row r="9" spans="1:9" x14ac:dyDescent="0.25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 x14ac:dyDescent="0.25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 x14ac:dyDescent="0.25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 x14ac:dyDescent="0.25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 x14ac:dyDescent="0.25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 x14ac:dyDescent="0.25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 x14ac:dyDescent="0.25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 x14ac:dyDescent="0.25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 x14ac:dyDescent="0.25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 x14ac:dyDescent="0.25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 x14ac:dyDescent="0.25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 x14ac:dyDescent="0.25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 x14ac:dyDescent="0.25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 x14ac:dyDescent="0.25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 x14ac:dyDescent="0.2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 x14ac:dyDescent="0.25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 x14ac:dyDescent="0.25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 x14ac:dyDescent="0.2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 x14ac:dyDescent="0.2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 x14ac:dyDescent="0.25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 x14ac:dyDescent="0.25">
      <c r="B31" s="29" t="s">
        <v>91</v>
      </c>
      <c r="C31" s="29" t="s">
        <v>92</v>
      </c>
    </row>
    <row r="32" spans="1:4" ht="90" x14ac:dyDescent="0.25">
      <c r="A32" s="24" t="s">
        <v>78</v>
      </c>
      <c r="B32" s="30" t="s">
        <v>94</v>
      </c>
      <c r="C32" s="30" t="s">
        <v>93</v>
      </c>
    </row>
    <row r="33" spans="1:3" ht="15" customHeight="1" x14ac:dyDescent="0.25">
      <c r="A33" s="24" t="s">
        <v>79</v>
      </c>
      <c r="B33" s="27"/>
      <c r="C33" s="32">
        <v>5</v>
      </c>
    </row>
    <row r="34" spans="1:3" ht="15" customHeight="1" x14ac:dyDescent="0.25">
      <c r="A34" s="24" t="s">
        <v>80</v>
      </c>
      <c r="B34" s="27"/>
      <c r="C34" s="32">
        <v>4</v>
      </c>
    </row>
    <row r="35" spans="1:3" ht="15" customHeight="1" x14ac:dyDescent="0.25">
      <c r="A35" s="24" t="s">
        <v>81</v>
      </c>
      <c r="B35" s="28"/>
      <c r="C35" s="32">
        <v>3</v>
      </c>
    </row>
    <row r="36" spans="1:3" ht="15" customHeight="1" x14ac:dyDescent="0.25">
      <c r="A36" s="24" t="s">
        <v>82</v>
      </c>
      <c r="C36" s="32">
        <v>2</v>
      </c>
    </row>
    <row r="37" spans="1:3" ht="15" customHeight="1" x14ac:dyDescent="0.25">
      <c r="A37" s="24" t="s">
        <v>83</v>
      </c>
      <c r="C37" s="32">
        <v>1</v>
      </c>
    </row>
    <row r="38" spans="1:3" ht="15" customHeight="1" x14ac:dyDescent="0.25">
      <c r="A38" s="24" t="s">
        <v>84</v>
      </c>
      <c r="C38" s="32" t="s">
        <v>140</v>
      </c>
    </row>
    <row r="39" spans="1:3" ht="15" customHeight="1" x14ac:dyDescent="0.25">
      <c r="A39" s="24" t="s">
        <v>85</v>
      </c>
    </row>
    <row r="40" spans="1:3" ht="15" customHeight="1" x14ac:dyDescent="0.25">
      <c r="A40" s="24" t="s">
        <v>86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7" t="s">
        <v>128</v>
      </c>
      <c r="B42" s="38" t="s">
        <v>96</v>
      </c>
      <c r="C42" s="38" t="s">
        <v>97</v>
      </c>
    </row>
    <row r="43" spans="1:3" ht="75" x14ac:dyDescent="0.25">
      <c r="A43" s="39" t="s">
        <v>98</v>
      </c>
      <c r="B43" s="33" t="s">
        <v>99</v>
      </c>
      <c r="C43" s="34" t="s">
        <v>133</v>
      </c>
    </row>
    <row r="44" spans="1:3" ht="60" x14ac:dyDescent="0.25">
      <c r="A44" s="34" t="s">
        <v>100</v>
      </c>
      <c r="B44" s="31" t="s">
        <v>101</v>
      </c>
      <c r="C44" s="34" t="s">
        <v>134</v>
      </c>
    </row>
    <row r="45" spans="1:3" ht="75" x14ac:dyDescent="0.25">
      <c r="A45" s="34" t="s">
        <v>102</v>
      </c>
      <c r="B45" s="31" t="s">
        <v>103</v>
      </c>
      <c r="C45" s="34" t="s">
        <v>135</v>
      </c>
    </row>
    <row r="46" spans="1:3" ht="105" x14ac:dyDescent="0.25">
      <c r="A46" s="34" t="s">
        <v>104</v>
      </c>
      <c r="B46" s="40" t="s">
        <v>105</v>
      </c>
      <c r="C46" s="34" t="s">
        <v>136</v>
      </c>
    </row>
    <row r="47" spans="1:3" ht="105" x14ac:dyDescent="0.25">
      <c r="A47" s="34" t="s">
        <v>106</v>
      </c>
      <c r="B47" s="40" t="s">
        <v>107</v>
      </c>
      <c r="C47" s="34" t="s">
        <v>137</v>
      </c>
    </row>
    <row r="48" spans="1:3" ht="75" x14ac:dyDescent="0.25">
      <c r="A48" s="41" t="s">
        <v>108</v>
      </c>
      <c r="B48" s="40" t="s">
        <v>109</v>
      </c>
      <c r="C48" s="34" t="s">
        <v>138</v>
      </c>
    </row>
    <row r="49" spans="1:3" ht="75" x14ac:dyDescent="0.25">
      <c r="A49" s="34" t="s">
        <v>110</v>
      </c>
      <c r="B49" s="31" t="s">
        <v>111</v>
      </c>
      <c r="C49" s="34" t="s">
        <v>139</v>
      </c>
    </row>
    <row r="50" spans="1:3" ht="75" x14ac:dyDescent="0.25">
      <c r="A50" s="34" t="s">
        <v>112</v>
      </c>
      <c r="B50" s="33" t="s">
        <v>113</v>
      </c>
      <c r="C50" s="31" t="s">
        <v>113</v>
      </c>
    </row>
    <row r="51" spans="1:3" ht="60" x14ac:dyDescent="0.25">
      <c r="A51" s="34" t="s">
        <v>114</v>
      </c>
      <c r="B51" s="33" t="s">
        <v>115</v>
      </c>
      <c r="C51" s="31" t="s">
        <v>115</v>
      </c>
    </row>
    <row r="52" spans="1:3" ht="90" x14ac:dyDescent="0.25">
      <c r="A52" s="34" t="s">
        <v>116</v>
      </c>
      <c r="B52" s="33" t="s">
        <v>117</v>
      </c>
      <c r="C52" s="31" t="s">
        <v>117</v>
      </c>
    </row>
    <row r="53" spans="1:3" ht="150" x14ac:dyDescent="0.25">
      <c r="A53" s="34" t="s">
        <v>118</v>
      </c>
      <c r="B53" s="33" t="s">
        <v>119</v>
      </c>
      <c r="C53" s="31" t="s">
        <v>120</v>
      </c>
    </row>
    <row r="54" spans="1:3" ht="120" x14ac:dyDescent="0.25">
      <c r="A54" s="34" t="s">
        <v>121</v>
      </c>
      <c r="B54" s="31" t="s">
        <v>122</v>
      </c>
      <c r="C54" s="31" t="s">
        <v>122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2023-06-02T21:16:46Z</dcterms:modified>
</cp:coreProperties>
</file>