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STION ADMINISTRATIVA\"/>
    </mc:Choice>
  </mc:AlternateContent>
  <xr:revisionPtr revIDLastSave="0" documentId="13_ncr:1_{7828E8C3-BA82-48F1-B790-63A21A5040C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D83" i="1" l="1"/>
  <c r="H83" i="1"/>
  <c r="D85" i="1"/>
  <c r="H85" i="1"/>
  <c r="D87" i="1"/>
  <c r="H87" i="1"/>
  <c r="D89" i="1"/>
  <c r="H89" i="1"/>
  <c r="D91" i="1"/>
  <c r="H91" i="1"/>
  <c r="D93" i="1"/>
  <c r="H93" i="1"/>
  <c r="D101" i="1"/>
  <c r="H101" i="1"/>
  <c r="D103" i="1"/>
  <c r="H103" i="1"/>
  <c r="D105" i="1"/>
  <c r="H105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<sst xmlns="http://schemas.openxmlformats.org/spreadsheetml/2006/main" count="255" uniqueCount="170">
  <si>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</si>
  <si>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</si>
  <si>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</si>
  <si>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</si>
  <si>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</si>
  <si>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</si>
  <si>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</si>
  <si>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</si>
  <si>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</si>
  <si>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</si>
  <si>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</si>
  <si>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</si>
  <si>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</si>
  <si>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</si>
  <si>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</si>
  <si>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</si>
  <si>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</si>
  <si>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</si>
  <si>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</si>
  <si>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</si>
  <si>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</si>
  <si>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</si>
  <si>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</si>
  <si>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</si>
  <si>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</si>
  <si>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</si>
  <si>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</si>
  <si>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</si>
  <si>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</si>
  <si>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</si>
  <si>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</si>
  <si>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</si>
  <si>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</si>
  <si>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</si>
  <si>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</si>
  <si>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</si>
  <si>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</si>
  <si>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</si>
  <si>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</si>
  <si>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</si>
  <si>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</si>
  <si>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</si>
  <si>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</si>
  <si>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</si>
  <si>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</si>
  <si>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</si>
  <si>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</si>
  <si>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</si>
  <si>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</si>
  <si>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</si>
  <si>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</si>
  <si>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</si>
  <si>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</si>
  <si>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</si>
  <si>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</si>
  <si>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</si>
  <si>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</si>
  <si>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</si>
  <si>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</si>
  <si>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</si>
  <si>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</si>
  <si>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</si>
  <si>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</si>
  <si>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</si>
  <si>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</si>
  <si>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</si>
  <si>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</si>
  <si>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</si>
  <si>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</si>
  <si>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</si>
  <si>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</si>
  <si>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</si>
  <si>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</si>
  <si>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</si>
  <si>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</si>
  <si>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</si>
  <si>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</si>
  <si>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</si>
  <si>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</si>
  <si>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</si>
  <si>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</si>
  <si>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</si>
  <si>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</si>
  <si>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</si>
  <si>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</si>
  <si>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</si>
  <si>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</si>
  <si>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</si>
  <si>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</si>
  <si>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</si>
  <si>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</si>
  <si>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</si>
  <si>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</si>
  <si>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</si>
  <si>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</si>
  <si>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</si>
  <si>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</si>
  <si>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</si>
  <si>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</si>
  <si>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</si>
  <si>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</si>
  <si>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</si>
  <si>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</si>
  <si>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</si>
  <si>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</si>
  <si>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</si>
  <si>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</si>
  <si>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</si>
  <si>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</si>
  <si>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</si>
  <si>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</si>
  <si>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</si>
  <si>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</si>
  <si>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</si>
  <si>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</si>
  <si>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</si>
  <si>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</si>
  <si>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</si>
  <si>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</si>
  <si>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</si>
  <si>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</si>
  <si>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</si>
  <si>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</si>
  <si>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</si>
  <si>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</si>
  <si>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</si>
  <si>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</si>
  <si>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</si>
  <si>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</si>
  <si>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</si>
  <si>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</si>
  <si>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</si>
  <si>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</si>
  <si>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</si>
  <si>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</si>
  <si>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</si>
  <si>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</si>
  <si>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</si>
  <si>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</si>
  <si>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</si>
  <si>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</si>
  <si>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</si>
  <si>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</si>
  <si>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</si>
  <si>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</si>
  <si>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</si>
  <si>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</si>
  <si>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</si>
  <si>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</si>
  <si>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</si>
  <si>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</si>
  <si>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</si>
  <si>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Interno</t>
  </si>
  <si>
    <t>Diario</t>
  </si>
  <si>
    <t>Externo</t>
  </si>
  <si>
    <t>Ejecutar los procesos administrativos del área, aplicando las normas y procedimientos definidos y elaborando la documentación necesaria, a fin de dar cumplimiento a cada uno de los procesos y garantizando la prestación efectiva del servicio.</t>
  </si>
  <si>
    <t xml:space="preserve">Toma decisiones a nivel operativo, para el desarrollo adecuado de sus funciones establecidas en los procedimientos.
Toda decisión que impacte los procesos  o el presupuesto del área, debe ser consultada con el Jefe inmediato.
</t>
  </si>
  <si>
    <t xml:space="preserve">Coordinar las labores solicitadas, con cada uno de los procesos. 
Garantizar el cumplimiento del manual de gestión humana que permita el normal funcionamiento de la compañía.
</t>
  </si>
  <si>
    <t>Cliente Externo/Usuarios</t>
  </si>
  <si>
    <t xml:space="preserve">Apoyo a la gestión del proceso en la afiliación a la seguridad social.
Realizar el proceso de facturación y respuesta a RQRS.
</t>
  </si>
  <si>
    <t>Proveedores</t>
  </si>
  <si>
    <t>Verificar la calidad y cumplimiento de las normas.</t>
  </si>
  <si>
    <t>Semanal</t>
  </si>
  <si>
    <t>Compras y mantenimiento</t>
  </si>
  <si>
    <t>Asegurar las especificaciones técnicas.</t>
  </si>
  <si>
    <t>No Requiere</t>
  </si>
  <si>
    <t xml:space="preserve">Técnico en carreras administrativas o Recursos Humanos.  </t>
  </si>
  <si>
    <t>Conocimientos de Nomina.
- Conocimiento en Seguridad Social Integral ( Salud y Riesgos Laborales)- Excel Intermedio.</t>
  </si>
  <si>
    <t xml:space="preserve">1 a 3 años de experiencia </t>
  </si>
  <si>
    <t xml:space="preserve">• Asegurar la implementación y cumplimientos del manual de gestión humana y demás requerimientos, procedimientos y políticas adscritas al proceso.  
• Acompañar la ejecución de actividades comunitarias extramurales, realizadas por el director de proceso.
• Participar en el proceso PHVA para la implementación de las acciones preventivas, correctivas y de mejora de acuerdo con los resultados obtenidos en las auditorías internas y externas.  
• Apoyar en la preparación oportuna de los informes requeridos.
• Realizar atención presencial, telefónica y/o vía email, a los clientes internos y externos. 
• Administrar de manera eficiente el presupuesto asignado al proceso de Gestión Administrativa, Gestión Humana, Seguridad y Salud en el Trabajo y Responsabilidad Social Empresarial.
• Solicitar y verificar documentación requerida para el ingreso del personal a la organización. 
• Agendar cita médica ocupacional de ingreso, periódico o de retiro al personal.
• Agenda cita de visita domiciliaria de ingreso y periódica para el personal.
• Archivar y actualizar las hojas de vida y documentación personal de los colaboradores de la empresa.
• Ingresar las novedades de nómina que se presenten en cada quincena y realizar la nómina correspondiente según las novedades, enviar al proceso contable y financiero para su revisión y aprobación. 
• Enviar colillas de nómina mediante correo electrónico a los empleados.
• Generar planilla en el software de nómina para la liquidación de la seguridad social y aportes parafiscales, a su vez, realizar liquidación de los mismos en la plataforma tecnológica (Asopagos), después enviar al proceso Contable y Financiero para su revisión y aprobación para el pago.
• Realizar afiliaciones y/o desvinculaciones a la seguridad social (ARL, AFP, EPS, Caja de Compensación).
• Asistir a las reuniones y capacitaciones que se programen.
• Suministra herramienta y equipos de trabajo al personal,  y controlar la existencia de los mismos.
• Apoyar desde su labor las auditorias de la gestión de calidad y seguridad y salud en el trabajo cuando se requiera.
• Brindar apoyo logístico en actividades especiales, (Celebración de cumpleaños,  Halloween, Fiesta de Fin de Año, etc).
• Entregar y controlar la dotación suministrada a los empleados colaboradores.
• Elaborar la facturación de arrendamiento, servicios generales y servicio de mensajería a las empresas usuarias.
• Realizar las cotizaciones para la compra de insumos y materiales de la empresa, llevando un control y haciendo uso eficiente de los mismos.
• Solicitar cotizaciones para la compra de equipos, mercancías y materiales requeridos para el desarrollo de los objetivos del proceso gestión administrativa.
• Elaborar y tramitar las órdenes de compra aprobadas por Gerencia para el Proceso de Gestión Administrativa.
• Recibir los artículos y mercancías entregadas por los proveedores verificando que estén de acuerdo con las especificaciones, la calidad y cantidad estipulada en los pedidos.
• Realizar seguimiento al plan anual de formación, recolectando los debidos soportes a cada capacitación. 
• Elaborar indicadores, que son insumo para la realización de la caratula mensual.
• Realizar evaluación de proveedores anual e informar a la Directora Administrativa sobre las novedades presentadas referente a la evaluación.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</si>
</sst>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  <family val="2"/>
    </font>
    <font>
      <b/>
      <sz val="10"/>
      <color theme="1"/>
      <name val="Fira Sans"/>
      <family val="2"/>
    </font>
    <font>
      <sz val="11"/>
      <name val="Calibri"/>
      <family val="2"/>
    </font>
    <font>
      <b/>
      <sz val="10"/>
      <color theme="0"/>
      <name val="Fira Sans"/>
      <family val="2"/>
    </font>
    <font>
      <sz val="10"/>
      <color theme="0"/>
      <name val="Fira Sans"/>
      <family val="2"/>
    </font>
    <font>
      <sz val="10"/>
      <color rgb="FF000000"/>
      <name val="Fira Sans"/>
      <family val="2"/>
    </font>
    <font>
      <b/>
      <sz val="10"/>
      <name val="Fira Sans"/>
      <family val="2"/>
    </font>
    <font>
      <sz val="10"/>
      <name val="Fira Sans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  <family val="2"/>
    </font>
    <font>
      <u/>
      <sz val="10"/>
      <name val="Fira Sans"/>
      <family val="2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  <font>
      <sz val="10"/>
      <color theme="1"/>
      <name val="Fira Sans"/>
      <family val="2"/>
    </font>
    <font>
      <sz val="1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Border="1"/>
    <xf numFmtId="0" fontId="5" fillId="0" borderId="4" xfId="0" applyFont="1" applyBorder="1"/>
    <xf numFmtId="0" fontId="7" fillId="0" borderId="4" xfId="0" applyFont="1" applyBorder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Border="1" applyAlignment="1">
      <alignment vertical="center"/>
    </xf>
    <xf numFmtId="49" fontId="12" fillId="0" borderId="15" xfId="0" applyNumberFormat="1" applyFont="1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0" fillId="0" borderId="8" xfId="0" applyBorder="1" applyAlignment="1">
      <alignment horizontal="center" vertical="center" wrapText="1"/>
    </xf>
    <xf numFmtId="0" fontId="18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Border="1" applyAlignment="1">
      <alignment horizontal="justify" vertical="center" wrapText="1"/>
    </xf>
    <xf numFmtId="0" fontId="3" fillId="0" borderId="0" xfId="0" applyFont="1"/>
    <xf numFmtId="0" fontId="0" fillId="0" borderId="7" xfId="0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0" fillId="0" borderId="7" xfId="0" applyBorder="1" applyAlignment="1">
      <alignment horizontal="justify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49" fontId="26" fillId="0" borderId="7" xfId="0" applyNumberFormat="1" applyFont="1" applyBorder="1" applyAlignment="1">
      <alignment horizontal="left" vertical="center" wrapText="1"/>
    </xf>
    <xf numFmtId="49" fontId="12" fillId="0" borderId="7" xfId="0" applyNumberFormat="1" applyFont="1" applyBorder="1" applyAlignment="1">
      <alignment horizontal="left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2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28575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19050</xdr:rowOff>
        </xdr:from>
        <xdr:to>
          <xdr:col>8</xdr:col>
          <xdr:colOff>314325</xdr:colOff>
          <xdr:row>52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28575</xdr:rowOff>
        </xdr:from>
        <xdr:to>
          <xdr:col>8</xdr:col>
          <xdr:colOff>314325</xdr:colOff>
          <xdr:row>61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61</xdr:row>
          <xdr:rowOff>28575</xdr:rowOff>
        </xdr:from>
        <xdr:to>
          <xdr:col>8</xdr:col>
          <xdr:colOff>314325</xdr:colOff>
          <xdr:row>62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28575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73</xdr:row>
          <xdr:rowOff>28575</xdr:rowOff>
        </xdr:from>
        <xdr:to>
          <xdr:col>3</xdr:col>
          <xdr:colOff>0</xdr:colOff>
          <xdr:row>73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74</xdr:row>
          <xdr:rowOff>28575</xdr:rowOff>
        </xdr:from>
        <xdr:to>
          <xdr:col>3</xdr:col>
          <xdr:colOff>0</xdr:colOff>
          <xdr:row>74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19050</xdr:rowOff>
        </xdr:from>
        <xdr:to>
          <xdr:col>8</xdr:col>
          <xdr:colOff>514350</xdr:colOff>
          <xdr:row>68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69</xdr:row>
          <xdr:rowOff>28575</xdr:rowOff>
        </xdr:from>
        <xdr:to>
          <xdr:col>8</xdr:col>
          <xdr:colOff>514350</xdr:colOff>
          <xdr:row>69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70</xdr:row>
          <xdr:rowOff>28575</xdr:rowOff>
        </xdr:from>
        <xdr:to>
          <xdr:col>8</xdr:col>
          <xdr:colOff>314325</xdr:colOff>
          <xdr:row>70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01"/>
  <sheetViews>
    <sheetView tabSelected="1" view="pageBreakPreview" topLeftCell="A94" zoomScaleNormal="100" zoomScaleSheetLayoutView="100" workbookViewId="0">
      <selection activeCell="H95" sqref="H95:J96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76" t="s">
        <v>149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87" t="s">
        <v>146</v>
      </c>
      <c r="B2" s="88"/>
      <c r="C2" s="91" t="s">
        <v>142</v>
      </c>
      <c r="D2" s="92"/>
      <c r="E2" s="93"/>
      <c r="F2" s="91" t="s">
        <v>143</v>
      </c>
      <c r="G2" s="92"/>
      <c r="H2" s="93"/>
      <c r="I2" s="91" t="s">
        <v>144</v>
      </c>
      <c r="J2" s="93"/>
      <c r="K2" s="91" t="s">
        <v>145</v>
      </c>
      <c r="L2" s="93"/>
      <c r="M2" s="6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89" t="s">
        <v>141</v>
      </c>
      <c r="B3" s="90"/>
      <c r="C3" s="148">
        <v>43265</v>
      </c>
      <c r="D3" s="55"/>
      <c r="E3" s="56"/>
      <c r="F3" s="148">
        <v>44979</v>
      </c>
      <c r="G3" s="55"/>
      <c r="H3" s="56"/>
      <c r="I3" s="54">
        <v>3</v>
      </c>
      <c r="J3" s="56"/>
      <c r="K3" s="54" t="s">
        <v>147</v>
      </c>
      <c r="L3" s="56"/>
      <c r="M3" s="6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5"/>
      <c r="F4" s="5"/>
      <c r="G4" s="5"/>
      <c r="H4" s="5"/>
      <c r="I4" s="5"/>
      <c r="J4" s="5"/>
      <c r="K4" s="5"/>
      <c r="L4" s="5"/>
      <c r="M4" s="6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77" t="s">
        <v>3</v>
      </c>
      <c r="B5" s="77"/>
      <c r="C5" s="78">
        <v>45043</v>
      </c>
      <c r="D5" s="78"/>
      <c r="E5" s="78"/>
      <c r="F5" s="78"/>
      <c r="G5" s="78"/>
      <c r="H5" s="78"/>
      <c r="I5" s="78"/>
      <c r="J5" s="78"/>
      <c r="K5" s="78"/>
      <c r="L5" s="78"/>
      <c r="M5" s="6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7"/>
      <c r="B6" s="5"/>
      <c r="C6" s="7"/>
      <c r="D6" s="6"/>
      <c r="E6" s="6"/>
      <c r="F6" s="6"/>
      <c r="G6" s="6"/>
      <c r="H6" s="6"/>
      <c r="I6" s="6"/>
      <c r="J6" s="6"/>
      <c r="K6" s="6"/>
      <c r="L6" s="6"/>
      <c r="M6" s="6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62" t="s">
        <v>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79" t="s">
        <v>6</v>
      </c>
      <c r="B8" s="80"/>
      <c r="C8" s="81"/>
      <c r="D8" s="83" t="s">
        <v>41</v>
      </c>
      <c r="E8" s="84"/>
      <c r="F8" s="84"/>
      <c r="G8" s="84"/>
      <c r="H8" s="84"/>
      <c r="I8" s="84"/>
      <c r="J8" s="84"/>
      <c r="K8" s="84"/>
      <c r="L8" s="85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79" t="s">
        <v>7</v>
      </c>
      <c r="B9" s="80"/>
      <c r="C9" s="81"/>
      <c r="D9" s="86" t="str">
        <f>VLOOKUP($D$8,LISTAS!$A$2:$D$28,LISTAS!B$1,0)</f>
        <v>Gestión Administrativa</v>
      </c>
      <c r="E9" s="84"/>
      <c r="F9" s="84"/>
      <c r="G9" s="84"/>
      <c r="H9" s="84"/>
      <c r="I9" s="84"/>
      <c r="J9" s="84"/>
      <c r="K9" s="84"/>
      <c r="L9" s="85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79" t="s">
        <v>42</v>
      </c>
      <c r="B10" s="80"/>
      <c r="C10" s="81"/>
      <c r="D10" s="86" t="str">
        <f>VLOOKUP($D$8,LISTAS!$A$2:$D$28,LISTAS!C$1,0)</f>
        <v>Apoyo</v>
      </c>
      <c r="E10" s="84"/>
      <c r="F10" s="84"/>
      <c r="G10" s="84"/>
      <c r="H10" s="84"/>
      <c r="I10" s="84"/>
      <c r="J10" s="84"/>
      <c r="K10" s="84"/>
      <c r="L10" s="85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4.25" customHeight="1" x14ac:dyDescent="0.25">
      <c r="A11" s="79" t="s">
        <v>5</v>
      </c>
      <c r="B11" s="80"/>
      <c r="C11" s="81"/>
      <c r="D11" s="86" t="str">
        <f>VLOOKUP($D$8,LISTAS!$A$2:$D$28,LISTAS!D$1,0)</f>
        <v>Director de Gestión Administrativa</v>
      </c>
      <c r="E11" s="84"/>
      <c r="F11" s="84"/>
      <c r="G11" s="84"/>
      <c r="H11" s="84"/>
      <c r="I11" s="84"/>
      <c r="J11" s="84"/>
      <c r="K11" s="84"/>
      <c r="L11" s="8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79" t="s">
        <v>54</v>
      </c>
      <c r="B12" s="80"/>
      <c r="C12" s="81"/>
      <c r="D12" s="82" t="s">
        <v>2</v>
      </c>
      <c r="E12" s="82"/>
      <c r="F12" s="82"/>
      <c r="G12" s="82"/>
      <c r="H12" s="82"/>
      <c r="I12" s="82"/>
      <c r="J12" s="82"/>
      <c r="K12" s="82"/>
      <c r="L12" s="82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ht="14.25" customHeight="1" x14ac:dyDescent="0.25">
      <c r="A13" s="79" t="s">
        <v>8</v>
      </c>
      <c r="B13" s="80"/>
      <c r="C13" s="80"/>
      <c r="D13" s="82" t="s">
        <v>2</v>
      </c>
      <c r="E13" s="82"/>
      <c r="F13" s="82"/>
      <c r="G13" s="82"/>
      <c r="H13" s="82"/>
      <c r="I13" s="82"/>
      <c r="J13" s="82"/>
      <c r="K13" s="82"/>
      <c r="L13" s="8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62" t="s">
        <v>55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ht="3.95" customHeight="1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ht="36" customHeight="1" x14ac:dyDescent="0.25">
      <c r="A17" s="46" t="s">
        <v>155</v>
      </c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5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hidden="1" customHeight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62" t="s">
        <v>61</v>
      </c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3.6" customHeight="1" x14ac:dyDescent="0.25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9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409.5" customHeight="1" x14ac:dyDescent="0.25">
      <c r="A21" s="99" t="s">
        <v>169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ht="4.1500000000000004" customHeight="1" x14ac:dyDescent="0.25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96" t="s">
        <v>62</v>
      </c>
      <c r="B23" s="97"/>
      <c r="C23" s="97"/>
      <c r="D23" s="101"/>
      <c r="E23" s="96" t="s">
        <v>63</v>
      </c>
      <c r="F23" s="97"/>
      <c r="G23" s="97"/>
      <c r="H23" s="101"/>
      <c r="I23" s="96" t="s">
        <v>64</v>
      </c>
      <c r="J23" s="97"/>
      <c r="K23" s="97"/>
      <c r="L23" s="98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ht="92.25" customHeight="1" x14ac:dyDescent="0.25">
      <c r="A24" s="104" t="s">
        <v>150</v>
      </c>
      <c r="B24" s="105"/>
      <c r="C24" s="105"/>
      <c r="D24" s="105"/>
      <c r="E24" s="104" t="s">
        <v>151</v>
      </c>
      <c r="F24" s="105"/>
      <c r="G24" s="105"/>
      <c r="H24" s="105"/>
      <c r="I24" s="104" t="s">
        <v>156</v>
      </c>
      <c r="J24" s="106"/>
      <c r="K24" s="106"/>
      <c r="L24" s="106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ht="3" customHeight="1" x14ac:dyDescent="0.25">
      <c r="A25" s="107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9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62" t="s">
        <v>72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ht="3.6" customHeight="1" x14ac:dyDescent="0.25">
      <c r="A27" s="110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4.45" customHeight="1" x14ac:dyDescent="0.25">
      <c r="A28" s="58" t="s">
        <v>73</v>
      </c>
      <c r="B28" s="58"/>
      <c r="C28" s="58"/>
      <c r="D28" s="21"/>
      <c r="E28" s="96" t="s">
        <v>75</v>
      </c>
      <c r="F28" s="97"/>
      <c r="G28" s="97"/>
      <c r="H28" s="101"/>
      <c r="J28" s="58" t="s">
        <v>74</v>
      </c>
      <c r="K28" s="58"/>
      <c r="L28" s="5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49.5" customHeight="1" x14ac:dyDescent="0.25">
      <c r="A29" s="111" t="s">
        <v>166</v>
      </c>
      <c r="B29" s="61"/>
      <c r="C29" s="61"/>
      <c r="D29" s="20"/>
      <c r="E29" s="111" t="s">
        <v>167</v>
      </c>
      <c r="F29" s="61"/>
      <c r="G29" s="61"/>
      <c r="H29" s="61"/>
      <c r="J29" s="113" t="s">
        <v>168</v>
      </c>
      <c r="K29" s="60"/>
      <c r="L29" s="114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4.9000000000000004" customHeight="1" x14ac:dyDescent="0.25"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36" customHeight="1" x14ac:dyDescent="0.25">
      <c r="A31" s="58" t="s">
        <v>71</v>
      </c>
      <c r="B31" s="58"/>
      <c r="C31" s="58"/>
      <c r="E31" s="96" t="s">
        <v>76</v>
      </c>
      <c r="F31" s="97"/>
      <c r="G31" s="58" t="s">
        <v>77</v>
      </c>
      <c r="H31" s="58"/>
      <c r="J31" s="8" t="s">
        <v>87</v>
      </c>
      <c r="K31" s="58" t="s">
        <v>88</v>
      </c>
      <c r="L31" s="58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15" t="s">
        <v>165</v>
      </c>
      <c r="B32" s="116"/>
      <c r="C32" s="116"/>
      <c r="E32" s="59" t="s">
        <v>2</v>
      </c>
      <c r="F32" s="60"/>
      <c r="G32" s="61"/>
      <c r="H32" s="61"/>
      <c r="J32" s="22" t="s">
        <v>2</v>
      </c>
      <c r="K32" s="61"/>
      <c r="L32" s="6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4.9000000000000004" customHeight="1" x14ac:dyDescent="0.25">
      <c r="A33" s="24"/>
      <c r="B33" s="24"/>
      <c r="C33" s="24"/>
      <c r="E33" s="25"/>
      <c r="F33" s="25"/>
      <c r="G33" s="25"/>
      <c r="H33" s="25"/>
      <c r="J33" s="25"/>
      <c r="K33" s="25"/>
      <c r="L33" s="25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62" t="s">
        <v>90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3.6" customHeight="1" x14ac:dyDescent="0.25">
      <c r="A35" s="24"/>
      <c r="B35" s="24"/>
      <c r="C35" s="24"/>
      <c r="E35" s="25"/>
      <c r="F35" s="25"/>
      <c r="G35" s="25"/>
      <c r="H35" s="25"/>
      <c r="J35" s="25"/>
      <c r="K35" s="25"/>
      <c r="L35" s="25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58" t="s">
        <v>95</v>
      </c>
      <c r="B36" s="58"/>
      <c r="C36" s="58"/>
      <c r="D36" s="58"/>
      <c r="E36" s="58"/>
      <c r="F36" s="58"/>
      <c r="G36" s="58" t="s">
        <v>92</v>
      </c>
      <c r="H36" s="58"/>
      <c r="I36" s="58"/>
      <c r="J36" s="58"/>
      <c r="K36" s="58"/>
      <c r="L36" s="58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3.6" customHeight="1" x14ac:dyDescent="0.2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67.900000000000006" customHeight="1" x14ac:dyDescent="0.25">
      <c r="A38" s="57" t="str">
        <f>IF($D$13="SI",LISTAS!B32,"NO APLICA")</f>
        <v>NO APLICA</v>
      </c>
      <c r="B38" s="57"/>
      <c r="C38" s="57"/>
      <c r="D38" s="57"/>
      <c r="E38" s="57"/>
      <c r="F38" s="57"/>
      <c r="G38" s="57" t="str">
        <f>IF($D$13="SI",LISTAS!C32,"NO APLICA")</f>
        <v>NO APLICA</v>
      </c>
      <c r="H38" s="57"/>
      <c r="I38" s="57"/>
      <c r="J38" s="57"/>
      <c r="K38" s="57"/>
      <c r="L38" s="57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3" customHeight="1" x14ac:dyDescent="0.25">
      <c r="A39" s="24"/>
      <c r="B39" s="24"/>
      <c r="C39" s="24"/>
      <c r="E39" s="25"/>
      <c r="F39" s="25"/>
      <c r="G39" s="25"/>
      <c r="H39" s="25"/>
      <c r="J39" s="25"/>
      <c r="K39" s="25"/>
      <c r="L39" s="25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62" t="s">
        <v>65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2.4500000000000002" customHeight="1" x14ac:dyDescent="0.25">
      <c r="A41" s="4"/>
      <c r="B41" s="4"/>
      <c r="C41" s="4"/>
      <c r="D41" s="3"/>
      <c r="E41" s="3"/>
      <c r="F41" s="3"/>
      <c r="G41" s="3"/>
      <c r="H41" s="3"/>
      <c r="I41" s="3"/>
      <c r="J41" s="3"/>
      <c r="K41" s="3"/>
      <c r="L41" s="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96" t="s">
        <v>66</v>
      </c>
      <c r="B42" s="97"/>
      <c r="C42" s="98"/>
      <c r="D42" s="96" t="s">
        <v>67</v>
      </c>
      <c r="E42" s="97"/>
      <c r="F42" s="98"/>
      <c r="G42" s="96" t="s">
        <v>68</v>
      </c>
      <c r="H42" s="97"/>
      <c r="I42" s="98"/>
      <c r="J42" s="96" t="s">
        <v>69</v>
      </c>
      <c r="K42" s="97"/>
      <c r="L42" s="98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70.5" customHeight="1" x14ac:dyDescent="0.25">
      <c r="A43" s="44" t="s">
        <v>70</v>
      </c>
      <c r="B43" s="44"/>
      <c r="C43" s="44"/>
      <c r="D43" s="45" t="s">
        <v>157</v>
      </c>
      <c r="E43" s="44"/>
      <c r="F43" s="44"/>
      <c r="G43" s="49" t="s">
        <v>152</v>
      </c>
      <c r="H43" s="49"/>
      <c r="I43" s="49"/>
      <c r="J43" s="53" t="s">
        <v>153</v>
      </c>
      <c r="K43" s="53"/>
      <c r="L43" s="53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63.75" customHeight="1" x14ac:dyDescent="0.25">
      <c r="A44" s="44" t="s">
        <v>158</v>
      </c>
      <c r="B44" s="44"/>
      <c r="C44" s="44"/>
      <c r="D44" s="45" t="s">
        <v>159</v>
      </c>
      <c r="E44" s="44"/>
      <c r="F44" s="44"/>
      <c r="G44" s="49" t="s">
        <v>154</v>
      </c>
      <c r="H44" s="49"/>
      <c r="I44" s="49"/>
      <c r="J44" s="53" t="s">
        <v>153</v>
      </c>
      <c r="K44" s="53"/>
      <c r="L44" s="53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70.5" customHeight="1" x14ac:dyDescent="0.25">
      <c r="A45" s="41" t="s">
        <v>160</v>
      </c>
      <c r="B45" s="42"/>
      <c r="C45" s="43"/>
      <c r="D45" s="46" t="s">
        <v>161</v>
      </c>
      <c r="E45" s="47"/>
      <c r="F45" s="48"/>
      <c r="G45" s="50" t="s">
        <v>154</v>
      </c>
      <c r="H45" s="51"/>
      <c r="I45" s="52"/>
      <c r="J45" s="54" t="s">
        <v>162</v>
      </c>
      <c r="K45" s="55"/>
      <c r="L45" s="5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74.25" customHeight="1" x14ac:dyDescent="0.25">
      <c r="A46" s="44" t="s">
        <v>163</v>
      </c>
      <c r="B46" s="44"/>
      <c r="C46" s="44"/>
      <c r="D46" s="45" t="s">
        <v>164</v>
      </c>
      <c r="E46" s="44"/>
      <c r="F46" s="44"/>
      <c r="G46" s="49" t="s">
        <v>152</v>
      </c>
      <c r="H46" s="49"/>
      <c r="I46" s="49"/>
      <c r="J46" s="53" t="s">
        <v>153</v>
      </c>
      <c r="K46" s="53"/>
      <c r="L46" s="53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3" customHeight="1" x14ac:dyDescent="0.25">
      <c r="A47" s="24"/>
      <c r="B47" s="24"/>
      <c r="C47" s="24"/>
      <c r="E47" s="25"/>
      <c r="F47" s="25"/>
      <c r="G47" s="25"/>
      <c r="H47" s="25"/>
      <c r="J47" s="25"/>
      <c r="K47" s="25"/>
      <c r="L47" s="25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4.25" customHeight="1" x14ac:dyDescent="0.25">
      <c r="A49" s="62" t="s">
        <v>56</v>
      </c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" customHeight="1" x14ac:dyDescent="0.25">
      <c r="A50" s="102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4.25" customHeight="1" x14ac:dyDescent="0.25">
      <c r="A51" s="103" t="s">
        <v>57</v>
      </c>
      <c r="B51" s="103"/>
      <c r="C51" s="103"/>
      <c r="D51" s="103"/>
      <c r="E51" s="103"/>
      <c r="F51" s="103"/>
      <c r="G51" s="103" t="s">
        <v>58</v>
      </c>
      <c r="H51" s="103"/>
      <c r="I51" s="103"/>
      <c r="J51" s="103"/>
      <c r="K51" s="103"/>
      <c r="L51" s="10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3.6" customHeight="1" x14ac:dyDescent="0.25">
      <c r="A52" s="71"/>
      <c r="B52" s="71"/>
      <c r="C52" s="71"/>
      <c r="D52" s="71"/>
      <c r="E52" s="71"/>
      <c r="F52" s="71"/>
      <c r="G52" s="72"/>
      <c r="H52" s="72"/>
      <c r="I52" s="72"/>
      <c r="J52" s="72"/>
      <c r="K52" s="72"/>
      <c r="L52" s="72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73"/>
      <c r="B53" s="73"/>
      <c r="C53" s="73"/>
      <c r="D53" s="73"/>
      <c r="E53" s="73"/>
      <c r="F53" s="73"/>
      <c r="G53" s="75"/>
      <c r="H53" s="75"/>
      <c r="I53" s="75"/>
      <c r="J53" s="75"/>
      <c r="K53" s="75"/>
      <c r="L53" s="75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15" customHeight="1" x14ac:dyDescent="0.25">
      <c r="A54" s="73"/>
      <c r="B54" s="73"/>
      <c r="C54" s="73"/>
      <c r="D54" s="73"/>
      <c r="E54" s="73"/>
      <c r="F54" s="73"/>
      <c r="G54" s="75"/>
      <c r="H54" s="75"/>
      <c r="I54" s="75"/>
      <c r="J54" s="75"/>
      <c r="K54" s="75"/>
      <c r="L54" s="75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15" customHeight="1" x14ac:dyDescent="0.25">
      <c r="A55" s="73"/>
      <c r="B55" s="73"/>
      <c r="C55" s="73"/>
      <c r="D55" s="73"/>
      <c r="E55" s="73"/>
      <c r="F55" s="73"/>
      <c r="G55" s="75"/>
      <c r="H55" s="75"/>
      <c r="I55" s="75"/>
      <c r="J55" s="75"/>
      <c r="K55" s="75"/>
      <c r="L55" s="75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15" customHeight="1" x14ac:dyDescent="0.25">
      <c r="A56" s="73"/>
      <c r="B56" s="73"/>
      <c r="C56" s="73"/>
      <c r="D56" s="73"/>
      <c r="E56" s="73"/>
      <c r="F56" s="73"/>
      <c r="G56" s="75"/>
      <c r="H56" s="75"/>
      <c r="I56" s="75"/>
      <c r="J56" s="75"/>
      <c r="K56" s="75"/>
      <c r="L56" s="75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ht="13.15" customHeight="1" x14ac:dyDescent="0.25">
      <c r="A57" s="73"/>
      <c r="B57" s="73"/>
      <c r="C57" s="73"/>
      <c r="D57" s="73"/>
      <c r="E57" s="73"/>
      <c r="F57" s="73"/>
      <c r="G57" s="75"/>
      <c r="H57" s="75"/>
      <c r="I57" s="75"/>
      <c r="J57" s="75"/>
      <c r="K57" s="75"/>
      <c r="L57" s="75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ht="13.15" customHeight="1" x14ac:dyDescent="0.25">
      <c r="A58" s="73"/>
      <c r="B58" s="73"/>
      <c r="C58" s="73"/>
      <c r="D58" s="73"/>
      <c r="E58" s="73"/>
      <c r="F58" s="73"/>
      <c r="G58" s="75"/>
      <c r="H58" s="75"/>
      <c r="I58" s="75"/>
      <c r="J58" s="75"/>
      <c r="K58" s="75"/>
      <c r="L58" s="75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ht="13.15" customHeight="1" x14ac:dyDescent="0.25">
      <c r="A59" s="73"/>
      <c r="B59" s="73"/>
      <c r="C59" s="73"/>
      <c r="D59" s="73"/>
      <c r="E59" s="73"/>
      <c r="F59" s="73"/>
      <c r="G59" s="75"/>
      <c r="H59" s="75"/>
      <c r="I59" s="75"/>
      <c r="J59" s="75"/>
      <c r="K59" s="75"/>
      <c r="L59" s="75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13.15" customHeight="1" x14ac:dyDescent="0.25">
      <c r="A60" s="73"/>
      <c r="B60" s="73"/>
      <c r="C60" s="73"/>
      <c r="D60" s="73"/>
      <c r="E60" s="73"/>
      <c r="F60" s="73"/>
      <c r="G60" s="75"/>
      <c r="H60" s="75"/>
      <c r="I60" s="75"/>
      <c r="J60" s="75"/>
      <c r="K60" s="75"/>
      <c r="L60" s="75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ht="13.15" customHeight="1" x14ac:dyDescent="0.25">
      <c r="A61" s="73"/>
      <c r="B61" s="73"/>
      <c r="C61" s="73"/>
      <c r="D61" s="73"/>
      <c r="E61" s="73"/>
      <c r="F61" s="73"/>
      <c r="G61" s="75"/>
      <c r="H61" s="75"/>
      <c r="I61" s="75"/>
      <c r="J61" s="75"/>
      <c r="K61" s="75"/>
      <c r="L61" s="75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ht="13.15" customHeight="1" x14ac:dyDescent="0.25">
      <c r="A62" s="73"/>
      <c r="B62" s="73"/>
      <c r="C62" s="73"/>
      <c r="D62" s="73"/>
      <c r="E62" s="73"/>
      <c r="F62" s="73"/>
      <c r="G62" s="75"/>
      <c r="H62" s="75"/>
      <c r="I62" s="75"/>
      <c r="J62" s="75"/>
      <c r="K62" s="75"/>
      <c r="L62" s="75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31.15" customHeight="1" x14ac:dyDescent="0.25">
      <c r="A63" s="117"/>
      <c r="B63" s="117"/>
      <c r="C63" s="117"/>
      <c r="D63" s="117"/>
      <c r="E63" s="117"/>
      <c r="F63" s="117"/>
      <c r="G63" s="118"/>
      <c r="H63" s="118"/>
      <c r="I63" s="118"/>
      <c r="J63" s="118"/>
      <c r="K63" s="118"/>
      <c r="L63" s="118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4.9000000000000004" customHeigh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62" t="s">
        <v>89</v>
      </c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2.4500000000000002" customHeight="1" x14ac:dyDescent="0.25">
      <c r="A66" s="102"/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103" t="s">
        <v>59</v>
      </c>
      <c r="B67" s="103"/>
      <c r="C67" s="103"/>
      <c r="D67" s="103"/>
      <c r="E67" s="103"/>
      <c r="F67" s="103"/>
      <c r="G67" s="103" t="s">
        <v>60</v>
      </c>
      <c r="H67" s="103"/>
      <c r="I67" s="103"/>
      <c r="J67" s="103"/>
      <c r="K67" s="103"/>
      <c r="L67" s="10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3" customHeight="1" x14ac:dyDescent="0.25">
      <c r="A68" s="71"/>
      <c r="B68" s="71"/>
      <c r="C68" s="71"/>
      <c r="D68" s="71"/>
      <c r="E68" s="71"/>
      <c r="F68" s="71"/>
      <c r="G68" s="72"/>
      <c r="H68" s="72"/>
      <c r="I68" s="72"/>
      <c r="J68" s="72"/>
      <c r="K68" s="72"/>
      <c r="L68" s="72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73"/>
      <c r="B69" s="73"/>
      <c r="C69" s="73"/>
      <c r="D69" s="73"/>
      <c r="E69" s="73"/>
      <c r="F69" s="73"/>
      <c r="G69" s="74"/>
      <c r="H69" s="74"/>
      <c r="I69" s="74"/>
      <c r="J69" s="74"/>
      <c r="K69" s="74"/>
      <c r="L69" s="7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73"/>
      <c r="B70" s="73"/>
      <c r="C70" s="73"/>
      <c r="D70" s="73"/>
      <c r="E70" s="73"/>
      <c r="F70" s="73"/>
      <c r="G70" s="75"/>
      <c r="H70" s="75"/>
      <c r="I70" s="75"/>
      <c r="J70" s="75"/>
      <c r="K70" s="75"/>
      <c r="L70" s="75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4.25" customHeight="1" x14ac:dyDescent="0.25">
      <c r="A71" s="73"/>
      <c r="B71" s="73"/>
      <c r="C71" s="73"/>
      <c r="D71" s="73"/>
      <c r="E71" s="73"/>
      <c r="F71" s="73"/>
      <c r="G71" s="75"/>
      <c r="H71" s="75"/>
      <c r="I71" s="75"/>
      <c r="J71" s="75"/>
      <c r="K71" s="75"/>
      <c r="L71" s="75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73"/>
      <c r="B72" s="73"/>
      <c r="C72" s="73"/>
      <c r="D72" s="73"/>
      <c r="E72" s="73"/>
      <c r="F72" s="73"/>
      <c r="G72" s="75"/>
      <c r="H72" s="75"/>
      <c r="I72" s="75"/>
      <c r="J72" s="75"/>
      <c r="K72" s="75"/>
      <c r="L72" s="75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73"/>
      <c r="B73" s="73"/>
      <c r="C73" s="73"/>
      <c r="D73" s="73"/>
      <c r="E73" s="73"/>
      <c r="F73" s="73"/>
      <c r="G73" s="75"/>
      <c r="H73" s="75"/>
      <c r="I73" s="75"/>
      <c r="J73" s="75"/>
      <c r="K73" s="75"/>
      <c r="L73" s="75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4.25" customHeight="1" x14ac:dyDescent="0.25">
      <c r="A74" s="73"/>
      <c r="B74" s="73"/>
      <c r="C74" s="73"/>
      <c r="D74" s="73"/>
      <c r="E74" s="73"/>
      <c r="F74" s="73"/>
      <c r="G74" s="75"/>
      <c r="H74" s="75"/>
      <c r="I74" s="75"/>
      <c r="J74" s="75"/>
      <c r="K74" s="75"/>
      <c r="L74" s="75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4.25" customHeight="1" x14ac:dyDescent="0.25">
      <c r="A75" s="73"/>
      <c r="B75" s="73"/>
      <c r="C75" s="73"/>
      <c r="D75" s="73"/>
      <c r="E75" s="73"/>
      <c r="F75" s="73"/>
      <c r="G75" s="75"/>
      <c r="H75" s="75"/>
      <c r="I75" s="75"/>
      <c r="J75" s="75"/>
      <c r="K75" s="75"/>
      <c r="L75" s="75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3" customHeight="1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ht="14.25" customHeight="1" x14ac:dyDescent="0.25">
      <c r="A77" s="64" t="s">
        <v>132</v>
      </c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6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7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ht="14.25" customHeight="1" x14ac:dyDescent="0.25">
      <c r="A79" s="67" t="s">
        <v>148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9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2.4500000000000002" customHeight="1" x14ac:dyDescent="0.25">
      <c r="A80" s="125"/>
      <c r="B80" s="125"/>
      <c r="C80" s="125"/>
      <c r="D80" s="125"/>
      <c r="E80" s="125"/>
      <c r="F80" s="125"/>
      <c r="G80" s="125"/>
      <c r="H80" s="125"/>
      <c r="I80" s="125"/>
      <c r="J80" s="125"/>
      <c r="K80" s="125"/>
      <c r="L80" s="126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26.45" customHeight="1" x14ac:dyDescent="0.25">
      <c r="A81" s="128" t="s">
        <v>1</v>
      </c>
      <c r="B81" s="128"/>
      <c r="C81" s="128"/>
      <c r="D81" s="128" t="s">
        <v>129</v>
      </c>
      <c r="E81" s="128"/>
      <c r="F81" s="128"/>
      <c r="G81" s="128"/>
      <c r="H81" s="128" t="s">
        <v>130</v>
      </c>
      <c r="I81" s="128"/>
      <c r="J81" s="128"/>
      <c r="K81" s="129" t="s">
        <v>131</v>
      </c>
      <c r="L81" s="130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3.6" customHeight="1" x14ac:dyDescent="0.25">
      <c r="A82" s="127"/>
      <c r="B82" s="127"/>
      <c r="C82" s="127"/>
      <c r="D82" s="127"/>
      <c r="E82" s="127"/>
      <c r="F82" s="127"/>
      <c r="G82" s="35"/>
      <c r="I82" s="34"/>
      <c r="J82" s="34"/>
      <c r="K82" s="133"/>
      <c r="L82" s="133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47.45" customHeight="1" x14ac:dyDescent="0.25">
      <c r="A83" s="108" t="s">
        <v>98</v>
      </c>
      <c r="B83" s="108"/>
      <c r="C83" s="149"/>
      <c r="D83" s="137" t="str">
        <f>VLOOKUP(A83,LISTAS!$A$42:$C$54,LISTAS!$B$41,0)</f>
        <v>Capacidad para construir relaciones de cooperación y confianza con las personas que interactúo para favorecer el logro de  los objetivos de la organización, buscando el beneficio común.</v>
      </c>
      <c r="E83" s="138"/>
      <c r="F83" s="138"/>
      <c r="G83" s="139"/>
      <c r="H83" s="119" t="str">
        <f>VLOOKUP(A83,LISTAS!$A$42:$C$54,LISTAS!$C$41,0)</f>
        <v>1) Trabaja en equipo en pro de objetivos colectivos derribando barreras funcionales, jerárquicas y entre áreas. 
2) Construye y mantiene relaciones interpersonales de confianza y respeto.</v>
      </c>
      <c r="I83" s="120"/>
      <c r="J83" s="121"/>
      <c r="K83" s="131">
        <v>4</v>
      </c>
      <c r="L83" s="132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2" customHeight="1" x14ac:dyDescent="0.25">
      <c r="A84" s="150"/>
      <c r="B84" s="150"/>
      <c r="C84" s="151"/>
      <c r="D84" s="140"/>
      <c r="E84" s="141"/>
      <c r="F84" s="141"/>
      <c r="G84" s="142"/>
      <c r="H84" s="122"/>
      <c r="I84" s="123"/>
      <c r="J84" s="124"/>
      <c r="K84" s="134">
        <v>4</v>
      </c>
      <c r="L84" s="135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0.6" customHeight="1" x14ac:dyDescent="0.25">
      <c r="A85" s="131" t="s">
        <v>100</v>
      </c>
      <c r="B85" s="152"/>
      <c r="C85" s="153"/>
      <c r="D85" s="137" t="str">
        <f>VLOOKUP(A85,LISTAS!$A$42:$C$54,LISTAS!$B$41,0)</f>
        <v>Capacidad para escuchar y expresarse de manera clara y oportuna basado en hechos concretos y verificados.</v>
      </c>
      <c r="E85" s="138"/>
      <c r="F85" s="138"/>
      <c r="G85" s="139"/>
      <c r="H85" s="119" t="str">
        <f>VLOOKUP(A85,LISTAS!$A$42:$C$54,LISTAS!$C$41,0)</f>
        <v>1) Se expresa de manera directa, sincera y asertiva.
2) Demuestra coherencia entre lo que dice y hace. Es propositivo y no reactivo.</v>
      </c>
      <c r="I85" s="120"/>
      <c r="J85" s="121"/>
      <c r="K85" s="131">
        <v>3</v>
      </c>
      <c r="L85" s="132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0.15" customHeight="1" x14ac:dyDescent="0.25">
      <c r="A86" s="154"/>
      <c r="B86" s="150"/>
      <c r="C86" s="151"/>
      <c r="D86" s="140"/>
      <c r="E86" s="141"/>
      <c r="F86" s="141"/>
      <c r="G86" s="142"/>
      <c r="H86" s="122"/>
      <c r="I86" s="123"/>
      <c r="J86" s="124"/>
      <c r="K86" s="134">
        <v>3</v>
      </c>
      <c r="L86" s="135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39" customHeight="1" x14ac:dyDescent="0.25">
      <c r="A87" s="131" t="s">
        <v>108</v>
      </c>
      <c r="B87" s="152"/>
      <c r="C87" s="153"/>
      <c r="D87" s="137" t="str">
        <f>VLOOKUP(A87,LISTAS!$A$42:$C$54,LISTAS!$B$41,0)</f>
        <v>Personas competitivas, enfocadas al cumplimiento responsable de metas.</v>
      </c>
      <c r="E87" s="138"/>
      <c r="F87" s="138"/>
      <c r="G87" s="139"/>
      <c r="H87" s="119" t="str">
        <f>VLOOKUP(A87,LISTAS!$A$42:$C$54,LISTAS!$C$41,0)</f>
        <v>1) Alinea su quehacer diario enfocándolo al plan estratégico de la empresa. Es resolutivo.
2) Produce resultados y cumple compromisos - alcanza los objetivos y supera las metas.</v>
      </c>
      <c r="I87" s="120"/>
      <c r="J87" s="121"/>
      <c r="K87" s="131">
        <v>3</v>
      </c>
      <c r="L87" s="132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46.15" customHeight="1" x14ac:dyDescent="0.25">
      <c r="A88" s="154"/>
      <c r="B88" s="150"/>
      <c r="C88" s="151"/>
      <c r="D88" s="140"/>
      <c r="E88" s="141"/>
      <c r="F88" s="141"/>
      <c r="G88" s="142"/>
      <c r="H88" s="122"/>
      <c r="I88" s="123"/>
      <c r="J88" s="124"/>
      <c r="K88" s="131">
        <v>3</v>
      </c>
      <c r="L88" s="132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51.6" customHeight="1" x14ac:dyDescent="0.25">
      <c r="A89" s="131" t="s">
        <v>102</v>
      </c>
      <c r="B89" s="152"/>
      <c r="C89" s="153"/>
      <c r="D89" s="137" t="str">
        <f>VLOOKUP(A89,LISTAS!$A$42:$C$54,LISTAS!$B$41,0)</f>
        <v>Capacidad para identificar y comprender las necesidades y expectativas de nuestros clientes (internos y externos) con empatía.</v>
      </c>
      <c r="E89" s="138"/>
      <c r="F89" s="138"/>
      <c r="G89" s="139"/>
      <c r="H89" s="119" t="str">
        <f>VLOOKUP(A89,LISTAS!$A$42:$C$54,LISTAS!$C$41,0)</f>
        <v>1) Muestra respeto, interés y disposición en comprender las necesidades de clientes, y usuarios; es amable y paciente.
2) Resuelve, atiende con agilidad y oportunidad, busca soluciones de raíz.</v>
      </c>
      <c r="I89" s="120"/>
      <c r="J89" s="121"/>
      <c r="K89" s="131">
        <v>4</v>
      </c>
      <c r="L89" s="132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51.6" customHeight="1" x14ac:dyDescent="0.25">
      <c r="A90" s="154"/>
      <c r="B90" s="150"/>
      <c r="C90" s="151"/>
      <c r="D90" s="140"/>
      <c r="E90" s="141"/>
      <c r="F90" s="141"/>
      <c r="G90" s="142"/>
      <c r="H90" s="122"/>
      <c r="I90" s="123"/>
      <c r="J90" s="124"/>
      <c r="K90" s="131">
        <v>4</v>
      </c>
      <c r="L90" s="132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70.900000000000006" customHeight="1" x14ac:dyDescent="0.25">
      <c r="A91" s="131" t="s">
        <v>104</v>
      </c>
      <c r="B91" s="152"/>
      <c r="C91" s="153"/>
      <c r="D91" s="137" t="str">
        <f>VLOOKUP(A91,LISTAS!$A$42:$C$54,LISTAS!$B$41,0)</f>
        <v>Capacidad para trabajar efectivamente en una variedad de situaciones, con diversos individuos o grupos, valorando las perspectivas diferentes para lograr un proceso de adaptación</v>
      </c>
      <c r="E91" s="138"/>
      <c r="F91" s="138"/>
      <c r="G91" s="139"/>
      <c r="H91" s="119" t="str">
        <f>VLOOKUP(A91,LISTAS!$A$42:$C$54,LISTAS!$C$41,0)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1" s="120"/>
      <c r="J91" s="121"/>
      <c r="K91" s="131">
        <v>3</v>
      </c>
      <c r="L91" s="132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54"/>
      <c r="B92" s="150"/>
      <c r="C92" s="151"/>
      <c r="D92" s="140"/>
      <c r="E92" s="141"/>
      <c r="F92" s="141"/>
      <c r="G92" s="142"/>
      <c r="H92" s="122"/>
      <c r="I92" s="123"/>
      <c r="J92" s="124"/>
      <c r="K92" s="131">
        <v>3</v>
      </c>
      <c r="L92" s="132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29.45" customHeight="1" x14ac:dyDescent="0.25">
      <c r="A93" s="131" t="s">
        <v>114</v>
      </c>
      <c r="B93" s="152"/>
      <c r="C93" s="153"/>
      <c r="D93" s="137" t="str">
        <f>VLOOKUP(A93,LISTAS!$A$42:$C$54,LISTAS!$B$41,0)</f>
        <v>Participa y promueve en su equipo el cumplimiento de las responsabilidades transversales que se desprenden de los sistemas de gestión</v>
      </c>
      <c r="E93" s="138"/>
      <c r="F93" s="138"/>
      <c r="G93" s="139"/>
      <c r="H93" s="119" t="str">
        <f>VLOOKUP(A93,LISTAS!$A$42:$C$54,LISTAS!$C$41,0)</f>
        <v>Participa y promueve en su equipo el cumplimiento de las responsabilidades transversales que se desprenden de los sistemas de gestión</v>
      </c>
      <c r="I93" s="120"/>
      <c r="J93" s="121"/>
      <c r="K93" s="136">
        <v>4</v>
      </c>
      <c r="L93" s="136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8.450000000000003" customHeight="1" x14ac:dyDescent="0.25">
      <c r="A94" s="154"/>
      <c r="B94" s="150"/>
      <c r="C94" s="151"/>
      <c r="D94" s="140"/>
      <c r="E94" s="141"/>
      <c r="F94" s="141"/>
      <c r="G94" s="142"/>
      <c r="H94" s="122"/>
      <c r="I94" s="123"/>
      <c r="J94" s="124"/>
      <c r="K94" s="136">
        <v>4</v>
      </c>
      <c r="L94" s="13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6" customHeight="1" x14ac:dyDescent="0.25">
      <c r="A95" s="131"/>
      <c r="B95" s="152"/>
      <c r="C95" s="153"/>
      <c r="D95" s="137"/>
      <c r="E95" s="138"/>
      <c r="F95" s="138"/>
      <c r="G95" s="139"/>
      <c r="H95" s="119"/>
      <c r="I95" s="120"/>
      <c r="J95" s="121"/>
      <c r="K95" s="136"/>
      <c r="L95" s="136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0.6" customHeight="1" x14ac:dyDescent="0.25">
      <c r="A96" s="154"/>
      <c r="B96" s="150"/>
      <c r="C96" s="151"/>
      <c r="D96" s="140"/>
      <c r="E96" s="141"/>
      <c r="F96" s="141"/>
      <c r="G96" s="142"/>
      <c r="H96" s="122"/>
      <c r="I96" s="123"/>
      <c r="J96" s="124"/>
      <c r="K96" s="136"/>
      <c r="L96" s="136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35.450000000000003" customHeight="1" x14ac:dyDescent="0.25">
      <c r="A97" s="131"/>
      <c r="B97" s="152"/>
      <c r="C97" s="153"/>
      <c r="D97" s="137"/>
      <c r="E97" s="138"/>
      <c r="F97" s="138"/>
      <c r="G97" s="139"/>
      <c r="H97" s="119"/>
      <c r="I97" s="120"/>
      <c r="J97" s="121"/>
      <c r="K97" s="136"/>
      <c r="L97" s="136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31.9" customHeight="1" x14ac:dyDescent="0.25">
      <c r="A98" s="154"/>
      <c r="B98" s="150"/>
      <c r="C98" s="151"/>
      <c r="D98" s="140"/>
      <c r="E98" s="141"/>
      <c r="F98" s="141"/>
      <c r="G98" s="142"/>
      <c r="H98" s="122"/>
      <c r="I98" s="123"/>
      <c r="J98" s="124"/>
      <c r="K98" s="136"/>
      <c r="L98" s="136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29.45" customHeight="1" x14ac:dyDescent="0.25">
      <c r="A99" s="131"/>
      <c r="B99" s="152"/>
      <c r="C99" s="153"/>
      <c r="D99" s="137"/>
      <c r="E99" s="138"/>
      <c r="F99" s="138"/>
      <c r="G99" s="139"/>
      <c r="H99" s="119"/>
      <c r="I99" s="120"/>
      <c r="J99" s="121"/>
      <c r="K99" s="136"/>
      <c r="L99" s="136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28.15" customHeight="1" x14ac:dyDescent="0.25">
      <c r="A100" s="154"/>
      <c r="B100" s="150"/>
      <c r="C100" s="151"/>
      <c r="D100" s="140"/>
      <c r="E100" s="141"/>
      <c r="F100" s="141"/>
      <c r="G100" s="142"/>
      <c r="H100" s="122"/>
      <c r="I100" s="123"/>
      <c r="J100" s="124"/>
      <c r="K100" s="136"/>
      <c r="L100" s="136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0.6" customHeight="1" x14ac:dyDescent="0.25">
      <c r="A101" s="131" t="s">
        <v>116</v>
      </c>
      <c r="B101" s="152"/>
      <c r="C101" s="153"/>
      <c r="D101" s="137" t="str">
        <f>VLOOKUP(A101,LISTAS!$A$42:$C$54,LISTAS!$B$41,0)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101" s="138"/>
      <c r="F101" s="138"/>
      <c r="G101" s="139"/>
      <c r="H101" s="119" t="str">
        <f>VLOOKUP(A101,LISTAS!$A$42:$C$54,LISTAS!$C$41,0)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101" s="120"/>
      <c r="J101" s="121"/>
      <c r="K101" s="136">
        <v>4</v>
      </c>
      <c r="L101" s="136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33" customHeight="1" x14ac:dyDescent="0.25">
      <c r="A102" s="154"/>
      <c r="B102" s="150"/>
      <c r="C102" s="151"/>
      <c r="D102" s="140"/>
      <c r="E102" s="141"/>
      <c r="F102" s="141"/>
      <c r="G102" s="142"/>
      <c r="H102" s="122"/>
      <c r="I102" s="123"/>
      <c r="J102" s="124"/>
      <c r="K102" s="136"/>
      <c r="L102" s="136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35.450000000000003" customHeight="1" x14ac:dyDescent="0.25">
      <c r="A103" s="131" t="s">
        <v>118</v>
      </c>
      <c r="B103" s="152"/>
      <c r="C103" s="153"/>
      <c r="D103" s="137" t="str">
        <f>VLOOKUP(A103,LISTAS!$A$42:$C$54,LISTAS!$B$41,0)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103" s="138"/>
      <c r="F103" s="138"/>
      <c r="G103" s="139"/>
      <c r="H103" s="119" t="str">
        <f>VLOOKUP(A103,LISTAS!$A$42:$C$54,LISTAS!$C$41,0)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103" s="120"/>
      <c r="J103" s="121"/>
      <c r="K103" s="136">
        <v>5</v>
      </c>
      <c r="L103" s="136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41.45" customHeight="1" x14ac:dyDescent="0.25">
      <c r="A104" s="155"/>
      <c r="B104" s="156"/>
      <c r="C104" s="157"/>
      <c r="D104" s="140"/>
      <c r="E104" s="141"/>
      <c r="F104" s="141"/>
      <c r="G104" s="142"/>
      <c r="H104" s="144"/>
      <c r="I104" s="145"/>
      <c r="J104" s="146"/>
      <c r="K104" s="143"/>
      <c r="L104" s="143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78.599999999999994" customHeight="1" x14ac:dyDescent="0.25">
      <c r="A105" s="136" t="s">
        <v>121</v>
      </c>
      <c r="B105" s="136"/>
      <c r="C105" s="136"/>
      <c r="D105" s="137" t="str">
        <f>VLOOKUP(A105,LISTAS!$A$42:$C$54,LISTAS!$B$41,0)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105" s="138"/>
      <c r="F105" s="138"/>
      <c r="G105" s="139"/>
      <c r="H105" s="147" t="str">
        <f>VLOOKUP(A105,LISTAS!$A$42:$C$54,LISTAS!$C$41,0)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105" s="147"/>
      <c r="J105" s="147"/>
      <c r="K105" s="136">
        <v>4</v>
      </c>
      <c r="L105" s="136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58.15" customHeight="1" x14ac:dyDescent="0.25">
      <c r="A106" s="136"/>
      <c r="B106" s="136"/>
      <c r="C106" s="136"/>
      <c r="D106" s="140"/>
      <c r="E106" s="141"/>
      <c r="F106" s="141"/>
      <c r="G106" s="142"/>
      <c r="H106" s="147"/>
      <c r="I106" s="147"/>
      <c r="J106" s="147"/>
      <c r="K106" s="136"/>
      <c r="L106" s="136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  <row r="1001" spans="1:24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</row>
  </sheetData>
  <mergeCells count="201">
    <mergeCell ref="I3:J3"/>
    <mergeCell ref="F3:H3"/>
    <mergeCell ref="C3:E3"/>
    <mergeCell ref="K106:L106"/>
    <mergeCell ref="A83:C84"/>
    <mergeCell ref="D83:G84"/>
    <mergeCell ref="H83:J84"/>
    <mergeCell ref="A85:C86"/>
    <mergeCell ref="D85:G86"/>
    <mergeCell ref="H85:J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A105:C106"/>
    <mergeCell ref="D87:G88"/>
    <mergeCell ref="D89:G90"/>
    <mergeCell ref="D91:G92"/>
    <mergeCell ref="D93:G94"/>
    <mergeCell ref="K103:L103"/>
    <mergeCell ref="K104:L104"/>
    <mergeCell ref="K105:L105"/>
    <mergeCell ref="D103:G104"/>
    <mergeCell ref="D105:G106"/>
    <mergeCell ref="H103:J104"/>
    <mergeCell ref="H105:J106"/>
    <mergeCell ref="K100:L100"/>
    <mergeCell ref="K101:L101"/>
    <mergeCell ref="K102:L102"/>
    <mergeCell ref="D99:G100"/>
    <mergeCell ref="D101:G102"/>
    <mergeCell ref="H99:J100"/>
    <mergeCell ref="H101:J102"/>
    <mergeCell ref="K93:L93"/>
    <mergeCell ref="K97:L97"/>
    <mergeCell ref="K98:L98"/>
    <mergeCell ref="K99:L99"/>
    <mergeCell ref="D97:G98"/>
    <mergeCell ref="H97:J98"/>
    <mergeCell ref="K94:L94"/>
    <mergeCell ref="K95:L95"/>
    <mergeCell ref="K96:L96"/>
    <mergeCell ref="D95:G96"/>
    <mergeCell ref="H93:J94"/>
    <mergeCell ref="H95:J96"/>
    <mergeCell ref="H87:J88"/>
    <mergeCell ref="H89:J90"/>
    <mergeCell ref="H91:J92"/>
    <mergeCell ref="A80:L80"/>
    <mergeCell ref="A82:F82"/>
    <mergeCell ref="A81:C81"/>
    <mergeCell ref="D81:G81"/>
    <mergeCell ref="K81:L81"/>
    <mergeCell ref="K83:L83"/>
    <mergeCell ref="K82:L82"/>
    <mergeCell ref="K84:L84"/>
    <mergeCell ref="H81:J81"/>
    <mergeCell ref="K85:L85"/>
    <mergeCell ref="K86:L86"/>
    <mergeCell ref="K87:L87"/>
    <mergeCell ref="K88:L88"/>
    <mergeCell ref="K89:L89"/>
    <mergeCell ref="K90:L90"/>
    <mergeCell ref="K91:L91"/>
    <mergeCell ref="K92:L92"/>
    <mergeCell ref="A18:L18"/>
    <mergeCell ref="A22:L22"/>
    <mergeCell ref="E29:H29"/>
    <mergeCell ref="J28:L28"/>
    <mergeCell ref="J29:L29"/>
    <mergeCell ref="A31:C31"/>
    <mergeCell ref="A32:C32"/>
    <mergeCell ref="A72:F72"/>
    <mergeCell ref="G72:L72"/>
    <mergeCell ref="A65:L65"/>
    <mergeCell ref="A66:L66"/>
    <mergeCell ref="A61:F61"/>
    <mergeCell ref="G61:L61"/>
    <mergeCell ref="A62:F62"/>
    <mergeCell ref="G62:L62"/>
    <mergeCell ref="A63:F63"/>
    <mergeCell ref="G63:L63"/>
    <mergeCell ref="A46:C46"/>
    <mergeCell ref="A55:F55"/>
    <mergeCell ref="G55:L55"/>
    <mergeCell ref="A56:F56"/>
    <mergeCell ref="G56:L56"/>
    <mergeCell ref="A57:F57"/>
    <mergeCell ref="G57:L57"/>
    <mergeCell ref="A16:L16"/>
    <mergeCell ref="A50:L50"/>
    <mergeCell ref="A51:F51"/>
    <mergeCell ref="G51:L51"/>
    <mergeCell ref="A67:F67"/>
    <mergeCell ref="G67:L67"/>
    <mergeCell ref="A49:L49"/>
    <mergeCell ref="A52:F52"/>
    <mergeCell ref="G52:L52"/>
    <mergeCell ref="G38:L38"/>
    <mergeCell ref="A19:L19"/>
    <mergeCell ref="D46:F46"/>
    <mergeCell ref="G46:I46"/>
    <mergeCell ref="J46:L46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60:F60"/>
    <mergeCell ref="G60:L60"/>
    <mergeCell ref="A17:L17"/>
    <mergeCell ref="G42:I42"/>
    <mergeCell ref="J42:L42"/>
    <mergeCell ref="A43:C43"/>
    <mergeCell ref="D43:F43"/>
    <mergeCell ref="G43:I43"/>
    <mergeCell ref="J43:L43"/>
    <mergeCell ref="A58:F58"/>
    <mergeCell ref="G58:L58"/>
    <mergeCell ref="A59:F59"/>
    <mergeCell ref="G59:L59"/>
    <mergeCell ref="A42:C42"/>
    <mergeCell ref="A53:F53"/>
    <mergeCell ref="G53:L53"/>
    <mergeCell ref="A54:F54"/>
    <mergeCell ref="G54:L54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7:L77"/>
    <mergeCell ref="A79:L79"/>
    <mergeCell ref="A78:L78"/>
    <mergeCell ref="A68:F68"/>
    <mergeCell ref="G68:L68"/>
    <mergeCell ref="A69:F69"/>
    <mergeCell ref="G69:L69"/>
    <mergeCell ref="A70:F70"/>
    <mergeCell ref="G70:L70"/>
    <mergeCell ref="A71:F71"/>
    <mergeCell ref="G71:L71"/>
    <mergeCell ref="A75:F75"/>
    <mergeCell ref="G75:L75"/>
    <mergeCell ref="A73:F73"/>
    <mergeCell ref="G73:L73"/>
    <mergeCell ref="A74:F74"/>
    <mergeCell ref="G74:L74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45:C45"/>
    <mergeCell ref="A44:C44"/>
    <mergeCell ref="D44:F44"/>
    <mergeCell ref="D45:F45"/>
    <mergeCell ref="G44:I44"/>
    <mergeCell ref="G45:I45"/>
    <mergeCell ref="J44:L44"/>
    <mergeCell ref="J45:L45"/>
    <mergeCell ref="A38:F38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5" max="13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28575</xdr:rowOff>
                  </from>
                  <to>
                    <xdr:col>2</xdr:col>
                    <xdr:colOff>666750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19050</xdr:rowOff>
                  </from>
                  <to>
                    <xdr:col>8</xdr:col>
                    <xdr:colOff>314325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60</xdr:row>
                    <xdr:rowOff>28575</xdr:rowOff>
                  </from>
                  <to>
                    <xdr:col>8</xdr:col>
                    <xdr:colOff>314325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61</xdr:row>
                    <xdr:rowOff>28575</xdr:rowOff>
                  </from>
                  <to>
                    <xdr:col>8</xdr:col>
                    <xdr:colOff>314325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28575</xdr:rowOff>
                  </from>
                  <to>
                    <xdr:col>2</xdr:col>
                    <xdr:colOff>666750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73</xdr:row>
                    <xdr:rowOff>28575</xdr:rowOff>
                  </from>
                  <to>
                    <xdr:col>2</xdr:col>
                    <xdr:colOff>666750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74</xdr:row>
                    <xdr:rowOff>28575</xdr:rowOff>
                  </from>
                  <to>
                    <xdr:col>2</xdr:col>
                    <xdr:colOff>666750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19050</xdr:rowOff>
                  </from>
                  <to>
                    <xdr:col>8</xdr:col>
                    <xdr:colOff>514350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69</xdr:row>
                    <xdr:rowOff>28575</xdr:rowOff>
                  </from>
                  <to>
                    <xdr:col>8</xdr:col>
                    <xdr:colOff>514350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70</xdr:row>
                    <xdr:rowOff>28575</xdr:rowOff>
                  </from>
                  <to>
                    <xdr:col>8</xdr:col>
                    <xdr:colOff>314325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A83 A105 A103 A101 A99 A97 A95 A93 A91 A89 A87 A85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K83:L106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2" t="s">
        <v>9</v>
      </c>
      <c r="B2" s="13" t="s">
        <v>10</v>
      </c>
      <c r="C2" s="14" t="s">
        <v>42</v>
      </c>
      <c r="D2" s="13" t="s">
        <v>51</v>
      </c>
      <c r="E2" t="s">
        <v>123</v>
      </c>
      <c r="F2" t="s">
        <v>124</v>
      </c>
      <c r="G2" t="s">
        <v>125</v>
      </c>
      <c r="H2" t="s">
        <v>126</v>
      </c>
      <c r="I2" t="s">
        <v>127</v>
      </c>
    </row>
    <row r="3" spans="1:9" ht="63" customHeight="1" x14ac:dyDescent="0.25">
      <c r="A3" s="10" t="s">
        <v>11</v>
      </c>
      <c r="B3" s="9" t="s">
        <v>0</v>
      </c>
      <c r="C3" s="11" t="s">
        <v>43</v>
      </c>
      <c r="D3" s="9" t="s">
        <v>52</v>
      </c>
    </row>
    <row r="4" spans="1:9" ht="15" customHeight="1" x14ac:dyDescent="0.25">
      <c r="A4" s="10" t="s">
        <v>53</v>
      </c>
      <c r="B4" s="9" t="s">
        <v>32</v>
      </c>
      <c r="C4" s="11" t="s">
        <v>44</v>
      </c>
      <c r="D4" s="9" t="s">
        <v>11</v>
      </c>
    </row>
    <row r="5" spans="1:9" ht="30" customHeight="1" x14ac:dyDescent="0.25">
      <c r="A5" s="10" t="s">
        <v>12</v>
      </c>
      <c r="B5" s="9" t="s">
        <v>33</v>
      </c>
      <c r="C5" s="11" t="s">
        <v>44</v>
      </c>
      <c r="D5" s="9" t="s">
        <v>53</v>
      </c>
    </row>
    <row r="6" spans="1:9" ht="66" customHeight="1" x14ac:dyDescent="0.25">
      <c r="A6" s="10" t="s">
        <v>13</v>
      </c>
      <c r="B6" s="9" t="s">
        <v>33</v>
      </c>
      <c r="C6" s="11" t="s">
        <v>44</v>
      </c>
      <c r="D6" s="9" t="s">
        <v>53</v>
      </c>
    </row>
    <row r="7" spans="1:9" x14ac:dyDescent="0.25">
      <c r="A7" s="10" t="s">
        <v>34</v>
      </c>
      <c r="B7" s="9" t="s">
        <v>14</v>
      </c>
      <c r="C7" s="11" t="s">
        <v>45</v>
      </c>
      <c r="D7" s="9" t="s">
        <v>11</v>
      </c>
    </row>
    <row r="8" spans="1:9" ht="15" customHeight="1" x14ac:dyDescent="0.25">
      <c r="A8" s="10" t="s">
        <v>35</v>
      </c>
      <c r="B8" s="9" t="s">
        <v>14</v>
      </c>
      <c r="C8" s="11" t="s">
        <v>45</v>
      </c>
      <c r="D8" s="9" t="s">
        <v>34</v>
      </c>
    </row>
    <row r="9" spans="1:9" x14ac:dyDescent="0.25">
      <c r="A9" s="10" t="s">
        <v>15</v>
      </c>
      <c r="B9" s="9" t="s">
        <v>16</v>
      </c>
      <c r="C9" s="11" t="s">
        <v>45</v>
      </c>
      <c r="D9" s="9" t="s">
        <v>11</v>
      </c>
    </row>
    <row r="10" spans="1:9" ht="15" customHeight="1" x14ac:dyDescent="0.25">
      <c r="A10" s="10" t="s">
        <v>17</v>
      </c>
      <c r="B10" s="9" t="s">
        <v>16</v>
      </c>
      <c r="C10" s="11" t="s">
        <v>45</v>
      </c>
      <c r="D10" s="9" t="s">
        <v>15</v>
      </c>
    </row>
    <row r="11" spans="1:9" ht="15" customHeight="1" x14ac:dyDescent="0.25">
      <c r="A11" s="10" t="s">
        <v>18</v>
      </c>
      <c r="B11" s="9" t="s">
        <v>16</v>
      </c>
      <c r="C11" s="11" t="s">
        <v>45</v>
      </c>
      <c r="D11" s="9" t="s">
        <v>15</v>
      </c>
    </row>
    <row r="12" spans="1:9" ht="15" customHeight="1" x14ac:dyDescent="0.25">
      <c r="A12" s="10" t="s">
        <v>31</v>
      </c>
      <c r="B12" s="9" t="s">
        <v>16</v>
      </c>
      <c r="C12" s="11" t="s">
        <v>45</v>
      </c>
      <c r="D12" s="9" t="s">
        <v>15</v>
      </c>
    </row>
    <row r="13" spans="1:9" ht="15" customHeight="1" x14ac:dyDescent="0.25">
      <c r="A13" s="10" t="s">
        <v>47</v>
      </c>
      <c r="B13" s="9" t="s">
        <v>16</v>
      </c>
      <c r="C13" s="11" t="s">
        <v>45</v>
      </c>
      <c r="D13" s="9" t="s">
        <v>15</v>
      </c>
    </row>
    <row r="14" spans="1:9" ht="30" x14ac:dyDescent="0.25">
      <c r="A14" s="10" t="s">
        <v>36</v>
      </c>
      <c r="B14" s="9" t="s">
        <v>19</v>
      </c>
      <c r="C14" s="11" t="s">
        <v>46</v>
      </c>
      <c r="D14" s="9" t="s">
        <v>11</v>
      </c>
    </row>
    <row r="15" spans="1:9" ht="30" customHeight="1" x14ac:dyDescent="0.25">
      <c r="A15" s="10" t="s">
        <v>20</v>
      </c>
      <c r="B15" s="9" t="s">
        <v>21</v>
      </c>
      <c r="C15" s="11" t="s">
        <v>45</v>
      </c>
      <c r="D15" s="9" t="s">
        <v>11</v>
      </c>
    </row>
    <row r="16" spans="1:9" ht="118.9" customHeight="1" x14ac:dyDescent="0.25">
      <c r="A16" s="10" t="s">
        <v>37</v>
      </c>
      <c r="B16" s="9" t="s">
        <v>21</v>
      </c>
      <c r="C16" s="11" t="s">
        <v>45</v>
      </c>
      <c r="D16" s="9" t="s">
        <v>20</v>
      </c>
    </row>
    <row r="17" spans="1:4" ht="15" customHeight="1" x14ac:dyDescent="0.25">
      <c r="A17" s="10" t="s">
        <v>22</v>
      </c>
      <c r="B17" s="9" t="s">
        <v>23</v>
      </c>
      <c r="C17" s="11" t="s">
        <v>45</v>
      </c>
      <c r="D17" s="9" t="s">
        <v>11</v>
      </c>
    </row>
    <row r="18" spans="1:4" ht="15" customHeight="1" x14ac:dyDescent="0.25">
      <c r="A18" s="10" t="s">
        <v>50</v>
      </c>
      <c r="B18" s="9" t="s">
        <v>23</v>
      </c>
      <c r="C18" s="11" t="s">
        <v>45</v>
      </c>
      <c r="D18" s="9" t="s">
        <v>11</v>
      </c>
    </row>
    <row r="19" spans="1:4" ht="15" customHeight="1" x14ac:dyDescent="0.25">
      <c r="A19" s="10" t="s">
        <v>24</v>
      </c>
      <c r="B19" s="9" t="s">
        <v>25</v>
      </c>
      <c r="C19" s="11" t="s">
        <v>45</v>
      </c>
      <c r="D19" s="9" t="s">
        <v>11</v>
      </c>
    </row>
    <row r="20" spans="1:4" ht="15" customHeight="1" x14ac:dyDescent="0.25">
      <c r="A20" s="10" t="s">
        <v>38</v>
      </c>
      <c r="B20" s="9" t="s">
        <v>39</v>
      </c>
      <c r="C20" s="11" t="s">
        <v>45</v>
      </c>
      <c r="D20" s="9" t="s">
        <v>11</v>
      </c>
    </row>
    <row r="21" spans="1:4" ht="15" customHeight="1" x14ac:dyDescent="0.25">
      <c r="A21" s="10" t="s">
        <v>49</v>
      </c>
      <c r="B21" s="9" t="s">
        <v>39</v>
      </c>
      <c r="C21" s="11" t="s">
        <v>45</v>
      </c>
      <c r="D21" s="9" t="s">
        <v>38</v>
      </c>
    </row>
    <row r="22" spans="1:4" ht="31.9" customHeight="1" x14ac:dyDescent="0.25">
      <c r="A22" s="10" t="s">
        <v>40</v>
      </c>
      <c r="B22" s="9" t="s">
        <v>26</v>
      </c>
      <c r="C22" s="11" t="s">
        <v>45</v>
      </c>
      <c r="D22" s="9" t="s">
        <v>11</v>
      </c>
    </row>
    <row r="23" spans="1:4" ht="45" x14ac:dyDescent="0.25">
      <c r="A23" s="10" t="s">
        <v>41</v>
      </c>
      <c r="B23" s="9" t="s">
        <v>26</v>
      </c>
      <c r="C23" s="11" t="s">
        <v>45</v>
      </c>
      <c r="D23" s="9" t="s">
        <v>40</v>
      </c>
    </row>
    <row r="24" spans="1:4" ht="15" customHeight="1" x14ac:dyDescent="0.25">
      <c r="A24" s="10" t="s">
        <v>27</v>
      </c>
      <c r="B24" s="9" t="s">
        <v>0</v>
      </c>
      <c r="C24" s="11" t="s">
        <v>43</v>
      </c>
      <c r="D24" s="9" t="s">
        <v>11</v>
      </c>
    </row>
    <row r="25" spans="1:4" ht="15" customHeight="1" x14ac:dyDescent="0.25">
      <c r="A25" s="10" t="s">
        <v>28</v>
      </c>
      <c r="B25" s="9" t="s">
        <v>26</v>
      </c>
      <c r="C25" s="11" t="s">
        <v>45</v>
      </c>
      <c r="D25" s="9" t="s">
        <v>40</v>
      </c>
    </row>
    <row r="26" spans="1:4" ht="45" x14ac:dyDescent="0.25">
      <c r="A26" s="10" t="s">
        <v>29</v>
      </c>
      <c r="B26" s="9" t="s">
        <v>26</v>
      </c>
      <c r="C26" s="11" t="s">
        <v>45</v>
      </c>
      <c r="D26" s="9" t="s">
        <v>40</v>
      </c>
    </row>
    <row r="27" spans="1:4" ht="45" x14ac:dyDescent="0.25">
      <c r="A27" s="10" t="s">
        <v>30</v>
      </c>
      <c r="B27" s="9" t="s">
        <v>26</v>
      </c>
      <c r="C27" s="11" t="s">
        <v>45</v>
      </c>
      <c r="D27" s="9" t="s">
        <v>40</v>
      </c>
    </row>
    <row r="28" spans="1:4" ht="15" customHeight="1" x14ac:dyDescent="0.25">
      <c r="A28" s="15" t="s">
        <v>48</v>
      </c>
      <c r="B28" s="16" t="s">
        <v>26</v>
      </c>
      <c r="C28" s="17" t="s">
        <v>45</v>
      </c>
      <c r="D28" s="9" t="s">
        <v>40</v>
      </c>
    </row>
    <row r="31" spans="1:4" ht="15" customHeight="1" x14ac:dyDescent="0.25">
      <c r="B31" s="28" t="s">
        <v>91</v>
      </c>
      <c r="C31" s="28" t="s">
        <v>92</v>
      </c>
    </row>
    <row r="32" spans="1:4" ht="90" x14ac:dyDescent="0.25">
      <c r="A32" s="23" t="s">
        <v>78</v>
      </c>
      <c r="B32" s="29" t="s">
        <v>94</v>
      </c>
      <c r="C32" s="29" t="s">
        <v>93</v>
      </c>
    </row>
    <row r="33" spans="1:3" ht="15" customHeight="1" x14ac:dyDescent="0.25">
      <c r="A33" s="23" t="s">
        <v>79</v>
      </c>
      <c r="B33" s="26"/>
      <c r="C33" s="31">
        <v>5</v>
      </c>
    </row>
    <row r="34" spans="1:3" ht="15" customHeight="1" x14ac:dyDescent="0.25">
      <c r="A34" s="23" t="s">
        <v>80</v>
      </c>
      <c r="B34" s="26"/>
      <c r="C34" s="31">
        <v>4</v>
      </c>
    </row>
    <row r="35" spans="1:3" ht="15" customHeight="1" x14ac:dyDescent="0.25">
      <c r="A35" s="23" t="s">
        <v>81</v>
      </c>
      <c r="B35" s="27"/>
      <c r="C35" s="31">
        <v>3</v>
      </c>
    </row>
    <row r="36" spans="1:3" ht="15" customHeight="1" x14ac:dyDescent="0.25">
      <c r="A36" s="23" t="s">
        <v>82</v>
      </c>
      <c r="C36" s="31">
        <v>2</v>
      </c>
    </row>
    <row r="37" spans="1:3" ht="15" customHeight="1" x14ac:dyDescent="0.25">
      <c r="A37" s="23" t="s">
        <v>83</v>
      </c>
      <c r="C37" s="31">
        <v>1</v>
      </c>
    </row>
    <row r="38" spans="1:3" ht="15" customHeight="1" x14ac:dyDescent="0.25">
      <c r="A38" s="23" t="s">
        <v>84</v>
      </c>
      <c r="C38" s="31" t="s">
        <v>140</v>
      </c>
    </row>
    <row r="39" spans="1:3" ht="15" customHeight="1" x14ac:dyDescent="0.25">
      <c r="A39" s="23" t="s">
        <v>85</v>
      </c>
    </row>
    <row r="40" spans="1:3" ht="15" customHeight="1" x14ac:dyDescent="0.25">
      <c r="A40" s="23" t="s">
        <v>86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6" t="s">
        <v>128</v>
      </c>
      <c r="B42" s="37" t="s">
        <v>96</v>
      </c>
      <c r="C42" s="37" t="s">
        <v>97</v>
      </c>
    </row>
    <row r="43" spans="1:3" ht="75" x14ac:dyDescent="0.25">
      <c r="A43" s="38" t="s">
        <v>98</v>
      </c>
      <c r="B43" s="32" t="s">
        <v>99</v>
      </c>
      <c r="C43" s="33" t="s">
        <v>133</v>
      </c>
    </row>
    <row r="44" spans="1:3" ht="60" x14ac:dyDescent="0.25">
      <c r="A44" s="33" t="s">
        <v>100</v>
      </c>
      <c r="B44" s="30" t="s">
        <v>101</v>
      </c>
      <c r="C44" s="33" t="s">
        <v>134</v>
      </c>
    </row>
    <row r="45" spans="1:3" ht="75" x14ac:dyDescent="0.25">
      <c r="A45" s="33" t="s">
        <v>102</v>
      </c>
      <c r="B45" s="30" t="s">
        <v>103</v>
      </c>
      <c r="C45" s="33" t="s">
        <v>135</v>
      </c>
    </row>
    <row r="46" spans="1:3" ht="105" x14ac:dyDescent="0.25">
      <c r="A46" s="33" t="s">
        <v>104</v>
      </c>
      <c r="B46" s="39" t="s">
        <v>105</v>
      </c>
      <c r="C46" s="33" t="s">
        <v>136</v>
      </c>
    </row>
    <row r="47" spans="1:3" ht="105" x14ac:dyDescent="0.25">
      <c r="A47" s="33" t="s">
        <v>106</v>
      </c>
      <c r="B47" s="39" t="s">
        <v>107</v>
      </c>
      <c r="C47" s="33" t="s">
        <v>137</v>
      </c>
    </row>
    <row r="48" spans="1:3" ht="75" x14ac:dyDescent="0.25">
      <c r="A48" s="40" t="s">
        <v>108</v>
      </c>
      <c r="B48" s="39" t="s">
        <v>109</v>
      </c>
      <c r="C48" s="33" t="s">
        <v>138</v>
      </c>
    </row>
    <row r="49" spans="1:3" ht="75" x14ac:dyDescent="0.25">
      <c r="A49" s="33" t="s">
        <v>110</v>
      </c>
      <c r="B49" s="30" t="s">
        <v>111</v>
      </c>
      <c r="C49" s="33" t="s">
        <v>139</v>
      </c>
    </row>
    <row r="50" spans="1:3" ht="75" x14ac:dyDescent="0.25">
      <c r="A50" s="33" t="s">
        <v>112</v>
      </c>
      <c r="B50" s="32" t="s">
        <v>113</v>
      </c>
      <c r="C50" s="30" t="s">
        <v>113</v>
      </c>
    </row>
    <row r="51" spans="1:3" ht="60" x14ac:dyDescent="0.25">
      <c r="A51" s="33" t="s">
        <v>114</v>
      </c>
      <c r="B51" s="32" t="s">
        <v>115</v>
      </c>
      <c r="C51" s="30" t="s">
        <v>115</v>
      </c>
    </row>
    <row r="52" spans="1:3" ht="90" x14ac:dyDescent="0.25">
      <c r="A52" s="33" t="s">
        <v>116</v>
      </c>
      <c r="B52" s="32" t="s">
        <v>117</v>
      </c>
      <c r="C52" s="30" t="s">
        <v>117</v>
      </c>
    </row>
    <row r="53" spans="1:3" ht="150" x14ac:dyDescent="0.25">
      <c r="A53" s="33" t="s">
        <v>118</v>
      </c>
      <c r="B53" s="32" t="s">
        <v>119</v>
      </c>
      <c r="C53" s="30" t="s">
        <v>120</v>
      </c>
    </row>
    <row r="54" spans="1:3" ht="120" x14ac:dyDescent="0.25">
      <c r="A54" s="33" t="s">
        <v>121</v>
      </c>
      <c r="B54" s="30" t="s">
        <v>122</v>
      </c>
      <c r="C54" s="30" t="s">
        <v>122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2023-06-02T21:04:34Z</dcterms:modified>
</cp:coreProperties>
</file>