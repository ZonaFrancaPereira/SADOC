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/>
  </bookViews>
  <sheets>
    <sheet name="Formato" sheetId="1" r:id="rId1"/>
    <sheet name="LISTAS" sheetId="2" state="hidden" r:id="rId2"/>
  </sheets>
  <definedNames>
    <definedName name="_xlnm.Print_Area" localSheetId="0">Formato!$A$1:$L$104</definedName>
  </definedNames>
  <calcPr calcId="145621"/>
  <extLst>
    <ext uri="GoogleSheetsCustomDataVersion1">
      <go:sheetsCustomData xmlns:go="http://customooxmlschemas.google.com/" r:id="rId6" roundtripDataSignature="AMtx7mjbwWreKaua+iUYuanfWbmEab3hVg=="/>
    </ext>
  </extLst>
</workbook>
</file>

<file path=xl/calcChain.xml><?xml version="1.0" encoding="utf-8"?>
<calcChain xmlns="http://schemas.openxmlformats.org/spreadsheetml/2006/main">
  <c r="H85" i="1" l="1"/>
  <c r="H87" i="1"/>
  <c r="H89" i="1"/>
  <c r="H91" i="1"/>
  <c r="H93" i="1"/>
  <c r="H95" i="1"/>
  <c r="H97" i="1"/>
  <c r="H99" i="1"/>
  <c r="H101" i="1"/>
  <c r="H103" i="1"/>
  <c r="D87" i="1"/>
  <c r="D89" i="1"/>
  <c r="D91" i="1"/>
  <c r="D93" i="1"/>
  <c r="D95" i="1"/>
  <c r="D97" i="1"/>
  <c r="D99" i="1"/>
  <c r="D101" i="1"/>
  <c r="D103" i="1"/>
  <c r="D85" i="1"/>
  <c r="H83" i="1"/>
  <c r="D83" i="1"/>
  <c r="D81" i="1"/>
  <c r="H81" i="1"/>
  <c r="G38" i="1" l="1"/>
  <c r="A38" i="1"/>
  <c r="D11" i="1" l="1"/>
  <c r="D10" i="1"/>
  <c r="D9" i="1"/>
</calcChain>
</file>

<file path=xl/sharedStrings.xml><?xml version="1.0" encoding="utf-8"?>
<sst xmlns="http://schemas.openxmlformats.org/spreadsheetml/2006/main" count="252" uniqueCount="167">
  <si>
    <t>Gerencia</t>
  </si>
  <si>
    <t xml:space="preserve">Competencia </t>
  </si>
  <si>
    <t>NO</t>
  </si>
  <si>
    <t>Fecha de Revisión:</t>
  </si>
  <si>
    <t>IDENTIFICACIÓN DEL CARGO</t>
  </si>
  <si>
    <t>Jefe Inmediato</t>
  </si>
  <si>
    <t>Nombre del Cargo</t>
  </si>
  <si>
    <t>Proceso al que Pertence</t>
  </si>
  <si>
    <t>¿Es Cargo Crítico?</t>
  </si>
  <si>
    <t>CARGO</t>
  </si>
  <si>
    <t>Proceso</t>
  </si>
  <si>
    <t>Gerente</t>
  </si>
  <si>
    <t>Analista I operaciones</t>
  </si>
  <si>
    <t>Analista II operaciones</t>
  </si>
  <si>
    <t>Gestión Contable y Financiera</t>
  </si>
  <si>
    <t>Director Técnico</t>
  </si>
  <si>
    <t>Gestión Técnica</t>
  </si>
  <si>
    <t>Auxiliar de Mantenimiento</t>
  </si>
  <si>
    <t>Ayudante de Obra</t>
  </si>
  <si>
    <t>Sistema Integrado de Gestión</t>
  </si>
  <si>
    <t>Coordinador de Tecnología e Informática</t>
  </si>
  <si>
    <t>Gestión de Tecnología e Informática</t>
  </si>
  <si>
    <t>Coordinador Jurídico</t>
  </si>
  <si>
    <t>Gestión Jurídica</t>
  </si>
  <si>
    <t>Administrador PH</t>
  </si>
  <si>
    <t>Propiedad Horizontal</t>
  </si>
  <si>
    <t>Gestión Administrativa</t>
  </si>
  <si>
    <t>Supernumeraria</t>
  </si>
  <si>
    <t>Auxiliar Gestión Documental</t>
  </si>
  <si>
    <t>Auxiliar Seguridad y Salud en el Trabajo</t>
  </si>
  <si>
    <t>Mensajero</t>
  </si>
  <si>
    <t>Residente de Obra</t>
  </si>
  <si>
    <t>Gestión  de Operaciones</t>
  </si>
  <si>
    <t>Gestión de Operaciones</t>
  </si>
  <si>
    <t>Director Contable y Financier</t>
  </si>
  <si>
    <t>Auxiliar Contable y Financiero</t>
  </si>
  <si>
    <t>Coordinador Sistema Integrado de Gestión</t>
  </si>
  <si>
    <t>Auxiliar de Tecnología e Informática</t>
  </si>
  <si>
    <t>Jefe de Seguridad</t>
  </si>
  <si>
    <t>Seguridad</t>
  </si>
  <si>
    <t>Director de Gestión Administrativa</t>
  </si>
  <si>
    <t>Auxiliar de Gestión Administrativa</t>
  </si>
  <si>
    <t>Tipo de Proceso</t>
  </si>
  <si>
    <t>Etratégico</t>
  </si>
  <si>
    <t>Misional</t>
  </si>
  <si>
    <t>Apoyo</t>
  </si>
  <si>
    <t>Base</t>
  </si>
  <si>
    <t>Practicante de Gestión Técnica</t>
  </si>
  <si>
    <t>Auxiliar de Servicios Generales</t>
  </si>
  <si>
    <t>Auxiliar Monitoreo</t>
  </si>
  <si>
    <t>Oficial de Cumplimiento</t>
  </si>
  <si>
    <t>Tipo de Proceso2</t>
  </si>
  <si>
    <t>Asamblea de Accionistas</t>
  </si>
  <si>
    <t>Director de Operaciones</t>
  </si>
  <si>
    <t>¿Tiene Personas a Cargo?</t>
  </si>
  <si>
    <t>MISIÓN DEL CARGO</t>
  </si>
  <si>
    <t>RECURSOS Y CONTROLES DE SEGURIDAD FÍSICA Y DE SST NECESARIOS PARA LA LABOR</t>
  </si>
  <si>
    <t>Recursos de Seguridad Física</t>
  </si>
  <si>
    <t>Recursos de SST</t>
  </si>
  <si>
    <t>Internas</t>
  </si>
  <si>
    <t>Externas</t>
  </si>
  <si>
    <t>PRINCIPALES FUNCIONES Y RESPONSABILIDADES</t>
  </si>
  <si>
    <t>Responsabilidades Complementaria</t>
  </si>
  <si>
    <t>Indicadores de Cargo</t>
  </si>
  <si>
    <t>Autoridad para la Toma de Decisiones</t>
  </si>
  <si>
    <t>CONTACTO Y RELACIONES DE TRABAJO</t>
  </si>
  <si>
    <t>Contacto</t>
  </si>
  <si>
    <t>Propósito</t>
  </si>
  <si>
    <t>Tipo de Contacto</t>
  </si>
  <si>
    <t>Frecuencia de Contacto</t>
  </si>
  <si>
    <t>Clinete Interno</t>
  </si>
  <si>
    <t>Cliente Externo</t>
  </si>
  <si>
    <t>Disponibilidad para Viajar</t>
  </si>
  <si>
    <t>INFORMACIÓN DEL PERFIL Y REQUERIMIETOS DEL CARGO</t>
  </si>
  <si>
    <t>Formación Académica</t>
  </si>
  <si>
    <t>Experiencia</t>
  </si>
  <si>
    <t>Otros Conocimientos y Habilidades</t>
  </si>
  <si>
    <t>Requiere Licencia de Conducción</t>
  </si>
  <si>
    <t>Tipo de Licencia</t>
  </si>
  <si>
    <t>A1: motos de bajo cilindraje.</t>
  </si>
  <si>
    <t>A2: motos de alto cilindraje.</t>
  </si>
  <si>
    <t>B1: autos particulares.</t>
  </si>
  <si>
    <t>B2: camiones y buses de uso particular.</t>
  </si>
  <si>
    <t>B3: vehículos articulados particulares.</t>
  </si>
  <si>
    <t>C1: autos pequeños de servicio público.</t>
  </si>
  <si>
    <t>C2: autos grandes de servicio público.</t>
  </si>
  <si>
    <t>C3: vehículos articulados de servicio público</t>
  </si>
  <si>
    <t>NO APLICA</t>
  </si>
  <si>
    <t>Requiere Vhículo Propio</t>
  </si>
  <si>
    <t>Tipo de Vehículo</t>
  </si>
  <si>
    <t>AUTORIZACIÓN DE ACCESO A ÁREAS CRÍTICAS DE ACUERDO A LA LABOR</t>
  </si>
  <si>
    <t>REQUISITOS DE SEGURIDA PARA CARGOS CRÍTICOS</t>
  </si>
  <si>
    <t>Seguridad Física</t>
  </si>
  <si>
    <t>Requisitos de SST</t>
  </si>
  <si>
    <t>• No presentar resultado positivo en pruebas de consumo
• Concepto médico ocupacional favorable para la realización de la labor</t>
  </si>
  <si>
    <t>• No presentar ningún antecedente
• No presentar resultado positivo en pruebas de consumo
• Resultado satisfactorio en la prueba de confiabilidad.
• Concepto favorable en visitas domiciliarias.</t>
  </si>
  <si>
    <t>Requisitos de Seguridad Física</t>
  </si>
  <si>
    <t xml:space="preserve">DEFINICIÓN </t>
  </si>
  <si>
    <t xml:space="preserve">COMPORTAMIENTOS </t>
  </si>
  <si>
    <t>Trabajo en equipo</t>
  </si>
  <si>
    <t>Capacidad para construir relaciones de cooperación y confianza con las personas que interactúo para favorecer el logro de  los objetivos de la organización, buscando el beneficio común.</t>
  </si>
  <si>
    <t>Comunicación asertiva</t>
  </si>
  <si>
    <t>Capacidad para escuchar y expresarse de manera clara y oportuna basado en hechos concretos y verificados.</t>
  </si>
  <si>
    <t>Orientación al servicio</t>
  </si>
  <si>
    <t>Capacidad para identificar y comprender las necesidades y expectativas de nuestros clientes (internos y externos) con empatía.</t>
  </si>
  <si>
    <t>Orientación al cambio</t>
  </si>
  <si>
    <t>Capacidad para trabajar efectivamente en una variedad de situaciones, con diversos individuos o grupos, valorando las perspectivas diferentes para lograr un proceso de adaptación</t>
  </si>
  <si>
    <t>Liderazgo</t>
  </si>
  <si>
    <t>Capacidad de inspirar y movilizar a los equipos de trabajo</t>
  </si>
  <si>
    <t>Orientación al logro</t>
  </si>
  <si>
    <t>Personas competitivas, enfocadas al cumplimiento responsable de metas.</t>
  </si>
  <si>
    <t>Pensamiento y ejecución estratégica</t>
  </si>
  <si>
    <t>Perspectiva amplia del entorno, la cual facilita hacer proyecciones, determinando adecuadamente planes a largo plazo.</t>
  </si>
  <si>
    <t>Oportunidad ACPM</t>
  </si>
  <si>
    <t>Ejecuta el cierre oportuno de los planes de acción establecidos, logrando el cumplimiento de las actividades planteadas y subsanando las causas que dieron lugar a la misma.</t>
  </si>
  <si>
    <t>Participación</t>
  </si>
  <si>
    <t>Participa y promueve en su equipo el cumplimiento de las responsabilidades transversales que se desprenden de los sistemas de gestión</t>
  </si>
  <si>
    <t>Uso de recursos de seguridad física y de SST asignados al cargo</t>
  </si>
  <si>
    <t>Usa adecuadamente los recursos de seguridad física, como claves, llaves, botón de pánico, etc. Y de SST, como EPP, equipos de protección contra caídas, etc. que la empresa le entrega para el desarrollo de su labor</t>
  </si>
  <si>
    <t>Código de Ética, Conducta y Buen Gobierno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</si>
  <si>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</si>
  <si>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t>
  </si>
  <si>
    <t>Política de Conducta Empresarial Responsable (CER)</t>
  </si>
  <si>
    <t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t>
  </si>
  <si>
    <t>Columna1</t>
  </si>
  <si>
    <t>Columna2</t>
  </si>
  <si>
    <t>Columna3</t>
  </si>
  <si>
    <t>Columna4</t>
  </si>
  <si>
    <t>Columna5</t>
  </si>
  <si>
    <t>COMPETENCIA</t>
  </si>
  <si>
    <t>Definición</t>
  </si>
  <si>
    <t>Comportamiento</t>
  </si>
  <si>
    <t>Calificación Requerida</t>
  </si>
  <si>
    <t>COMPETENCIAS Y COMPORTAMIENTOS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</si>
  <si>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Trabaja en equipo en pro de objetivos colectivos derribando barreras funcionales, jerárquicas y entre áreas. 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Construye y mantiene relaciones interpersonales de confianza y respeto.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</si>
  <si>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Se expresa de manera directa, sincera y asertiva.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Demuestra coherencia entre lo que dice y hace. Es propositivo y no reactivo.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</si>
  <si>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Muestra respeto, interés y disposición en comprender las necesidades de clientes, y usuarios; es amable y paciente.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Resuelve, atiende con agilidad y oportunidad, busca soluciones de raíz.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</si>
  <si>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Demuestra una actitud positiva al cambio y rompe paradigmas, aceptando nuevas y diferentes opiniones o puntos de vista para lograr mejores prácticas.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Adquiere nuevos conocimientos y desarrolla nuevas habilidades. Comparte su conocimiento, en beneficio de la generación de valor.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</si>
  <si>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Coordina y organiza eficazmente su equipo, propiciando un adecuado ambiente de trabajo, orientando y dirigiendo a los demás para motivarlos e inducirlos a que se llegue a las metas y objetivos planteados.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Promueve ambientes participativos permitiendo que su equipo aporte sus propias ideas y sugerencias.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</si>
  <si>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Alinea su quehacer diario enfocándolo al plan estratégico de la empresa. Es resolutivo.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Produce resultados y cumple compromisos - alcanza los objetivos y supera las metas.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</si>
  <si>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Logra fijar un objetivo, analiza los medios que tiene para alcanzarlo y los organiza para lograr el fin.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Genera planes de acción en pro del cumplimiento de los objetivos.</t>
    </r>
  </si>
  <si>
    <t>No Aplica</t>
  </si>
  <si>
    <t>FO-GH-09</t>
  </si>
  <si>
    <t>FECHA DE IMPLEMENTACIÓN</t>
  </si>
  <si>
    <t>FECHA DE ACTUALIZACIÓN</t>
  </si>
  <si>
    <t>VERSIÓN</t>
  </si>
  <si>
    <t>PÁGINA</t>
  </si>
  <si>
    <t>CÓDIGO</t>
  </si>
  <si>
    <t>1 de 1</t>
  </si>
  <si>
    <t xml:space="preserve">Especifique las competencias y comportamientos requeridos para el puesto y el nivel requerido de acuerdo al mismo. </t>
  </si>
  <si>
    <t>PERFIL DEL CARGO</t>
  </si>
  <si>
    <t>SI</t>
  </si>
  <si>
    <t>Administrar y planificar el proceso Contable y Financiero de la empresa, controlando y verificando todos los registros, al igual que realizar la clasificación y administración de todos los movimientos contables, a fin de garantizar que los estados financieros sean confiables y oportunos.</t>
  </si>
  <si>
    <t>El Documento Anexo roles y Responsabilidades transversales, hace parte constitutiva de este documento.</t>
  </si>
  <si>
    <t>Los Indicadores para medición del Perfil de Cargo son los definidos cada año en la evaluación de desempeño.</t>
  </si>
  <si>
    <t>5 años de experiencia.</t>
  </si>
  <si>
    <t>No Requiere</t>
  </si>
  <si>
    <t>Interno</t>
  </si>
  <si>
    <t>Diario</t>
  </si>
  <si>
    <t xml:space="preserve">Externo </t>
  </si>
  <si>
    <t>Periodico</t>
  </si>
  <si>
    <t>• Responsable del balance de la Zona Franca Internacional de Pereira S.A.S - Usuario Operador de Zonas  Francas.
• Responsable del arqueo de caja menor.
• Mantener actualizada la información financiera de la sociedad y el cumplimiento de las obligaciones tributarias de la misma.
• Preparar, revisar, analizar, certificar y presentar informes de estados financieros.
• Preparación y presentación de impuestos de retención en la fuente, IVA, industria y comercio, renta, medios magnéticos y Supersociedades.
• Renovación de cámara de comercio.
• Actualización de libros oficiales.
• Responsable del control de la documentación contable (Revisión de comprobantes,    notas contables, cuentas por pagar, préstamo, conciliaciones e impuestos)
• Responsable de los informes contables para: Jefes, asamblea, comité asesor e informe 446 del código de comercio.
• Realizar control, monitoreo y seguimiento a los indicadores de gestión del proceso.
• Documentar los procesos bajo las normas que se implementen en la compañía.
• Verificar la implementación de las acciones preventivas y correctivas de acuerdo con los resultados de las auditorías internas y externas.
•  Acompañar la elaboración del presupuesto anual de la empresa y hacer seguimiento a la ejecución del mismo.
• Revisar los roles de pagos mensuales del personal.
• Monitoreo al presupuesto y a los centros de costos de cada proceso.
• Velar por la adecuada ejecución presupuestal al igual que por el cumplimiento de los requisitos legales vigentes que apliquen a la compañía.
• Liderar el comité de cartera de la compañía y monitorear sus funciones.
• Diseñar y poner a consideración de los interesados correspondientes los presupuestos de política, normas y esquemas para el manejo contable y presupuestal de la Zona Franca Internacional de Pereira.
• Realizar seguimiento general a la ejecución presupuestal, analizar su   comportamiento y presentar observaciones y recomendaciones.
• Realizar revisión de nómina y seguridad social de acuerdo a las fechas establecidas en el cronograma.
• Revisión cartillas de calificación a nuevos usuarios.
• Elaboración de certificados de ingresos y retenciones.
• Revisión y seguimiento al procedimiento de activos fijos.</t>
  </si>
  <si>
    <t>Tiene autoridad para el control y administración de las operaciones financieras que se realicen desde y hacia la Zona Franca Internacional de Pereira.
Toda decisión que impacte los procesos  o el presupuesto del área, debe ser consultada con el Jefe inmediato.</t>
  </si>
  <si>
    <t>Profesional Universitario en Contaduría. 
*Preferiblemente con Post-Grado.</t>
  </si>
  <si>
    <t xml:space="preserve">• Excel intermedio.
• Conocimiento en Finanzas. </t>
  </si>
  <si>
    <t xml:space="preserve">Para coordinar las labores al interior del proceso con las demás áreas de la empresa. 
Para gestión de recursos económicos y entrega de información que garantice el funcionamiento de cada uno de los proceso.
Para planeación financiera bajo la directriz de gerencia. </t>
  </si>
  <si>
    <t>Cumplimiento de requisitos de ley y atención de requerimientos.
Para solicitud y envío de información a los clientes y proveedores.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</si>
</sst>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ira Sans"/>
    </font>
    <font>
      <b/>
      <sz val="10"/>
      <color theme="1"/>
      <name val="Fira Sans"/>
    </font>
    <font>
      <sz val="11"/>
      <name val="Calibri"/>
      <family val="2"/>
    </font>
    <font>
      <b/>
      <sz val="10"/>
      <color theme="0"/>
      <name val="Fira Sans"/>
    </font>
    <font>
      <sz val="10"/>
      <color theme="0"/>
      <name val="Fira Sans"/>
    </font>
    <font>
      <sz val="10"/>
      <color rgb="FF000000"/>
      <name val="Fira Sans"/>
    </font>
    <font>
      <b/>
      <sz val="10"/>
      <name val="Fira Sans"/>
    </font>
    <font>
      <sz val="10"/>
      <name val="Fira Sans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u/>
      <sz val="10"/>
      <color theme="1"/>
      <name val="Fira Sans"/>
    </font>
    <font>
      <u/>
      <sz val="10"/>
      <name val="Fira Sans"/>
    </font>
    <font>
      <sz val="8"/>
      <color rgb="FF000000"/>
      <name val="Tahoma"/>
      <family val="2"/>
    </font>
    <font>
      <sz val="10"/>
      <color rgb="FF202124"/>
      <name val="Arial"/>
      <family val="2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color rgb="FF20212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1EA5AE"/>
        <bgColor rgb="FF1EA5AE"/>
      </patternFill>
    </fill>
    <fill>
      <patternFill patternType="solid">
        <fgColor rgb="FFFF355E"/>
        <bgColor rgb="FFFF355E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 applyFont="1" applyAlignment="1"/>
    <xf numFmtId="0" fontId="4" fillId="0" borderId="0" xfId="0" applyFont="1"/>
    <xf numFmtId="0" fontId="4" fillId="0" borderId="0" xfId="0" applyFont="1"/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/>
    <xf numFmtId="0" fontId="4" fillId="4" borderId="6" xfId="0" applyFont="1" applyFill="1" applyBorder="1"/>
    <xf numFmtId="0" fontId="0" fillId="0" borderId="4" xfId="0" applyFont="1" applyBorder="1" applyAlignment="1"/>
    <xf numFmtId="0" fontId="4" fillId="0" borderId="4" xfId="0" applyFont="1" applyBorder="1"/>
    <xf numFmtId="0" fontId="6" fillId="0" borderId="4" xfId="0" applyFont="1" applyBorder="1" applyAlignment="1"/>
    <xf numFmtId="0" fontId="8" fillId="2" borderId="8" xfId="0" applyFont="1" applyFill="1" applyBorder="1" applyAlignment="1">
      <alignment horizontal="center" vertical="center" wrapText="1"/>
    </xf>
    <xf numFmtId="0" fontId="13" fillId="0" borderId="7" xfId="0" applyFont="1" applyBorder="1" applyAlignment="1" applyProtection="1">
      <alignment horizontal="center" vertical="center" wrapText="1"/>
      <protection hidden="1"/>
    </xf>
    <xf numFmtId="0" fontId="13" fillId="0" borderId="9" xfId="0" applyFont="1" applyBorder="1" applyAlignment="1" applyProtection="1">
      <alignment horizontal="center" vertical="center" wrapText="1"/>
      <protection hidden="1"/>
    </xf>
    <xf numFmtId="0" fontId="13" fillId="0" borderId="8" xfId="0" applyFont="1" applyBorder="1" applyAlignment="1" applyProtection="1">
      <alignment horizontal="center" vertical="center" wrapText="1"/>
      <protection hidden="1"/>
    </xf>
    <xf numFmtId="0" fontId="12" fillId="7" borderId="12" xfId="0" applyFont="1" applyFill="1" applyBorder="1" applyAlignment="1" applyProtection="1">
      <alignment horizontal="center" vertical="center" wrapText="1"/>
      <protection hidden="1"/>
    </xf>
    <xf numFmtId="0" fontId="12" fillId="7" borderId="13" xfId="0" applyFont="1" applyFill="1" applyBorder="1" applyAlignment="1" applyProtection="1">
      <alignment horizontal="center" vertical="center" wrapText="1"/>
      <protection hidden="1"/>
    </xf>
    <xf numFmtId="0" fontId="12" fillId="7" borderId="14" xfId="0" applyFont="1" applyFill="1" applyBorder="1" applyAlignment="1" applyProtection="1">
      <alignment horizontal="center" vertical="center" wrapText="1"/>
      <protection hidden="1"/>
    </xf>
    <xf numFmtId="0" fontId="13" fillId="0" borderId="15" xfId="0" applyFont="1" applyBorder="1" applyAlignment="1" applyProtection="1">
      <alignment horizontal="center" vertical="center" wrapText="1"/>
      <protection hidden="1"/>
    </xf>
    <xf numFmtId="0" fontId="13" fillId="0" borderId="16" xfId="0" applyFont="1" applyBorder="1" applyAlignment="1" applyProtection="1">
      <alignment horizontal="center" vertical="center" wrapText="1"/>
      <protection hidden="1"/>
    </xf>
    <xf numFmtId="0" fontId="13" fillId="0" borderId="17" xfId="0" applyFont="1" applyBorder="1" applyAlignment="1" applyProtection="1">
      <alignment horizontal="center" vertical="center" wrapText="1"/>
      <protection hidden="1"/>
    </xf>
    <xf numFmtId="49" fontId="11" fillId="0" borderId="18" xfId="0" applyNumberFormat="1" applyFont="1" applyFill="1" applyBorder="1" applyAlignment="1">
      <alignment vertical="center"/>
    </xf>
    <xf numFmtId="49" fontId="11" fillId="0" borderId="15" xfId="0" applyNumberFormat="1" applyFont="1" applyFill="1" applyBorder="1" applyAlignment="1">
      <alignment vertical="center"/>
    </xf>
    <xf numFmtId="0" fontId="0" fillId="0" borderId="4" xfId="0" applyFont="1" applyBorder="1" applyAlignment="1">
      <alignment vertical="center"/>
    </xf>
    <xf numFmtId="0" fontId="8" fillId="0" borderId="4" xfId="0" applyFont="1" applyFill="1" applyBorder="1" applyAlignment="1">
      <alignment vertical="center" wrapText="1"/>
    </xf>
    <xf numFmtId="0" fontId="0" fillId="0" borderId="8" xfId="0" applyFont="1" applyBorder="1" applyAlignment="1">
      <alignment horizontal="center" vertical="center" wrapText="1"/>
    </xf>
    <xf numFmtId="0" fontId="17" fillId="0" borderId="0" xfId="0" applyFont="1" applyAlignment="1"/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 wrapText="1"/>
    </xf>
    <xf numFmtId="0" fontId="19" fillId="0" borderId="0" xfId="0" applyFont="1" applyAlignment="1">
      <alignment horizontal="justify" vertical="center"/>
    </xf>
    <xf numFmtId="0" fontId="18" fillId="0" borderId="0" xfId="0" applyFont="1" applyAlignment="1"/>
    <xf numFmtId="0" fontId="20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0" fillId="0" borderId="7" xfId="0" applyFont="1" applyBorder="1" applyAlignment="1">
      <alignment horizontal="justify" vertical="center" wrapText="1"/>
    </xf>
    <xf numFmtId="0" fontId="2" fillId="0" borderId="0" xfId="0" applyFont="1" applyAlignment="1"/>
    <xf numFmtId="0" fontId="0" fillId="0" borderId="7" xfId="0" applyFont="1" applyBorder="1" applyAlignment="1">
      <alignment horizontal="justify" wrapText="1"/>
    </xf>
    <xf numFmtId="0" fontId="2" fillId="0" borderId="7" xfId="0" applyFont="1" applyBorder="1" applyAlignment="1">
      <alignment horizontal="justify" vertical="center" wrapText="1"/>
    </xf>
    <xf numFmtId="0" fontId="6" fillId="0" borderId="5" xfId="0" applyFont="1" applyBorder="1" applyAlignment="1"/>
    <xf numFmtId="0" fontId="4" fillId="4" borderId="4" xfId="0" applyFont="1" applyFill="1" applyBorder="1"/>
    <xf numFmtId="0" fontId="23" fillId="0" borderId="7" xfId="0" applyFont="1" applyBorder="1" applyAlignment="1">
      <alignment horizontal="justify" wrapText="1"/>
    </xf>
    <xf numFmtId="0" fontId="21" fillId="0" borderId="7" xfId="0" applyFont="1" applyBorder="1" applyAlignment="1">
      <alignment horizontal="justify" wrapText="1"/>
    </xf>
    <xf numFmtId="0" fontId="2" fillId="0" borderId="16" xfId="0" applyFont="1" applyBorder="1" applyAlignment="1">
      <alignment vertical="center" wrapText="1"/>
    </xf>
    <xf numFmtId="0" fontId="0" fillId="0" borderId="16" xfId="0" applyFont="1" applyBorder="1" applyAlignment="1">
      <alignment horizontal="justify" vertical="center" wrapText="1"/>
    </xf>
    <xf numFmtId="0" fontId="2" fillId="0" borderId="16" xfId="0" applyFont="1" applyBorder="1" applyAlignment="1">
      <alignment horizontal="justify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14" fontId="6" fillId="0" borderId="8" xfId="0" applyNumberFormat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justify" vertical="center" wrapText="1"/>
    </xf>
    <xf numFmtId="0" fontId="11" fillId="0" borderId="18" xfId="0" applyFont="1" applyBorder="1" applyAlignment="1">
      <alignment horizontal="justify" vertical="center" wrapText="1"/>
    </xf>
    <xf numFmtId="0" fontId="11" fillId="0" borderId="15" xfId="0" applyFont="1" applyBorder="1" applyAlignment="1">
      <alignment horizontal="justify" vertical="center" wrapText="1"/>
    </xf>
    <xf numFmtId="0" fontId="11" fillId="0" borderId="14" xfId="0" applyFont="1" applyBorder="1" applyAlignment="1">
      <alignment horizontal="justify" vertical="center" wrapText="1"/>
    </xf>
    <xf numFmtId="0" fontId="11" fillId="0" borderId="25" xfId="0" applyFont="1" applyBorder="1" applyAlignment="1">
      <alignment horizontal="justify" vertical="center" wrapText="1"/>
    </xf>
    <xf numFmtId="0" fontId="11" fillId="0" borderId="12" xfId="0" applyFont="1" applyBorder="1" applyAlignment="1">
      <alignment horizontal="justify" vertical="center" wrapText="1"/>
    </xf>
    <xf numFmtId="0" fontId="4" fillId="0" borderId="31" xfId="0" applyFont="1" applyBorder="1" applyAlignment="1">
      <alignment horizontal="justify" vertical="center" wrapText="1"/>
    </xf>
    <xf numFmtId="0" fontId="4" fillId="0" borderId="6" xfId="0" applyFont="1" applyBorder="1" applyAlignment="1">
      <alignment horizontal="justify" vertical="center" wrapText="1"/>
    </xf>
    <xf numFmtId="0" fontId="4" fillId="0" borderId="26" xfId="0" applyFont="1" applyBorder="1" applyAlignment="1">
      <alignment horizontal="justify" vertical="center" wrapText="1"/>
    </xf>
    <xf numFmtId="0" fontId="4" fillId="0" borderId="32" xfId="0" applyFont="1" applyBorder="1" applyAlignment="1">
      <alignment horizontal="justify" vertical="center" wrapText="1"/>
    </xf>
    <xf numFmtId="0" fontId="4" fillId="0" borderId="20" xfId="0" applyFont="1" applyBorder="1" applyAlignment="1">
      <alignment horizontal="justify" vertical="center" wrapText="1"/>
    </xf>
    <xf numFmtId="0" fontId="4" fillId="0" borderId="22" xfId="0" applyFont="1" applyBorder="1" applyAlignment="1">
      <alignment horizontal="justify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justify" vertical="center" wrapText="1"/>
    </xf>
    <xf numFmtId="0" fontId="4" fillId="0" borderId="4" xfId="0" applyFont="1" applyBorder="1" applyAlignment="1">
      <alignment horizontal="justify" vertical="center" wrapText="1"/>
    </xf>
    <xf numFmtId="0" fontId="4" fillId="0" borderId="28" xfId="0" applyFont="1" applyBorder="1" applyAlignment="1">
      <alignment horizontal="justify" vertical="center" wrapText="1"/>
    </xf>
    <xf numFmtId="0" fontId="4" fillId="0" borderId="7" xfId="0" applyFont="1" applyBorder="1" applyAlignment="1">
      <alignment horizontal="justify" vertical="center" wrapText="1"/>
    </xf>
    <xf numFmtId="0" fontId="7" fillId="0" borderId="6" xfId="0" applyFont="1" applyFill="1" applyBorder="1" applyAlignment="1">
      <alignment horizontal="center" vertical="center"/>
    </xf>
    <xf numFmtId="0" fontId="7" fillId="0" borderId="2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5" fillId="5" borderId="7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49" fontId="11" fillId="0" borderId="4" xfId="0" applyNumberFormat="1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/>
    </xf>
    <xf numFmtId="0" fontId="4" fillId="0" borderId="13" xfId="0" applyFont="1" applyBorder="1" applyAlignment="1">
      <alignment horizontal="justify" vertical="center" wrapText="1"/>
    </xf>
    <xf numFmtId="0" fontId="11" fillId="0" borderId="13" xfId="0" applyFont="1" applyBorder="1" applyAlignment="1">
      <alignment horizontal="justify" vertical="center" wrapText="1"/>
    </xf>
    <xf numFmtId="0" fontId="7" fillId="2" borderId="7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14" fillId="0" borderId="13" xfId="0" applyFont="1" applyBorder="1" applyAlignment="1">
      <alignment horizontal="justify" vertical="center" wrapText="1"/>
    </xf>
    <xf numFmtId="0" fontId="15" fillId="0" borderId="13" xfId="0" applyFont="1" applyBorder="1" applyAlignment="1">
      <alignment horizontal="justify" vertical="center" wrapText="1"/>
    </xf>
    <xf numFmtId="0" fontId="4" fillId="0" borderId="7" xfId="0" applyFont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 wrapText="1"/>
    </xf>
    <xf numFmtId="0" fontId="8" fillId="2" borderId="16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0" fillId="0" borderId="7" xfId="0" applyFont="1" applyBorder="1" applyAlignment="1">
      <alignment horizontal="justify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/>
    </xf>
    <xf numFmtId="0" fontId="4" fillId="0" borderId="17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/>
    </xf>
    <xf numFmtId="0" fontId="8" fillId="2" borderId="8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49" fontId="11" fillId="0" borderId="7" xfId="0" applyNumberFormat="1" applyFont="1" applyFill="1" applyBorder="1" applyAlignment="1">
      <alignment horizontal="justify" vertical="center" wrapText="1"/>
    </xf>
    <xf numFmtId="0" fontId="10" fillId="0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 wrapText="1"/>
    </xf>
    <xf numFmtId="14" fontId="4" fillId="0" borderId="7" xfId="0" applyNumberFormat="1" applyFont="1" applyBorder="1" applyAlignment="1">
      <alignment horizontal="center" vertical="center" wrapText="1"/>
    </xf>
    <xf numFmtId="0" fontId="8" fillId="2" borderId="8" xfId="0" applyFont="1" applyFill="1" applyBorder="1" applyAlignment="1">
      <alignment horizontal="left" vertical="center" wrapText="1"/>
    </xf>
    <xf numFmtId="0" fontId="8" fillId="2" borderId="10" xfId="0" applyFont="1" applyFill="1" applyBorder="1" applyAlignment="1">
      <alignment horizontal="left" vertical="center" wrapText="1"/>
    </xf>
    <xf numFmtId="0" fontId="8" fillId="2" borderId="11" xfId="0" applyFont="1" applyFill="1" applyBorder="1" applyAlignment="1">
      <alignment horizontal="left" vertical="center" wrapText="1"/>
    </xf>
    <xf numFmtId="0" fontId="10" fillId="0" borderId="7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6" fillId="0" borderId="5" xfId="0" applyFont="1" applyBorder="1"/>
    <xf numFmtId="0" fontId="6" fillId="0" borderId="3" xfId="0" applyFont="1" applyBorder="1"/>
    <xf numFmtId="0" fontId="4" fillId="0" borderId="2" xfId="0" applyFont="1" applyBorder="1" applyAlignment="1">
      <alignment horizontal="center"/>
    </xf>
    <xf numFmtId="0" fontId="21" fillId="0" borderId="8" xfId="0" applyFont="1" applyBorder="1" applyAlignment="1">
      <alignment horizontal="center" vertical="center" wrapText="1"/>
    </xf>
    <xf numFmtId="0" fontId="21" fillId="0" borderId="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22" fillId="0" borderId="10" xfId="0" applyFont="1" applyBorder="1"/>
    <xf numFmtId="0" fontId="22" fillId="0" borderId="9" xfId="0" applyFont="1" applyBorder="1"/>
    <xf numFmtId="0" fontId="7" fillId="3" borderId="21" xfId="0" applyFont="1" applyFill="1" applyBorder="1" applyAlignment="1">
      <alignment horizontal="center" vertical="center"/>
    </xf>
    <xf numFmtId="0" fontId="6" fillId="0" borderId="20" xfId="0" applyFont="1" applyBorder="1"/>
    <xf numFmtId="0" fontId="6" fillId="0" borderId="22" xfId="0" applyFont="1" applyBorder="1"/>
    <xf numFmtId="0" fontId="8" fillId="0" borderId="13" xfId="0" applyFont="1" applyBorder="1" applyAlignment="1">
      <alignment horizontal="justify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4" fillId="0" borderId="34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28575</xdr:rowOff>
        </xdr:from>
        <xdr:to>
          <xdr:col>3</xdr:col>
          <xdr:colOff>2899</xdr:colOff>
          <xdr:row>51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Botón de Pánico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28575</xdr:rowOff>
        </xdr:from>
        <xdr:to>
          <xdr:col>3</xdr:col>
          <xdr:colOff>2899</xdr:colOff>
          <xdr:row>52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clave de alarma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28575</xdr:rowOff>
        </xdr:from>
        <xdr:to>
          <xdr:col>3</xdr:col>
          <xdr:colOff>2899</xdr:colOff>
          <xdr:row>53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llaves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28575</xdr:rowOff>
        </xdr:from>
        <xdr:to>
          <xdr:col>3</xdr:col>
          <xdr:colOff>2899</xdr:colOff>
          <xdr:row>54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Huella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28575</xdr:rowOff>
        </xdr:from>
        <xdr:to>
          <xdr:col>3</xdr:col>
          <xdr:colOff>2899</xdr:colOff>
          <xdr:row>55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Clave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28575</xdr:rowOff>
        </xdr:from>
        <xdr:to>
          <xdr:col>3</xdr:col>
          <xdr:colOff>2899</xdr:colOff>
          <xdr:row>56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cámaras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28575</xdr:rowOff>
        </xdr:from>
        <xdr:to>
          <xdr:col>3</xdr:col>
          <xdr:colOff>2899</xdr:colOff>
          <xdr:row>57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Radio de telecomunicaciones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28575</xdr:rowOff>
        </xdr:from>
        <xdr:to>
          <xdr:col>3</xdr:col>
          <xdr:colOff>2899</xdr:colOff>
          <xdr:row>58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Celular corporativo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28575</xdr:rowOff>
        </xdr:from>
        <xdr:to>
          <xdr:col>3</xdr:col>
          <xdr:colOff>2899</xdr:colOff>
          <xdr:row>59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50</xdr:row>
          <xdr:rowOff>19050</xdr:rowOff>
        </xdr:from>
        <xdr:to>
          <xdr:col>8</xdr:col>
          <xdr:colOff>314325</xdr:colOff>
          <xdr:row>50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51</xdr:row>
          <xdr:rowOff>28575</xdr:rowOff>
        </xdr:from>
        <xdr:to>
          <xdr:col>8</xdr:col>
          <xdr:colOff>314325</xdr:colOff>
          <xdr:row>52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Gafas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52</xdr:row>
          <xdr:rowOff>28575</xdr:rowOff>
        </xdr:from>
        <xdr:to>
          <xdr:col>8</xdr:col>
          <xdr:colOff>314325</xdr:colOff>
          <xdr:row>53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Guantes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53</xdr:row>
          <xdr:rowOff>28575</xdr:rowOff>
        </xdr:from>
        <xdr:to>
          <xdr:col>8</xdr:col>
          <xdr:colOff>314325</xdr:colOff>
          <xdr:row>54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auditiva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54</xdr:row>
          <xdr:rowOff>28575</xdr:rowOff>
        </xdr:from>
        <xdr:to>
          <xdr:col>8</xdr:col>
          <xdr:colOff>314325</xdr:colOff>
          <xdr:row>55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respiratoria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55</xdr:row>
          <xdr:rowOff>28575</xdr:rowOff>
        </xdr:from>
        <xdr:to>
          <xdr:col>8</xdr:col>
          <xdr:colOff>314325</xdr:colOff>
          <xdr:row>56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contra caídas (EPCC)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56</xdr:row>
          <xdr:rowOff>28575</xdr:rowOff>
        </xdr:from>
        <xdr:to>
          <xdr:col>8</xdr:col>
          <xdr:colOff>314325</xdr:colOff>
          <xdr:row>57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guadañador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57</xdr:row>
          <xdr:rowOff>28575</xdr:rowOff>
        </xdr:from>
        <xdr:to>
          <xdr:col>8</xdr:col>
          <xdr:colOff>314325</xdr:colOff>
          <xdr:row>58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EPP ergonómico oficina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58</xdr:row>
          <xdr:rowOff>28575</xdr:rowOff>
        </xdr:from>
        <xdr:to>
          <xdr:col>8</xdr:col>
          <xdr:colOff>314325</xdr:colOff>
          <xdr:row>59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59</xdr:row>
          <xdr:rowOff>28575</xdr:rowOff>
        </xdr:from>
        <xdr:to>
          <xdr:col>8</xdr:col>
          <xdr:colOff>314325</xdr:colOff>
          <xdr:row>60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28575</xdr:rowOff>
        </xdr:from>
        <xdr:to>
          <xdr:col>3</xdr:col>
          <xdr:colOff>2899</xdr:colOff>
          <xdr:row>60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 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66</xdr:row>
          <xdr:rowOff>28575</xdr:rowOff>
        </xdr:from>
        <xdr:to>
          <xdr:col>3</xdr:col>
          <xdr:colOff>2899</xdr:colOff>
          <xdr:row>66</xdr:row>
          <xdr:rowOff>161925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Centro de Monitoreo del CCTV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67</xdr:row>
          <xdr:rowOff>28575</xdr:rowOff>
        </xdr:from>
        <xdr:to>
          <xdr:col>3</xdr:col>
          <xdr:colOff>2899</xdr:colOff>
          <xdr:row>67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Archivo de la Compañía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68</xdr:row>
          <xdr:rowOff>28575</xdr:rowOff>
        </xdr:from>
        <xdr:to>
          <xdr:col>3</xdr:col>
          <xdr:colOff>2899</xdr:colOff>
          <xdr:row>68</xdr:row>
          <xdr:rowOff>161925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Área de Operaciones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69</xdr:row>
          <xdr:rowOff>28575</xdr:rowOff>
        </xdr:from>
        <xdr:to>
          <xdr:col>3</xdr:col>
          <xdr:colOff>2899</xdr:colOff>
          <xdr:row>69</xdr:row>
          <xdr:rowOff>161925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Rack de Sistemas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70</xdr:row>
          <xdr:rowOff>28575</xdr:rowOff>
        </xdr:from>
        <xdr:to>
          <xdr:col>3</xdr:col>
          <xdr:colOff>2899</xdr:colOff>
          <xdr:row>70</xdr:row>
          <xdr:rowOff>161925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Gerencia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71</xdr:row>
          <xdr:rowOff>28575</xdr:rowOff>
        </xdr:from>
        <xdr:to>
          <xdr:col>3</xdr:col>
          <xdr:colOff>2899</xdr:colOff>
          <xdr:row>71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Administración 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72</xdr:row>
          <xdr:rowOff>28575</xdr:rowOff>
        </xdr:from>
        <xdr:to>
          <xdr:col>3</xdr:col>
          <xdr:colOff>2899</xdr:colOff>
          <xdr:row>72</xdr:row>
          <xdr:rowOff>161925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Contabilidad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66</xdr:row>
          <xdr:rowOff>19050</xdr:rowOff>
        </xdr:from>
        <xdr:to>
          <xdr:col>8</xdr:col>
          <xdr:colOff>514350</xdr:colOff>
          <xdr:row>66</xdr:row>
          <xdr:rowOff>161925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Perímetro Caimalito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67</xdr:row>
          <xdr:rowOff>28575</xdr:rowOff>
        </xdr:from>
        <xdr:to>
          <xdr:col>8</xdr:col>
          <xdr:colOff>514350</xdr:colOff>
          <xdr:row>67</xdr:row>
          <xdr:rowOff>171450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Conexión Etapa I y II – Quebrada la Leticia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68</xdr:row>
          <xdr:rowOff>28575</xdr:rowOff>
        </xdr:from>
        <xdr:to>
          <xdr:col>8</xdr:col>
          <xdr:colOff>314325</xdr:colOff>
          <xdr:row>68</xdr:row>
          <xdr:rowOff>161925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Porterías de Acceso y Salida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19050</xdr:rowOff>
    </xdr:from>
    <xdr:to>
      <xdr:col>1</xdr:col>
      <xdr:colOff>619125</xdr:colOff>
      <xdr:row>0</xdr:row>
      <xdr:rowOff>552450</xdr:rowOff>
    </xdr:to>
    <xdr:pic>
      <xdr:nvPicPr>
        <xdr:cNvPr id="32" name="31 Imagen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9050"/>
          <a:ext cx="1181100" cy="533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2:I28" totalsRowShown="0" headerRowDxfId="7" headerRowBorderDxfId="6" tableBorderDxfId="5" totalsRowBorderDxfId="4">
  <autoFilter ref="A2:I28"/>
  <tableColumns count="9">
    <tableColumn id="1" name="CARGO" dataDxfId="3"/>
    <tableColumn id="2" name="Proceso" dataDxfId="2"/>
    <tableColumn id="3" name="Tipo de Proceso" dataDxfId="1"/>
    <tableColumn id="4" name="Tipo de Proceso2" dataDxfId="0"/>
    <tableColumn id="6" name="Columna1"/>
    <tableColumn id="7" name="Columna2"/>
    <tableColumn id="10" name="Columna3"/>
    <tableColumn id="5" name="Columna4"/>
    <tableColumn id="8" name="Columna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999"/>
  <sheetViews>
    <sheetView tabSelected="1" view="pageBreakPreview" topLeftCell="A52" zoomScaleNormal="100" zoomScaleSheetLayoutView="100" workbookViewId="0">
      <selection activeCell="A103" sqref="A103:C104"/>
    </sheetView>
  </sheetViews>
  <sheetFormatPr baseColWidth="10" defaultColWidth="14.42578125" defaultRowHeight="15" customHeight="1"/>
  <cols>
    <col min="1" max="1" width="9.7109375" customWidth="1"/>
    <col min="2" max="2" width="10.7109375" customWidth="1"/>
    <col min="3" max="3" width="9.85546875" customWidth="1"/>
    <col min="4" max="4" width="11.5703125" customWidth="1"/>
    <col min="5" max="5" width="11.28515625" customWidth="1"/>
    <col min="6" max="6" width="10.85546875" customWidth="1"/>
    <col min="7" max="7" width="8.7109375" customWidth="1"/>
    <col min="8" max="8" width="16.85546875" customWidth="1"/>
    <col min="9" max="9" width="15.28515625" customWidth="1"/>
    <col min="10" max="10" width="12.5703125" customWidth="1"/>
    <col min="11" max="11" width="10.140625" customWidth="1"/>
    <col min="12" max="12" width="9.42578125" customWidth="1"/>
    <col min="13" max="24" width="8.7109375" customWidth="1"/>
  </cols>
  <sheetData>
    <row r="1" spans="1:24" ht="47.45" customHeight="1">
      <c r="A1" s="119" t="s">
        <v>150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>
      <c r="A2" s="130" t="s">
        <v>147</v>
      </c>
      <c r="B2" s="131"/>
      <c r="C2" s="134" t="s">
        <v>143</v>
      </c>
      <c r="D2" s="135"/>
      <c r="E2" s="136"/>
      <c r="F2" s="134" t="s">
        <v>144</v>
      </c>
      <c r="G2" s="135"/>
      <c r="H2" s="136"/>
      <c r="I2" s="134" t="s">
        <v>145</v>
      </c>
      <c r="J2" s="136"/>
      <c r="K2" s="134" t="s">
        <v>146</v>
      </c>
      <c r="L2" s="136"/>
      <c r="M2" s="7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25" customHeight="1">
      <c r="A3" s="132" t="s">
        <v>142</v>
      </c>
      <c r="B3" s="133"/>
      <c r="C3" s="44">
        <v>43265</v>
      </c>
      <c r="D3" s="45"/>
      <c r="E3" s="43"/>
      <c r="F3" s="44">
        <v>44979</v>
      </c>
      <c r="G3" s="45"/>
      <c r="H3" s="43"/>
      <c r="I3" s="42">
        <v>3</v>
      </c>
      <c r="J3" s="43"/>
      <c r="K3" s="42" t="s">
        <v>148</v>
      </c>
      <c r="L3" s="43"/>
      <c r="M3" s="7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4.1500000000000004" customHeight="1">
      <c r="E4" s="6"/>
      <c r="F4" s="6"/>
      <c r="G4" s="6"/>
      <c r="H4" s="6"/>
      <c r="I4" s="6"/>
      <c r="J4" s="6"/>
      <c r="K4" s="6"/>
      <c r="L4" s="6"/>
      <c r="M4" s="7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4.25" customHeight="1">
      <c r="A5" s="120" t="s">
        <v>3</v>
      </c>
      <c r="B5" s="120"/>
      <c r="C5" s="121">
        <v>45133</v>
      </c>
      <c r="D5" s="121"/>
      <c r="E5" s="121"/>
      <c r="F5" s="121"/>
      <c r="G5" s="121"/>
      <c r="H5" s="121"/>
      <c r="I5" s="121"/>
      <c r="J5" s="121"/>
      <c r="K5" s="121"/>
      <c r="L5" s="121"/>
      <c r="M5" s="7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4.1500000000000004" customHeight="1">
      <c r="A6" s="8"/>
      <c r="B6" s="6"/>
      <c r="C6" s="8"/>
      <c r="D6" s="7"/>
      <c r="E6" s="7"/>
      <c r="F6" s="7"/>
      <c r="G6" s="7"/>
      <c r="H6" s="7"/>
      <c r="I6" s="7"/>
      <c r="J6" s="7"/>
      <c r="K6" s="7"/>
      <c r="L6" s="7"/>
      <c r="M6" s="7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4.25" customHeight="1">
      <c r="A7" s="92" t="s">
        <v>4</v>
      </c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7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4.25" customHeight="1">
      <c r="A8" s="122" t="s">
        <v>6</v>
      </c>
      <c r="B8" s="123"/>
      <c r="C8" s="124"/>
      <c r="D8" s="126" t="s">
        <v>34</v>
      </c>
      <c r="E8" s="127"/>
      <c r="F8" s="127"/>
      <c r="G8" s="127"/>
      <c r="H8" s="127"/>
      <c r="I8" s="127"/>
      <c r="J8" s="127"/>
      <c r="K8" s="127"/>
      <c r="L8" s="128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4.25" customHeight="1">
      <c r="A9" s="122" t="s">
        <v>7</v>
      </c>
      <c r="B9" s="123"/>
      <c r="C9" s="124"/>
      <c r="D9" s="129" t="str">
        <f>VLOOKUP($D$8,LISTAS!$A$2:$D$28,LISTAS!B$1,0)</f>
        <v>Gestión Contable y Financiera</v>
      </c>
      <c r="E9" s="127"/>
      <c r="F9" s="127"/>
      <c r="G9" s="127"/>
      <c r="H9" s="127"/>
      <c r="I9" s="127"/>
      <c r="J9" s="127"/>
      <c r="K9" s="127"/>
      <c r="L9" s="128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4.25" customHeight="1">
      <c r="A10" s="122" t="s">
        <v>42</v>
      </c>
      <c r="B10" s="123"/>
      <c r="C10" s="124"/>
      <c r="D10" s="129" t="str">
        <f>VLOOKUP($D$8,LISTAS!$A$2:$D$28,LISTAS!C$1,0)</f>
        <v>Apoyo</v>
      </c>
      <c r="E10" s="127"/>
      <c r="F10" s="127"/>
      <c r="G10" s="127"/>
      <c r="H10" s="127"/>
      <c r="I10" s="127"/>
      <c r="J10" s="127"/>
      <c r="K10" s="127"/>
      <c r="L10" s="128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ht="14.25" customHeight="1">
      <c r="A11" s="122" t="s">
        <v>5</v>
      </c>
      <c r="B11" s="123"/>
      <c r="C11" s="124"/>
      <c r="D11" s="129" t="str">
        <f>VLOOKUP($D$8,LISTAS!$A$2:$D$28,LISTAS!D$1,0)</f>
        <v>Gerente</v>
      </c>
      <c r="E11" s="127"/>
      <c r="F11" s="127"/>
      <c r="G11" s="127"/>
      <c r="H11" s="127"/>
      <c r="I11" s="127"/>
      <c r="J11" s="127"/>
      <c r="K11" s="127"/>
      <c r="L11" s="128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4.25" customHeight="1">
      <c r="A12" s="122" t="s">
        <v>54</v>
      </c>
      <c r="B12" s="123"/>
      <c r="C12" s="124"/>
      <c r="D12" s="125" t="s">
        <v>151</v>
      </c>
      <c r="E12" s="125"/>
      <c r="F12" s="125"/>
      <c r="G12" s="125"/>
      <c r="H12" s="125"/>
      <c r="I12" s="125"/>
      <c r="J12" s="125"/>
      <c r="K12" s="125"/>
      <c r="L12" s="125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ht="14.25" customHeight="1">
      <c r="A13" s="122" t="s">
        <v>8</v>
      </c>
      <c r="B13" s="123"/>
      <c r="C13" s="123"/>
      <c r="D13" s="125" t="s">
        <v>151</v>
      </c>
      <c r="E13" s="125"/>
      <c r="F13" s="125"/>
      <c r="G13" s="125"/>
      <c r="H13" s="125"/>
      <c r="I13" s="125"/>
      <c r="J13" s="125"/>
      <c r="K13" s="125"/>
      <c r="L13" s="125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ht="4.1500000000000004" customHeight="1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14.25" customHeight="1">
      <c r="A15" s="92" t="s">
        <v>55</v>
      </c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ht="4.1500000000000004" customHeight="1">
      <c r="A16" s="97"/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ht="38.450000000000003" customHeight="1">
      <c r="A17" s="102" t="s">
        <v>152</v>
      </c>
      <c r="B17" s="116"/>
      <c r="C17" s="116"/>
      <c r="D17" s="116"/>
      <c r="E17" s="116"/>
      <c r="F17" s="116"/>
      <c r="G17" s="116"/>
      <c r="H17" s="116"/>
      <c r="I17" s="116"/>
      <c r="J17" s="116"/>
      <c r="K17" s="116"/>
      <c r="L17" s="117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ht="3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>
      <c r="A19" s="92" t="s">
        <v>61</v>
      </c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ht="3.6" customHeight="1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20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ht="317.25" customHeight="1">
      <c r="A21" s="118" t="s">
        <v>161</v>
      </c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3.75" customHeight="1">
      <c r="A22" s="84"/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>
      <c r="A23" s="112" t="s">
        <v>62</v>
      </c>
      <c r="B23" s="113"/>
      <c r="C23" s="113"/>
      <c r="D23" s="114"/>
      <c r="E23" s="112" t="s">
        <v>63</v>
      </c>
      <c r="F23" s="113"/>
      <c r="G23" s="113"/>
      <c r="H23" s="114"/>
      <c r="I23" s="112" t="s">
        <v>64</v>
      </c>
      <c r="J23" s="113"/>
      <c r="K23" s="113"/>
      <c r="L23" s="115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ht="105" customHeight="1">
      <c r="A24" s="107" t="s">
        <v>153</v>
      </c>
      <c r="B24" s="107"/>
      <c r="C24" s="107"/>
      <c r="D24" s="107"/>
      <c r="E24" s="107" t="s">
        <v>154</v>
      </c>
      <c r="F24" s="107"/>
      <c r="G24" s="107"/>
      <c r="H24" s="107"/>
      <c r="I24" s="107" t="s">
        <v>162</v>
      </c>
      <c r="J24" s="108"/>
      <c r="K24" s="108"/>
      <c r="L24" s="108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ht="3" customHeight="1">
      <c r="A25" s="109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110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>
      <c r="A26" s="92" t="s">
        <v>73</v>
      </c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ht="3.6" customHeight="1">
      <c r="A27" s="111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ht="14.45" customHeight="1">
      <c r="A28" s="86" t="s">
        <v>74</v>
      </c>
      <c r="B28" s="86"/>
      <c r="C28" s="86"/>
      <c r="D28" s="22"/>
      <c r="E28" s="112" t="s">
        <v>76</v>
      </c>
      <c r="F28" s="113"/>
      <c r="G28" s="113"/>
      <c r="H28" s="114"/>
      <c r="J28" s="86" t="s">
        <v>75</v>
      </c>
      <c r="K28" s="86"/>
      <c r="L28" s="86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ht="57" customHeight="1">
      <c r="A29" s="146" t="s">
        <v>163</v>
      </c>
      <c r="B29" s="85"/>
      <c r="C29" s="85"/>
      <c r="D29" s="21"/>
      <c r="E29" s="146" t="s">
        <v>164</v>
      </c>
      <c r="F29" s="85"/>
      <c r="G29" s="85"/>
      <c r="H29" s="85"/>
      <c r="J29" s="147" t="s">
        <v>155</v>
      </c>
      <c r="K29" s="87"/>
      <c r="L29" s="88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ht="4.9000000000000004" customHeight="1"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ht="36" customHeight="1">
      <c r="A31" s="86" t="s">
        <v>72</v>
      </c>
      <c r="B31" s="86"/>
      <c r="C31" s="86"/>
      <c r="E31" s="112" t="s">
        <v>77</v>
      </c>
      <c r="F31" s="113"/>
      <c r="G31" s="86" t="s">
        <v>78</v>
      </c>
      <c r="H31" s="86"/>
      <c r="J31" s="9" t="s">
        <v>88</v>
      </c>
      <c r="K31" s="86" t="s">
        <v>89</v>
      </c>
      <c r="L31" s="86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>
      <c r="A32" s="89" t="s">
        <v>156</v>
      </c>
      <c r="B32" s="89"/>
      <c r="C32" s="89"/>
      <c r="E32" s="144" t="s">
        <v>2</v>
      </c>
      <c r="F32" s="87"/>
      <c r="G32" s="85" t="s">
        <v>87</v>
      </c>
      <c r="H32" s="85"/>
      <c r="J32" s="23" t="s">
        <v>2</v>
      </c>
      <c r="K32" s="85" t="s">
        <v>87</v>
      </c>
      <c r="L32" s="85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ht="4.9000000000000004" customHeight="1">
      <c r="A33" s="25"/>
      <c r="B33" s="25"/>
      <c r="C33" s="25"/>
      <c r="E33" s="26"/>
      <c r="F33" s="26"/>
      <c r="G33" s="26"/>
      <c r="H33" s="26"/>
      <c r="J33" s="26"/>
      <c r="K33" s="26"/>
      <c r="L33" s="26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>
      <c r="A34" s="92" t="s">
        <v>91</v>
      </c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ht="3.6" customHeight="1">
      <c r="A35" s="25"/>
      <c r="B35" s="25"/>
      <c r="C35" s="25"/>
      <c r="E35" s="26"/>
      <c r="F35" s="26"/>
      <c r="G35" s="26"/>
      <c r="H35" s="26"/>
      <c r="J35" s="26"/>
      <c r="K35" s="26"/>
      <c r="L35" s="26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>
      <c r="A36" s="86" t="s">
        <v>96</v>
      </c>
      <c r="B36" s="86"/>
      <c r="C36" s="86"/>
      <c r="D36" s="86"/>
      <c r="E36" s="86"/>
      <c r="F36" s="86"/>
      <c r="G36" s="86" t="s">
        <v>93</v>
      </c>
      <c r="H36" s="86"/>
      <c r="I36" s="86"/>
      <c r="J36" s="86"/>
      <c r="K36" s="86"/>
      <c r="L36" s="86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ht="3.6" customHeight="1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ht="67.900000000000006" customHeight="1">
      <c r="A38" s="101" t="str">
        <f>IF($D$13="SI",LISTAS!B32,"NO APLICA")</f>
        <v>• No presentar ningún antecedente
• No presentar resultado positivo en pruebas de consumo
• Resultado satisfactorio en la prueba de confiabilidad.
• Concepto favorable en visitas domiciliarias.</v>
      </c>
      <c r="B38" s="101"/>
      <c r="C38" s="101"/>
      <c r="D38" s="101"/>
      <c r="E38" s="101"/>
      <c r="F38" s="101"/>
      <c r="G38" s="101" t="str">
        <f>IF($D$13="SI",LISTAS!C32,"NO APLICA")</f>
        <v>• No presentar resultado positivo en pruebas de consumo
• Concepto médico ocupacional favorable para la realización de la labor</v>
      </c>
      <c r="H38" s="101"/>
      <c r="I38" s="101"/>
      <c r="J38" s="101"/>
      <c r="K38" s="101"/>
      <c r="L38" s="101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ht="3" customHeight="1">
      <c r="A39" s="25"/>
      <c r="B39" s="25"/>
      <c r="C39" s="25"/>
      <c r="E39" s="26"/>
      <c r="F39" s="26"/>
      <c r="G39" s="26"/>
      <c r="H39" s="26"/>
      <c r="J39" s="26"/>
      <c r="K39" s="26"/>
      <c r="L39" s="26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>
      <c r="A40" s="92" t="s">
        <v>65</v>
      </c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ht="2.4500000000000002" customHeight="1">
      <c r="A41" s="5"/>
      <c r="B41" s="5"/>
      <c r="C41" s="5"/>
      <c r="D41" s="4"/>
      <c r="E41" s="4"/>
      <c r="F41" s="4"/>
      <c r="G41" s="4"/>
      <c r="H41" s="4"/>
      <c r="I41" s="4"/>
      <c r="J41" s="4"/>
      <c r="K41" s="4"/>
      <c r="L41" s="4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>
      <c r="A42" s="112" t="s">
        <v>66</v>
      </c>
      <c r="B42" s="113"/>
      <c r="C42" s="115"/>
      <c r="D42" s="112" t="s">
        <v>67</v>
      </c>
      <c r="E42" s="113"/>
      <c r="F42" s="115"/>
      <c r="G42" s="112" t="s">
        <v>68</v>
      </c>
      <c r="H42" s="113"/>
      <c r="I42" s="115"/>
      <c r="J42" s="112" t="s">
        <v>69</v>
      </c>
      <c r="K42" s="113"/>
      <c r="L42" s="115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ht="147.75" customHeight="1">
      <c r="A43" s="96" t="s">
        <v>70</v>
      </c>
      <c r="B43" s="96"/>
      <c r="C43" s="96"/>
      <c r="D43" s="102" t="s">
        <v>165</v>
      </c>
      <c r="E43" s="103"/>
      <c r="F43" s="104"/>
      <c r="G43" s="105" t="s">
        <v>157</v>
      </c>
      <c r="H43" s="105"/>
      <c r="I43" s="105"/>
      <c r="J43" s="106" t="s">
        <v>158</v>
      </c>
      <c r="K43" s="106"/>
      <c r="L43" s="106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ht="93" customHeight="1">
      <c r="A44" s="96" t="s">
        <v>71</v>
      </c>
      <c r="B44" s="96"/>
      <c r="C44" s="96"/>
      <c r="D44" s="102" t="s">
        <v>166</v>
      </c>
      <c r="E44" s="103"/>
      <c r="F44" s="104"/>
      <c r="G44" s="105" t="s">
        <v>159</v>
      </c>
      <c r="H44" s="105"/>
      <c r="I44" s="105"/>
      <c r="J44" s="106" t="s">
        <v>160</v>
      </c>
      <c r="K44" s="106"/>
      <c r="L44" s="106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ht="3" customHeight="1">
      <c r="A45" s="25"/>
      <c r="B45" s="25"/>
      <c r="C45" s="25"/>
      <c r="E45" s="26"/>
      <c r="F45" s="26"/>
      <c r="G45" s="26"/>
      <c r="H45" s="26"/>
      <c r="J45" s="26"/>
      <c r="K45" s="26"/>
      <c r="L45" s="26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ht="3" customHeight="1"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ht="14.25" customHeight="1">
      <c r="A47" s="92" t="s">
        <v>56</v>
      </c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ht="3" customHeight="1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</row>
    <row r="49" spans="1:24" ht="14.25" customHeight="1">
      <c r="A49" s="98" t="s">
        <v>57</v>
      </c>
      <c r="B49" s="98"/>
      <c r="C49" s="98"/>
      <c r="D49" s="98"/>
      <c r="E49" s="98"/>
      <c r="F49" s="98"/>
      <c r="G49" s="98" t="s">
        <v>58</v>
      </c>
      <c r="H49" s="98"/>
      <c r="I49" s="98"/>
      <c r="J49" s="98"/>
      <c r="K49" s="98"/>
      <c r="L49" s="98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2.25" customHeight="1">
      <c r="A50" s="99"/>
      <c r="B50" s="99"/>
      <c r="C50" s="99"/>
      <c r="D50" s="99"/>
      <c r="E50" s="99"/>
      <c r="F50" s="99"/>
      <c r="G50" s="100"/>
      <c r="H50" s="100"/>
      <c r="I50" s="100"/>
      <c r="J50" s="100"/>
      <c r="K50" s="100"/>
      <c r="L50" s="100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ht="13.15" customHeight="1">
      <c r="A51" s="90"/>
      <c r="B51" s="90"/>
      <c r="C51" s="90"/>
      <c r="D51" s="90"/>
      <c r="E51" s="90"/>
      <c r="F51" s="90"/>
      <c r="G51" s="91"/>
      <c r="H51" s="91"/>
      <c r="I51" s="91"/>
      <c r="J51" s="91"/>
      <c r="K51" s="91"/>
      <c r="L51" s="9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13.15" customHeight="1">
      <c r="A52" s="90"/>
      <c r="B52" s="90"/>
      <c r="C52" s="90"/>
      <c r="D52" s="90"/>
      <c r="E52" s="90"/>
      <c r="F52" s="90"/>
      <c r="G52" s="91"/>
      <c r="H52" s="91"/>
      <c r="I52" s="91"/>
      <c r="J52" s="91"/>
      <c r="K52" s="91"/>
      <c r="L52" s="91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</row>
    <row r="53" spans="1:24" ht="13.15" customHeight="1">
      <c r="A53" s="90"/>
      <c r="B53" s="90"/>
      <c r="C53" s="90"/>
      <c r="D53" s="90"/>
      <c r="E53" s="90"/>
      <c r="F53" s="90"/>
      <c r="G53" s="91"/>
      <c r="H53" s="91"/>
      <c r="I53" s="91"/>
      <c r="J53" s="91"/>
      <c r="K53" s="91"/>
      <c r="L53" s="91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</row>
    <row r="54" spans="1:24" ht="13.15" customHeight="1">
      <c r="A54" s="90"/>
      <c r="B54" s="90"/>
      <c r="C54" s="90"/>
      <c r="D54" s="90"/>
      <c r="E54" s="90"/>
      <c r="F54" s="90"/>
      <c r="G54" s="91"/>
      <c r="H54" s="91"/>
      <c r="I54" s="91"/>
      <c r="J54" s="91"/>
      <c r="K54" s="91"/>
      <c r="L54" s="91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ht="13.15" customHeight="1">
      <c r="A55" s="90"/>
      <c r="B55" s="90"/>
      <c r="C55" s="90"/>
      <c r="D55" s="90"/>
      <c r="E55" s="90"/>
      <c r="F55" s="90"/>
      <c r="G55" s="91"/>
      <c r="H55" s="91"/>
      <c r="I55" s="91"/>
      <c r="J55" s="91"/>
      <c r="K55" s="91"/>
      <c r="L55" s="91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ht="13.15" customHeight="1">
      <c r="A56" s="90"/>
      <c r="B56" s="90"/>
      <c r="C56" s="90"/>
      <c r="D56" s="90"/>
      <c r="E56" s="90"/>
      <c r="F56" s="90"/>
      <c r="G56" s="91"/>
      <c r="H56" s="91"/>
      <c r="I56" s="91"/>
      <c r="J56" s="91"/>
      <c r="K56" s="91"/>
      <c r="L56" s="91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4" ht="13.15" customHeight="1">
      <c r="A57" s="90"/>
      <c r="B57" s="90"/>
      <c r="C57" s="90"/>
      <c r="D57" s="90"/>
      <c r="E57" s="90"/>
      <c r="F57" s="90"/>
      <c r="G57" s="91"/>
      <c r="H57" s="91"/>
      <c r="I57" s="91"/>
      <c r="J57" s="91"/>
      <c r="K57" s="91"/>
      <c r="L57" s="91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4" ht="13.15" customHeight="1">
      <c r="A58" s="90"/>
      <c r="B58" s="90"/>
      <c r="C58" s="90"/>
      <c r="D58" s="90"/>
      <c r="E58" s="90"/>
      <c r="F58" s="90"/>
      <c r="G58" s="91"/>
      <c r="H58" s="91"/>
      <c r="I58" s="91"/>
      <c r="J58" s="91"/>
      <c r="K58" s="91"/>
      <c r="L58" s="91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4" ht="13.15" customHeight="1">
      <c r="A59" s="90"/>
      <c r="B59" s="90"/>
      <c r="C59" s="90"/>
      <c r="D59" s="90"/>
      <c r="E59" s="90"/>
      <c r="F59" s="90"/>
      <c r="G59" s="91"/>
      <c r="H59" s="91"/>
      <c r="I59" s="91"/>
      <c r="J59" s="91"/>
      <c r="K59" s="91"/>
      <c r="L59" s="91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4" ht="13.15" customHeight="1">
      <c r="A60" s="90"/>
      <c r="B60" s="90"/>
      <c r="C60" s="90"/>
      <c r="D60" s="90"/>
      <c r="E60" s="90"/>
      <c r="F60" s="90"/>
      <c r="G60" s="91"/>
      <c r="H60" s="91"/>
      <c r="I60" s="91"/>
      <c r="J60" s="91"/>
      <c r="K60" s="91"/>
      <c r="L60" s="91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ht="31.15" customHeight="1">
      <c r="A61" s="94"/>
      <c r="B61" s="94"/>
      <c r="C61" s="94"/>
      <c r="D61" s="94"/>
      <c r="E61" s="94"/>
      <c r="F61" s="94"/>
      <c r="G61" s="95"/>
      <c r="H61" s="95"/>
      <c r="I61" s="95"/>
      <c r="J61" s="95"/>
      <c r="K61" s="95"/>
      <c r="L61" s="95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4" ht="4.9000000000000004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ht="14.25" customHeight="1">
      <c r="A63" s="92" t="s">
        <v>90</v>
      </c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ht="2.4500000000000002" customHeight="1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14.25" customHeight="1">
      <c r="A65" s="98" t="s">
        <v>59</v>
      </c>
      <c r="B65" s="98"/>
      <c r="C65" s="98"/>
      <c r="D65" s="98"/>
      <c r="E65" s="98"/>
      <c r="F65" s="98"/>
      <c r="G65" s="98" t="s">
        <v>60</v>
      </c>
      <c r="H65" s="98"/>
      <c r="I65" s="98"/>
      <c r="J65" s="98"/>
      <c r="K65" s="98"/>
      <c r="L65" s="98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3" customHeight="1">
      <c r="A66" s="99"/>
      <c r="B66" s="99"/>
      <c r="C66" s="99"/>
      <c r="D66" s="99"/>
      <c r="E66" s="99"/>
      <c r="F66" s="99"/>
      <c r="G66" s="100"/>
      <c r="H66" s="100"/>
      <c r="I66" s="100"/>
      <c r="J66" s="100"/>
      <c r="K66" s="100"/>
      <c r="L66" s="100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ht="14.25" customHeight="1">
      <c r="A67" s="90"/>
      <c r="B67" s="90"/>
      <c r="C67" s="90"/>
      <c r="D67" s="90"/>
      <c r="E67" s="90"/>
      <c r="F67" s="90"/>
      <c r="G67" s="143"/>
      <c r="H67" s="143"/>
      <c r="I67" s="143"/>
      <c r="J67" s="143"/>
      <c r="K67" s="143"/>
      <c r="L67" s="14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ht="14.25" customHeight="1">
      <c r="A68" s="90"/>
      <c r="B68" s="90"/>
      <c r="C68" s="90"/>
      <c r="D68" s="90"/>
      <c r="E68" s="90"/>
      <c r="F68" s="90"/>
      <c r="G68" s="91"/>
      <c r="H68" s="91"/>
      <c r="I68" s="91"/>
      <c r="J68" s="91"/>
      <c r="K68" s="91"/>
      <c r="L68" s="9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ht="14.25" customHeight="1">
      <c r="A69" s="90"/>
      <c r="B69" s="90"/>
      <c r="C69" s="90"/>
      <c r="D69" s="90"/>
      <c r="E69" s="90"/>
      <c r="F69" s="90"/>
      <c r="G69" s="91"/>
      <c r="H69" s="91"/>
      <c r="I69" s="91"/>
      <c r="J69" s="91"/>
      <c r="K69" s="91"/>
      <c r="L69" s="91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</row>
    <row r="70" spans="1:24" ht="14.25" customHeight="1">
      <c r="A70" s="90"/>
      <c r="B70" s="90"/>
      <c r="C70" s="90"/>
      <c r="D70" s="90"/>
      <c r="E70" s="90"/>
      <c r="F70" s="90"/>
      <c r="G70" s="91"/>
      <c r="H70" s="91"/>
      <c r="I70" s="91"/>
      <c r="J70" s="91"/>
      <c r="K70" s="91"/>
      <c r="L70" s="91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</row>
    <row r="71" spans="1:24" ht="14.25" customHeight="1">
      <c r="A71" s="143"/>
      <c r="B71" s="143"/>
      <c r="C71" s="143"/>
      <c r="D71" s="143"/>
      <c r="E71" s="143"/>
      <c r="F71" s="143"/>
      <c r="G71" s="91"/>
      <c r="H71" s="91"/>
      <c r="I71" s="91"/>
      <c r="J71" s="91"/>
      <c r="K71" s="91"/>
      <c r="L71" s="9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ht="14.25" customHeight="1">
      <c r="A72" s="90"/>
      <c r="B72" s="90"/>
      <c r="C72" s="90"/>
      <c r="D72" s="90"/>
      <c r="E72" s="90"/>
      <c r="F72" s="90"/>
      <c r="G72" s="91"/>
      <c r="H72" s="91"/>
      <c r="I72" s="91"/>
      <c r="J72" s="91"/>
      <c r="K72" s="91"/>
      <c r="L72" s="9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ht="14.25" customHeight="1">
      <c r="A73" s="90"/>
      <c r="B73" s="90"/>
      <c r="C73" s="90"/>
      <c r="D73" s="90"/>
      <c r="E73" s="90"/>
      <c r="F73" s="90"/>
      <c r="G73" s="91"/>
      <c r="H73" s="91"/>
      <c r="I73" s="91"/>
      <c r="J73" s="91"/>
      <c r="K73" s="91"/>
      <c r="L73" s="9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3" customHeight="1"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</row>
    <row r="75" spans="1:24" ht="14.25" customHeight="1">
      <c r="A75" s="137" t="s">
        <v>133</v>
      </c>
      <c r="B75" s="138"/>
      <c r="C75" s="138"/>
      <c r="D75" s="138"/>
      <c r="E75" s="138"/>
      <c r="F75" s="138"/>
      <c r="G75" s="138"/>
      <c r="H75" s="138"/>
      <c r="I75" s="138"/>
      <c r="J75" s="138"/>
      <c r="K75" s="138"/>
      <c r="L75" s="139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ht="2.4500000000000002" customHeight="1">
      <c r="A76" s="97"/>
      <c r="B76" s="97"/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1:24" ht="14.25" customHeight="1">
      <c r="A77" s="140" t="s">
        <v>149</v>
      </c>
      <c r="B77" s="141"/>
      <c r="C77" s="141"/>
      <c r="D77" s="141"/>
      <c r="E77" s="141"/>
      <c r="F77" s="141"/>
      <c r="G77" s="141"/>
      <c r="H77" s="141"/>
      <c r="I77" s="141"/>
      <c r="J77" s="141"/>
      <c r="K77" s="141"/>
      <c r="L77" s="142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ht="2.4500000000000002" customHeight="1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5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1:24" ht="26.45" customHeight="1">
      <c r="A79" s="77" t="s">
        <v>1</v>
      </c>
      <c r="B79" s="77"/>
      <c r="C79" s="77"/>
      <c r="D79" s="77" t="s">
        <v>130</v>
      </c>
      <c r="E79" s="77"/>
      <c r="F79" s="77"/>
      <c r="G79" s="77"/>
      <c r="H79" s="77" t="s">
        <v>131</v>
      </c>
      <c r="I79" s="77"/>
      <c r="J79" s="77"/>
      <c r="K79" s="78" t="s">
        <v>132</v>
      </c>
      <c r="L79" s="79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ht="3.6" customHeight="1">
      <c r="A80" s="76"/>
      <c r="B80" s="76"/>
      <c r="C80" s="76"/>
      <c r="D80" s="76"/>
      <c r="E80" s="76"/>
      <c r="F80" s="76"/>
      <c r="G80" s="36"/>
      <c r="I80" s="35"/>
      <c r="J80" s="35"/>
      <c r="K80" s="81"/>
      <c r="L80" s="8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ht="47.45" customHeight="1">
      <c r="A81" s="47" t="s">
        <v>101</v>
      </c>
      <c r="B81" s="47"/>
      <c r="C81" s="48"/>
      <c r="D81" s="51" t="str">
        <f>VLOOKUP(A81,LISTAS!$A$42:$C$54,LISTAS!$B$41,0)</f>
        <v>Capacidad para escuchar y expresarse de manera clara y oportuna basado en hechos concretos y verificados.</v>
      </c>
      <c r="E81" s="52"/>
      <c r="F81" s="52"/>
      <c r="G81" s="53"/>
      <c r="H81" s="57" t="str">
        <f>VLOOKUP(A81,LISTAS!$A$42:$C$54,LISTAS!$C$41,0)</f>
        <v>1) Se expresa de manera directa, sincera y asertiva.
2) Demuestra coherencia entre lo que dice y hace. Es propositivo y no reactivo.</v>
      </c>
      <c r="I81" s="58"/>
      <c r="J81" s="59"/>
      <c r="K81" s="63">
        <v>4</v>
      </c>
      <c r="L81" s="80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ht="42" customHeight="1">
      <c r="A82" s="49"/>
      <c r="B82" s="49"/>
      <c r="C82" s="50"/>
      <c r="D82" s="54"/>
      <c r="E82" s="55"/>
      <c r="F82" s="55"/>
      <c r="G82" s="56"/>
      <c r="H82" s="60"/>
      <c r="I82" s="61"/>
      <c r="J82" s="62"/>
      <c r="K82" s="82">
        <v>4</v>
      </c>
      <c r="L82" s="83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ht="30.6" customHeight="1">
      <c r="A83" s="63" t="s">
        <v>109</v>
      </c>
      <c r="B83" s="64"/>
      <c r="C83" s="65"/>
      <c r="D83" s="51" t="str">
        <f>VLOOKUP(A83,LISTAS!$A$42:$C$54,LISTAS!$B$41,0)</f>
        <v>Personas competitivas, enfocadas al cumplimiento responsable de metas.</v>
      </c>
      <c r="E83" s="52"/>
      <c r="F83" s="52"/>
      <c r="G83" s="53"/>
      <c r="H83" s="57" t="str">
        <f>VLOOKUP(A83,LISTAS!$A$42:$C$54,LISTAS!$C$41,0)</f>
        <v>1) Alinea su quehacer diario enfocándolo al plan estratégico de la empresa. Es resolutivo.
2) Produce resultados y cumple compromisos - alcanza los objetivos y supera las metas.</v>
      </c>
      <c r="I83" s="58"/>
      <c r="J83" s="59"/>
      <c r="K83" s="63">
        <v>4</v>
      </c>
      <c r="L83" s="80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ht="40.15" customHeight="1">
      <c r="A84" s="66"/>
      <c r="B84" s="49"/>
      <c r="C84" s="50"/>
      <c r="D84" s="54"/>
      <c r="E84" s="55"/>
      <c r="F84" s="55"/>
      <c r="G84" s="56"/>
      <c r="H84" s="60"/>
      <c r="I84" s="61"/>
      <c r="J84" s="62"/>
      <c r="K84" s="82">
        <v>4</v>
      </c>
      <c r="L84" s="83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ht="39" customHeight="1">
      <c r="A85" s="63" t="s">
        <v>99</v>
      </c>
      <c r="B85" s="64"/>
      <c r="C85" s="65"/>
      <c r="D85" s="51" t="str">
        <f>VLOOKUP(A85,LISTAS!$A$42:$C$54,LISTAS!$B$41,0)</f>
        <v>Capacidad para construir relaciones de cooperación y confianza con las personas que interactúo para favorecer el logro de  los objetivos de la organización, buscando el beneficio común.</v>
      </c>
      <c r="E85" s="52"/>
      <c r="F85" s="52"/>
      <c r="G85" s="53"/>
      <c r="H85" s="57" t="str">
        <f>VLOOKUP(A85,LISTAS!$A$42:$C$54,LISTAS!$C$41,0)</f>
        <v>1) Trabaja en equipo en pro de objetivos colectivos derribando barreras funcionales, jerárquicas y entre áreas. 
2) Construye y mantiene relaciones interpersonales de confianza y respeto.</v>
      </c>
      <c r="I85" s="58"/>
      <c r="J85" s="59"/>
      <c r="K85" s="63">
        <v>4</v>
      </c>
      <c r="L85" s="80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ht="46.15" customHeight="1">
      <c r="A86" s="66"/>
      <c r="B86" s="49"/>
      <c r="C86" s="50"/>
      <c r="D86" s="54"/>
      <c r="E86" s="55"/>
      <c r="F86" s="55"/>
      <c r="G86" s="56"/>
      <c r="H86" s="60"/>
      <c r="I86" s="61"/>
      <c r="J86" s="62"/>
      <c r="K86" s="63">
        <v>4</v>
      </c>
      <c r="L86" s="80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ht="51.6" customHeight="1">
      <c r="A87" s="63" t="s">
        <v>103</v>
      </c>
      <c r="B87" s="64"/>
      <c r="C87" s="65"/>
      <c r="D87" s="51" t="str">
        <f>VLOOKUP(A87,LISTAS!$A$42:$C$54,LISTAS!$B$41,0)</f>
        <v>Capacidad para identificar y comprender las necesidades y expectativas de nuestros clientes (internos y externos) con empatía.</v>
      </c>
      <c r="E87" s="52"/>
      <c r="F87" s="52"/>
      <c r="G87" s="53"/>
      <c r="H87" s="57" t="str">
        <f>VLOOKUP(A87,LISTAS!$A$42:$C$54,LISTAS!$C$41,0)</f>
        <v>1) Muestra respeto, interés y disposición en comprender las necesidades de clientes, y usuarios; es amable y paciente.
2) Resuelve, atiende con agilidad y oportunidad, busca soluciones de raíz.</v>
      </c>
      <c r="I87" s="58"/>
      <c r="J87" s="59"/>
      <c r="K87" s="63">
        <v>4</v>
      </c>
      <c r="L87" s="80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51.6" customHeight="1">
      <c r="A88" s="66"/>
      <c r="B88" s="49"/>
      <c r="C88" s="50"/>
      <c r="D88" s="54"/>
      <c r="E88" s="55"/>
      <c r="F88" s="55"/>
      <c r="G88" s="56"/>
      <c r="H88" s="60"/>
      <c r="I88" s="61"/>
      <c r="J88" s="62"/>
      <c r="K88" s="63">
        <v>4</v>
      </c>
      <c r="L88" s="80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ht="70.900000000000006" customHeight="1">
      <c r="A89" s="63" t="s">
        <v>105</v>
      </c>
      <c r="B89" s="64"/>
      <c r="C89" s="65"/>
      <c r="D89" s="51" t="str">
        <f>VLOOKUP(A89,LISTAS!$A$42:$C$54,LISTAS!$B$41,0)</f>
        <v>Capacidad para trabajar efectivamente en una variedad de situaciones, con diversos individuos o grupos, valorando las perspectivas diferentes para lograr un proceso de adaptación</v>
      </c>
      <c r="E89" s="52"/>
      <c r="F89" s="52"/>
      <c r="G89" s="53"/>
      <c r="H89" s="57" t="str">
        <f>VLOOKUP(A89,LISTAS!$A$42:$C$54,LISTAS!$C$41,0)</f>
        <v>1) Demuestra una actitud positiva al cambio y rompe paradigmas, aceptando nuevas y diferentes opiniones o puntos de vista para lograr mejores prácticas.
2) Adquiere nuevos conocimientos y desarrolla nuevas habilidades. Comparte su conocimiento, en beneficio de la generación de valor.</v>
      </c>
      <c r="I89" s="58"/>
      <c r="J89" s="59"/>
      <c r="K89" s="63">
        <v>4</v>
      </c>
      <c r="L89" s="80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ht="38.450000000000003" customHeight="1">
      <c r="A90" s="66"/>
      <c r="B90" s="49"/>
      <c r="C90" s="50"/>
      <c r="D90" s="54"/>
      <c r="E90" s="55"/>
      <c r="F90" s="55"/>
      <c r="G90" s="56"/>
      <c r="H90" s="60"/>
      <c r="I90" s="61"/>
      <c r="J90" s="62"/>
      <c r="K90" s="63">
        <v>4</v>
      </c>
      <c r="L90" s="80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ht="59.25" customHeight="1">
      <c r="A91" s="63" t="s">
        <v>107</v>
      </c>
      <c r="B91" s="64"/>
      <c r="C91" s="65"/>
      <c r="D91" s="51" t="str">
        <f>VLOOKUP(A91,LISTAS!$A$42:$C$54,LISTAS!$B$41,0)</f>
        <v>Capacidad de inspirar y movilizar a los equipos de trabajo</v>
      </c>
      <c r="E91" s="52"/>
      <c r="F91" s="52"/>
      <c r="G91" s="53"/>
      <c r="H91" s="57" t="str">
        <f>VLOOKUP(A91,LISTAS!$A$42:$C$54,LISTAS!$C$41,0)</f>
        <v>1) Coordina y organiza eficazmente su equipo, propiciando un adecuado ambiente de trabajo, orientando y dirigiendo a los demás para motivarlos e inducirlos a que se llegue a las metas y objetivos planteados.
2) Promueve ambientes participativos permitiendo que su equipo aporte sus propias ideas y sugerencias.</v>
      </c>
      <c r="I91" s="58"/>
      <c r="J91" s="59"/>
      <c r="K91" s="46">
        <v>4</v>
      </c>
      <c r="L91" s="46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ht="64.5" customHeight="1">
      <c r="A92" s="66"/>
      <c r="B92" s="49"/>
      <c r="C92" s="50"/>
      <c r="D92" s="54"/>
      <c r="E92" s="55"/>
      <c r="F92" s="55"/>
      <c r="G92" s="56"/>
      <c r="H92" s="60"/>
      <c r="I92" s="61"/>
      <c r="J92" s="62"/>
      <c r="K92" s="46">
        <v>4</v>
      </c>
      <c r="L92" s="46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ht="36" customHeight="1">
      <c r="A93" s="63" t="s">
        <v>111</v>
      </c>
      <c r="B93" s="64"/>
      <c r="C93" s="65"/>
      <c r="D93" s="51" t="str">
        <f>VLOOKUP(A93,LISTAS!$A$42:$C$54,LISTAS!$B$41,0)</f>
        <v>Perspectiva amplia del entorno, la cual facilita hacer proyecciones, determinando adecuadamente planes a largo plazo.</v>
      </c>
      <c r="E93" s="52"/>
      <c r="F93" s="52"/>
      <c r="G93" s="53"/>
      <c r="H93" s="57" t="str">
        <f>VLOOKUP(A93,LISTAS!$A$42:$C$54,LISTAS!$C$41,0)</f>
        <v>1) Logra fijar un objetivo, analiza los medios que tiene para alcanzarlo y los organiza para lograr el fin.
2) Genera planes de acción en pro del cumplimiento de los objetivos.</v>
      </c>
      <c r="I93" s="58"/>
      <c r="J93" s="59"/>
      <c r="K93" s="46">
        <v>4</v>
      </c>
      <c r="L93" s="46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ht="30.6" customHeight="1">
      <c r="A94" s="66"/>
      <c r="B94" s="49"/>
      <c r="C94" s="50"/>
      <c r="D94" s="54"/>
      <c r="E94" s="55"/>
      <c r="F94" s="55"/>
      <c r="G94" s="56"/>
      <c r="H94" s="60"/>
      <c r="I94" s="61"/>
      <c r="J94" s="62"/>
      <c r="K94" s="46">
        <v>4</v>
      </c>
      <c r="L94" s="46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35.450000000000003" customHeight="1">
      <c r="A95" s="63" t="s">
        <v>113</v>
      </c>
      <c r="B95" s="64"/>
      <c r="C95" s="65"/>
      <c r="D95" s="51" t="str">
        <f>VLOOKUP(A95,LISTAS!$A$42:$C$54,LISTAS!$B$41,0)</f>
        <v>Ejecuta el cierre oportuno de los planes de acción establecidos, logrando el cumplimiento de las actividades planteadas y subsanando las causas que dieron lugar a la misma.</v>
      </c>
      <c r="E95" s="52"/>
      <c r="F95" s="52"/>
      <c r="G95" s="53"/>
      <c r="H95" s="57" t="str">
        <f>VLOOKUP(A95,LISTAS!$A$42:$C$54,LISTAS!$C$41,0)</f>
        <v>Ejecuta el cierre oportuno de los planes de acción establecidos, logrando el cumplimiento de las actividades planteadas y subsanando las causas que dieron lugar a la misma.</v>
      </c>
      <c r="I95" s="58"/>
      <c r="J95" s="59"/>
      <c r="K95" s="148">
        <v>5</v>
      </c>
      <c r="L95" s="48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ht="31.9" customHeight="1">
      <c r="A96" s="66"/>
      <c r="B96" s="49"/>
      <c r="C96" s="50"/>
      <c r="D96" s="54"/>
      <c r="E96" s="55"/>
      <c r="F96" s="55"/>
      <c r="G96" s="56"/>
      <c r="H96" s="60"/>
      <c r="I96" s="61"/>
      <c r="J96" s="62"/>
      <c r="K96" s="149"/>
      <c r="L96" s="150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ht="29.45" customHeight="1">
      <c r="A97" s="63" t="s">
        <v>115</v>
      </c>
      <c r="B97" s="64"/>
      <c r="C97" s="65"/>
      <c r="D97" s="51" t="str">
        <f>VLOOKUP(A97,LISTAS!$A$42:$C$54,LISTAS!$B$41,0)</f>
        <v>Participa y promueve en su equipo el cumplimiento de las responsabilidades transversales que se desprenden de los sistemas de gestión</v>
      </c>
      <c r="E97" s="52"/>
      <c r="F97" s="52"/>
      <c r="G97" s="53"/>
      <c r="H97" s="57" t="str">
        <f>VLOOKUP(A97,LISTAS!$A$42:$C$54,LISTAS!$C$41,0)</f>
        <v>Participa y promueve en su equipo el cumplimiento de las responsabilidades transversales que se desprenden de los sistemas de gestión</v>
      </c>
      <c r="I97" s="58"/>
      <c r="J97" s="59"/>
      <c r="K97" s="148">
        <v>5</v>
      </c>
      <c r="L97" s="48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ht="28.15" customHeight="1">
      <c r="A98" s="66"/>
      <c r="B98" s="49"/>
      <c r="C98" s="50"/>
      <c r="D98" s="54"/>
      <c r="E98" s="55"/>
      <c r="F98" s="55"/>
      <c r="G98" s="56"/>
      <c r="H98" s="60"/>
      <c r="I98" s="61"/>
      <c r="J98" s="62"/>
      <c r="K98" s="149"/>
      <c r="L98" s="150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ht="30.6" customHeight="1">
      <c r="A99" s="63" t="s">
        <v>117</v>
      </c>
      <c r="B99" s="64"/>
      <c r="C99" s="65"/>
      <c r="D99" s="51" t="str">
        <f>VLOOKUP(A99,LISTAS!$A$42:$C$54,LISTAS!$B$41,0)</f>
        <v>Usa adecuadamente los recursos de seguridad física, como claves, llaves, botón de pánico, etc. Y de SST, como EPP, equipos de protección contra caídas, etc. que la empresa le entrega para el desarrollo de su labor</v>
      </c>
      <c r="E99" s="52"/>
      <c r="F99" s="52"/>
      <c r="G99" s="53"/>
      <c r="H99" s="57" t="str">
        <f>VLOOKUP(A99,LISTAS!$A$42:$C$54,LISTAS!$C$41,0)</f>
        <v>Usa adecuadamente los recursos de seguridad física, como claves, llaves, botón de pánico, etc. Y de SST, como EPP, equipos de protección contra caídas, etc. que la empresa le entrega para el desarrollo de su labor</v>
      </c>
      <c r="I99" s="58"/>
      <c r="J99" s="59"/>
      <c r="K99" s="148">
        <v>5</v>
      </c>
      <c r="L99" s="48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ht="33" customHeight="1">
      <c r="A100" s="66"/>
      <c r="B100" s="49"/>
      <c r="C100" s="50"/>
      <c r="D100" s="54"/>
      <c r="E100" s="55"/>
      <c r="F100" s="55"/>
      <c r="G100" s="56"/>
      <c r="H100" s="60"/>
      <c r="I100" s="61"/>
      <c r="J100" s="62"/>
      <c r="K100" s="149"/>
      <c r="L100" s="150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ht="44.25" customHeight="1">
      <c r="A101" s="63" t="s">
        <v>119</v>
      </c>
      <c r="B101" s="64"/>
      <c r="C101" s="65"/>
      <c r="D101" s="51" t="str">
        <f>VLOOKUP(A101,LISTAS!$A$42:$C$54,LISTAS!$B$41,0)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v>
      </c>
      <c r="E101" s="52"/>
      <c r="F101" s="52"/>
      <c r="G101" s="53"/>
      <c r="H101" s="57" t="str">
        <f>VLOOKUP(A101,LISTAS!$A$42:$C$54,LISTAS!$C$41,0)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v>
      </c>
      <c r="I101" s="58"/>
      <c r="J101" s="59"/>
      <c r="K101" s="148">
        <v>5</v>
      </c>
      <c r="L101" s="48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ht="67.5" customHeight="1">
      <c r="A102" s="67"/>
      <c r="B102" s="68"/>
      <c r="C102" s="69"/>
      <c r="D102" s="54"/>
      <c r="E102" s="55"/>
      <c r="F102" s="55"/>
      <c r="G102" s="56"/>
      <c r="H102" s="70"/>
      <c r="I102" s="71"/>
      <c r="J102" s="72"/>
      <c r="K102" s="149"/>
      <c r="L102" s="150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ht="58.5" customHeight="1">
      <c r="A103" s="46" t="s">
        <v>122</v>
      </c>
      <c r="B103" s="46"/>
      <c r="C103" s="46"/>
      <c r="D103" s="51" t="str">
        <f>VLOOKUP(A103,LISTAS!$A$42:$C$54,LISTAS!$B$41,0)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E103" s="52"/>
      <c r="F103" s="52"/>
      <c r="G103" s="53"/>
      <c r="H103" s="73" t="str">
        <f>VLOOKUP(A103,LISTAS!$A$42:$C$54,LISTAS!$C$41,0)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I103" s="73"/>
      <c r="J103" s="73"/>
      <c r="K103" s="109">
        <v>4</v>
      </c>
      <c r="L103" s="48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ht="43.5" customHeight="1">
      <c r="A104" s="46"/>
      <c r="B104" s="46"/>
      <c r="C104" s="46"/>
      <c r="D104" s="54"/>
      <c r="E104" s="55"/>
      <c r="F104" s="55"/>
      <c r="G104" s="56"/>
      <c r="H104" s="73"/>
      <c r="I104" s="73"/>
      <c r="J104" s="73"/>
      <c r="K104" s="151"/>
      <c r="L104" s="150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  <row r="816" spans="1:24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</row>
    <row r="817" spans="1:24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</row>
    <row r="818" spans="1:24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</row>
    <row r="819" spans="1:24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</row>
    <row r="820" spans="1:24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</row>
    <row r="821" spans="1:24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</row>
    <row r="822" spans="1:24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</row>
    <row r="823" spans="1:24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</row>
    <row r="824" spans="1: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</row>
    <row r="825" spans="1:24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</row>
    <row r="826" spans="1:24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</row>
    <row r="827" spans="1:24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</row>
    <row r="828" spans="1:24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</row>
    <row r="829" spans="1:24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</row>
    <row r="830" spans="1:24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</row>
    <row r="831" spans="1:24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</row>
    <row r="832" spans="1:24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</row>
    <row r="833" spans="1:24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</row>
    <row r="834" spans="1:2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</row>
    <row r="835" spans="1:24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</row>
    <row r="836" spans="1:24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</row>
    <row r="837" spans="1:24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</row>
    <row r="838" spans="1:24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</row>
    <row r="839" spans="1:24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</row>
    <row r="840" spans="1:24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</row>
    <row r="841" spans="1:24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</row>
    <row r="842" spans="1:24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</row>
    <row r="843" spans="1:24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</row>
    <row r="844" spans="1:2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</row>
    <row r="845" spans="1:24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</row>
    <row r="846" spans="1:24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</row>
    <row r="847" spans="1:24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</row>
    <row r="848" spans="1:24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</row>
    <row r="849" spans="1:24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</row>
    <row r="850" spans="1:24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</row>
    <row r="851" spans="1:24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</row>
    <row r="852" spans="1:24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</row>
    <row r="853" spans="1:24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</row>
    <row r="854" spans="1:2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</row>
    <row r="855" spans="1:24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</row>
    <row r="856" spans="1:24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</row>
    <row r="857" spans="1:24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</row>
    <row r="858" spans="1:24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</row>
    <row r="859" spans="1:24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</row>
    <row r="860" spans="1:24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</row>
    <row r="861" spans="1:24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</row>
    <row r="862" spans="1:24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</row>
    <row r="863" spans="1:24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</row>
    <row r="864" spans="1:2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</row>
    <row r="865" spans="1:24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</row>
    <row r="866" spans="1:24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</row>
    <row r="867" spans="1:24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</row>
    <row r="868" spans="1:24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</row>
    <row r="869" spans="1:24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</row>
    <row r="870" spans="1:24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</row>
    <row r="871" spans="1:24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</row>
    <row r="872" spans="1:24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</row>
    <row r="873" spans="1:24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</row>
    <row r="874" spans="1:2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</row>
    <row r="875" spans="1:24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</row>
    <row r="876" spans="1:24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</row>
    <row r="877" spans="1:24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</row>
    <row r="878" spans="1:24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</row>
    <row r="879" spans="1:24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</row>
    <row r="880" spans="1:24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</row>
    <row r="881" spans="1:24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</row>
    <row r="882" spans="1:24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</row>
    <row r="883" spans="1:24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</row>
    <row r="884" spans="1:2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</row>
    <row r="885" spans="1:24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</row>
    <row r="886" spans="1:24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</row>
    <row r="887" spans="1:24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</row>
    <row r="888" spans="1:24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</row>
    <row r="889" spans="1:24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</row>
    <row r="890" spans="1:24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</row>
    <row r="891" spans="1:24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</row>
    <row r="892" spans="1:24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</row>
    <row r="893" spans="1:24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</row>
    <row r="894" spans="1:2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</row>
    <row r="895" spans="1:24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</row>
    <row r="896" spans="1:24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</row>
    <row r="897" spans="1:24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</row>
    <row r="898" spans="1:24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</row>
    <row r="899" spans="1:24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</row>
    <row r="900" spans="1:24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</row>
    <row r="901" spans="1:24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</row>
    <row r="902" spans="1:24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</row>
    <row r="903" spans="1:24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</row>
    <row r="904" spans="1:2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</row>
    <row r="905" spans="1:24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</row>
    <row r="906" spans="1:24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</row>
    <row r="907" spans="1:24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</row>
    <row r="908" spans="1:24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</row>
    <row r="909" spans="1:24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</row>
    <row r="910" spans="1:24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</row>
    <row r="911" spans="1:24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</row>
    <row r="912" spans="1:24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</row>
    <row r="913" spans="1:24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</row>
    <row r="914" spans="1:2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</row>
    <row r="915" spans="1:24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</row>
    <row r="916" spans="1:24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</row>
    <row r="917" spans="1:24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</row>
    <row r="918" spans="1:24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</row>
    <row r="919" spans="1:24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</row>
    <row r="920" spans="1:24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</row>
    <row r="921" spans="1:24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</row>
    <row r="922" spans="1:24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</row>
    <row r="923" spans="1:24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</row>
    <row r="924" spans="1: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</row>
    <row r="925" spans="1:24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</row>
    <row r="926" spans="1:24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</row>
    <row r="927" spans="1:24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</row>
    <row r="928" spans="1:24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</row>
    <row r="929" spans="1:24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</row>
    <row r="930" spans="1:24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</row>
    <row r="931" spans="1:24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</row>
    <row r="932" spans="1:24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</row>
    <row r="933" spans="1:24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</row>
    <row r="934" spans="1:2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</row>
    <row r="935" spans="1:24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</row>
    <row r="936" spans="1:24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</row>
    <row r="937" spans="1:24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</row>
    <row r="938" spans="1:24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</row>
    <row r="939" spans="1:24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</row>
    <row r="940" spans="1:24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</row>
    <row r="941" spans="1:24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</row>
    <row r="942" spans="1:24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  <row r="943" spans="1:24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</row>
    <row r="944" spans="1:2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</row>
    <row r="945" spans="1:24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</row>
    <row r="946" spans="1:24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</row>
    <row r="947" spans="1:24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</row>
    <row r="948" spans="1:24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</row>
    <row r="949" spans="1:24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</row>
    <row r="950" spans="1:24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</row>
    <row r="951" spans="1:24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</row>
    <row r="952" spans="1:24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</row>
    <row r="953" spans="1:24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</row>
    <row r="954" spans="1:2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</row>
    <row r="955" spans="1:24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</row>
    <row r="956" spans="1:24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</row>
    <row r="957" spans="1:24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</row>
    <row r="958" spans="1:24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</row>
    <row r="959" spans="1:24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</row>
    <row r="960" spans="1:24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</row>
    <row r="961" spans="1:24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</row>
    <row r="962" spans="1:24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</row>
    <row r="963" spans="1:24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</row>
    <row r="964" spans="1:2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</row>
    <row r="965" spans="1:24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</row>
    <row r="966" spans="1:24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</row>
    <row r="967" spans="1:24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</row>
    <row r="968" spans="1:24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</row>
    <row r="969" spans="1:24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</row>
    <row r="970" spans="1:24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</row>
    <row r="971" spans="1:24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</row>
    <row r="972" spans="1:24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</row>
    <row r="973" spans="1:24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</row>
    <row r="974" spans="1:2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</row>
    <row r="975" spans="1:24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</row>
    <row r="976" spans="1:24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</row>
    <row r="977" spans="1:24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</row>
    <row r="978" spans="1:24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</row>
    <row r="979" spans="1:24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</row>
    <row r="980" spans="1:24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</row>
    <row r="981" spans="1:24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</row>
    <row r="982" spans="1:24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</row>
    <row r="983" spans="1:24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</row>
    <row r="984" spans="1:2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</row>
    <row r="985" spans="1:24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</row>
    <row r="986" spans="1:24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</row>
    <row r="987" spans="1:24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</row>
    <row r="988" spans="1:24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</row>
    <row r="989" spans="1:24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</row>
    <row r="990" spans="1:24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</row>
    <row r="991" spans="1:24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</row>
    <row r="992" spans="1:24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</row>
    <row r="993" spans="1:24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</row>
    <row r="994" spans="1:2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</row>
    <row r="995" spans="1:24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</row>
    <row r="996" spans="1:24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</row>
    <row r="997" spans="1:24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</row>
    <row r="998" spans="1:24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</row>
    <row r="999" spans="1:24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</row>
  </sheetData>
  <mergeCells count="188">
    <mergeCell ref="A38:F38"/>
    <mergeCell ref="G31:H31"/>
    <mergeCell ref="E32:F32"/>
    <mergeCell ref="G32:H32"/>
    <mergeCell ref="K31:L31"/>
    <mergeCell ref="K32:L32"/>
    <mergeCell ref="A34:L34"/>
    <mergeCell ref="A36:F36"/>
    <mergeCell ref="G36:L36"/>
    <mergeCell ref="A37:L37"/>
    <mergeCell ref="A75:L75"/>
    <mergeCell ref="A77:L77"/>
    <mergeCell ref="A76:L76"/>
    <mergeCell ref="A66:F66"/>
    <mergeCell ref="G66:L66"/>
    <mergeCell ref="A67:F67"/>
    <mergeCell ref="G67:L67"/>
    <mergeCell ref="A68:F68"/>
    <mergeCell ref="G68:L68"/>
    <mergeCell ref="A69:F69"/>
    <mergeCell ref="G69:L69"/>
    <mergeCell ref="A73:F73"/>
    <mergeCell ref="G73:L73"/>
    <mergeCell ref="A71:F71"/>
    <mergeCell ref="G71:L71"/>
    <mergeCell ref="A72:F72"/>
    <mergeCell ref="G72:L72"/>
    <mergeCell ref="A1:L1"/>
    <mergeCell ref="A5:B5"/>
    <mergeCell ref="C5:L5"/>
    <mergeCell ref="A7:L7"/>
    <mergeCell ref="A12:C12"/>
    <mergeCell ref="D12:L12"/>
    <mergeCell ref="A13:C13"/>
    <mergeCell ref="D13:L13"/>
    <mergeCell ref="A15:L15"/>
    <mergeCell ref="A8:C8"/>
    <mergeCell ref="D8:L8"/>
    <mergeCell ref="A9:C9"/>
    <mergeCell ref="D9:L9"/>
    <mergeCell ref="A11:C11"/>
    <mergeCell ref="D11:L11"/>
    <mergeCell ref="A10:C10"/>
    <mergeCell ref="D10:L10"/>
    <mergeCell ref="A2:B2"/>
    <mergeCell ref="A3:B3"/>
    <mergeCell ref="C2:E2"/>
    <mergeCell ref="F2:H2"/>
    <mergeCell ref="I2:J2"/>
    <mergeCell ref="K2:L2"/>
    <mergeCell ref="K3:L3"/>
    <mergeCell ref="A58:F58"/>
    <mergeCell ref="G58:L58"/>
    <mergeCell ref="A17:L17"/>
    <mergeCell ref="G42:I42"/>
    <mergeCell ref="J42:L42"/>
    <mergeCell ref="A43:C43"/>
    <mergeCell ref="D43:F43"/>
    <mergeCell ref="G43:I43"/>
    <mergeCell ref="J43:L43"/>
    <mergeCell ref="A56:F56"/>
    <mergeCell ref="G56:L56"/>
    <mergeCell ref="A57:F57"/>
    <mergeCell ref="G57:L57"/>
    <mergeCell ref="A42:C42"/>
    <mergeCell ref="A51:F51"/>
    <mergeCell ref="G51:L51"/>
    <mergeCell ref="A52:F52"/>
    <mergeCell ref="G52:L52"/>
    <mergeCell ref="A40:L40"/>
    <mergeCell ref="A21:L21"/>
    <mergeCell ref="A23:D23"/>
    <mergeCell ref="E23:H23"/>
    <mergeCell ref="I23:L23"/>
    <mergeCell ref="E31:F31"/>
    <mergeCell ref="A16:L16"/>
    <mergeCell ref="A48:L48"/>
    <mergeCell ref="A49:F49"/>
    <mergeCell ref="G49:L49"/>
    <mergeCell ref="A65:F65"/>
    <mergeCell ref="G65:L65"/>
    <mergeCell ref="A47:L47"/>
    <mergeCell ref="A50:F50"/>
    <mergeCell ref="G50:L50"/>
    <mergeCell ref="G38:L38"/>
    <mergeCell ref="A19:L19"/>
    <mergeCell ref="D44:F44"/>
    <mergeCell ref="G44:I44"/>
    <mergeCell ref="J44:L44"/>
    <mergeCell ref="A24:D24"/>
    <mergeCell ref="E24:H24"/>
    <mergeCell ref="I24:L24"/>
    <mergeCell ref="A25:L25"/>
    <mergeCell ref="A26:L26"/>
    <mergeCell ref="A27:L27"/>
    <mergeCell ref="E28:H28"/>
    <mergeCell ref="A28:C28"/>
    <mergeCell ref="A29:C29"/>
    <mergeCell ref="D42:F42"/>
    <mergeCell ref="A18:L18"/>
    <mergeCell ref="A22:L22"/>
    <mergeCell ref="E29:H29"/>
    <mergeCell ref="J28:L28"/>
    <mergeCell ref="J29:L29"/>
    <mergeCell ref="A31:C31"/>
    <mergeCell ref="A32:C32"/>
    <mergeCell ref="A70:F70"/>
    <mergeCell ref="G70:L70"/>
    <mergeCell ref="A63:L63"/>
    <mergeCell ref="A64:L64"/>
    <mergeCell ref="A59:F59"/>
    <mergeCell ref="G59:L59"/>
    <mergeCell ref="A60:F60"/>
    <mergeCell ref="G60:L60"/>
    <mergeCell ref="A61:F61"/>
    <mergeCell ref="G61:L61"/>
    <mergeCell ref="A44:C44"/>
    <mergeCell ref="A53:F53"/>
    <mergeCell ref="G53:L53"/>
    <mergeCell ref="A54:F54"/>
    <mergeCell ref="G54:L54"/>
    <mergeCell ref="A55:F55"/>
    <mergeCell ref="G55:L55"/>
    <mergeCell ref="H85:J86"/>
    <mergeCell ref="H87:J88"/>
    <mergeCell ref="H89:J90"/>
    <mergeCell ref="A78:L78"/>
    <mergeCell ref="A80:F80"/>
    <mergeCell ref="A79:C79"/>
    <mergeCell ref="D79:G79"/>
    <mergeCell ref="K79:L79"/>
    <mergeCell ref="K81:L81"/>
    <mergeCell ref="K80:L80"/>
    <mergeCell ref="K82:L82"/>
    <mergeCell ref="H79:J79"/>
    <mergeCell ref="K83:L83"/>
    <mergeCell ref="K84:L84"/>
    <mergeCell ref="K85:L85"/>
    <mergeCell ref="K86:L86"/>
    <mergeCell ref="K87:L87"/>
    <mergeCell ref="K88:L88"/>
    <mergeCell ref="K89:L89"/>
    <mergeCell ref="K90:L90"/>
    <mergeCell ref="K91:L91"/>
    <mergeCell ref="D95:G96"/>
    <mergeCell ref="H95:J96"/>
    <mergeCell ref="K92:L92"/>
    <mergeCell ref="K93:L93"/>
    <mergeCell ref="K94:L94"/>
    <mergeCell ref="D93:G94"/>
    <mergeCell ref="H91:J92"/>
    <mergeCell ref="H93:J94"/>
    <mergeCell ref="K97:L98"/>
    <mergeCell ref="K95:L96"/>
    <mergeCell ref="D101:G102"/>
    <mergeCell ref="D103:G104"/>
    <mergeCell ref="H101:J102"/>
    <mergeCell ref="H103:J104"/>
    <mergeCell ref="D97:G98"/>
    <mergeCell ref="D99:G100"/>
    <mergeCell ref="H97:J98"/>
    <mergeCell ref="H99:J100"/>
    <mergeCell ref="K101:L102"/>
    <mergeCell ref="K103:L104"/>
    <mergeCell ref="K99:L100"/>
    <mergeCell ref="I3:J3"/>
    <mergeCell ref="F3:H3"/>
    <mergeCell ref="C3:E3"/>
    <mergeCell ref="A81:C82"/>
    <mergeCell ref="D81:G82"/>
    <mergeCell ref="H81:J82"/>
    <mergeCell ref="A83:C84"/>
    <mergeCell ref="D83:G84"/>
    <mergeCell ref="H83:J84"/>
    <mergeCell ref="A85:C86"/>
    <mergeCell ref="A87:C88"/>
    <mergeCell ref="A89:C90"/>
    <mergeCell ref="A91:C92"/>
    <mergeCell ref="A93:C94"/>
    <mergeCell ref="A95:C96"/>
    <mergeCell ref="A97:C98"/>
    <mergeCell ref="A99:C100"/>
    <mergeCell ref="A101:C102"/>
    <mergeCell ref="A103:C104"/>
    <mergeCell ref="D85:G86"/>
    <mergeCell ref="D87:G88"/>
    <mergeCell ref="D89:G90"/>
    <mergeCell ref="D91:G92"/>
  </mergeCells>
  <dataValidations count="3">
    <dataValidation type="list" allowBlank="1" showInputMessage="1" showErrorMessage="1" sqref="D12:L13 J32 E32">
      <formula1>"SI,NO"</formula1>
    </dataValidation>
    <dataValidation type="list" allowBlank="1" showInputMessage="1" showErrorMessage="1" sqref="A32">
      <formula1>"Frecuentemente,Ocasionalmente,No Requiere"</formula1>
    </dataValidation>
    <dataValidation type="list" allowBlank="1" showInputMessage="1" showErrorMessage="1" sqref="K32:L32">
      <formula1>"Carro,Moto,NO APLICA"</formula1>
    </dataValidation>
  </dataValidations>
  <printOptions horizontalCentered="1" verticalCentered="1"/>
  <pageMargins left="0.39370078740157483" right="0.39370078740157483" top="0.59055118110236227" bottom="0.59055118110236227" header="0" footer="0"/>
  <pageSetup paperSize="9" scale="68" orientation="portrait" r:id="rId1"/>
  <rowBreaks count="1" manualBreakCount="1">
    <brk id="73" max="11" man="1"/>
  </rowBreaks>
  <ignoredErrors>
    <ignoredError sqref="D9:D1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28575</xdr:rowOff>
                  </from>
                  <to>
                    <xdr:col>3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28575</xdr:rowOff>
                  </from>
                  <to>
                    <xdr:col>3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28575</xdr:rowOff>
                  </from>
                  <to>
                    <xdr:col>3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28575</xdr:rowOff>
                  </from>
                  <to>
                    <xdr:col>3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28575</xdr:rowOff>
                  </from>
                  <to>
                    <xdr:col>3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28575</xdr:rowOff>
                  </from>
                  <to>
                    <xdr:col>3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28575</xdr:rowOff>
                  </from>
                  <to>
                    <xdr:col>3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28575</xdr:rowOff>
                  </from>
                  <to>
                    <xdr:col>3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28575</xdr:rowOff>
                  </from>
                  <to>
                    <xdr:col>3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6</xdr:col>
                    <xdr:colOff>28575</xdr:colOff>
                    <xdr:row>50</xdr:row>
                    <xdr:rowOff>19050</xdr:rowOff>
                  </from>
                  <to>
                    <xdr:col>8</xdr:col>
                    <xdr:colOff>314325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6</xdr:col>
                    <xdr:colOff>28575</xdr:colOff>
                    <xdr:row>51</xdr:row>
                    <xdr:rowOff>28575</xdr:rowOff>
                  </from>
                  <to>
                    <xdr:col>8</xdr:col>
                    <xdr:colOff>314325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6</xdr:col>
                    <xdr:colOff>28575</xdr:colOff>
                    <xdr:row>52</xdr:row>
                    <xdr:rowOff>28575</xdr:rowOff>
                  </from>
                  <to>
                    <xdr:col>8</xdr:col>
                    <xdr:colOff>314325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>
                <anchor moveWithCells="1">
                  <from>
                    <xdr:col>6</xdr:col>
                    <xdr:colOff>28575</xdr:colOff>
                    <xdr:row>53</xdr:row>
                    <xdr:rowOff>28575</xdr:rowOff>
                  </from>
                  <to>
                    <xdr:col>8</xdr:col>
                    <xdr:colOff>314325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>
                <anchor moveWithCells="1">
                  <from>
                    <xdr:col>6</xdr:col>
                    <xdr:colOff>28575</xdr:colOff>
                    <xdr:row>54</xdr:row>
                    <xdr:rowOff>28575</xdr:rowOff>
                  </from>
                  <to>
                    <xdr:col>8</xdr:col>
                    <xdr:colOff>314325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>
                <anchor moveWithCells="1">
                  <from>
                    <xdr:col>6</xdr:col>
                    <xdr:colOff>28575</xdr:colOff>
                    <xdr:row>55</xdr:row>
                    <xdr:rowOff>28575</xdr:rowOff>
                  </from>
                  <to>
                    <xdr:col>8</xdr:col>
                    <xdr:colOff>314325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>
                <anchor moveWithCells="1">
                  <from>
                    <xdr:col>6</xdr:col>
                    <xdr:colOff>28575</xdr:colOff>
                    <xdr:row>56</xdr:row>
                    <xdr:rowOff>28575</xdr:rowOff>
                  </from>
                  <to>
                    <xdr:col>8</xdr:col>
                    <xdr:colOff>314325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>
                <anchor moveWithCells="1">
                  <from>
                    <xdr:col>6</xdr:col>
                    <xdr:colOff>28575</xdr:colOff>
                    <xdr:row>57</xdr:row>
                    <xdr:rowOff>28575</xdr:rowOff>
                  </from>
                  <to>
                    <xdr:col>8</xdr:col>
                    <xdr:colOff>314325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>
                <anchor moveWithCells="1">
                  <from>
                    <xdr:col>6</xdr:col>
                    <xdr:colOff>28575</xdr:colOff>
                    <xdr:row>58</xdr:row>
                    <xdr:rowOff>28575</xdr:rowOff>
                  </from>
                  <to>
                    <xdr:col>8</xdr:col>
                    <xdr:colOff>314325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>
                <anchor moveWithCells="1">
                  <from>
                    <xdr:col>6</xdr:col>
                    <xdr:colOff>28575</xdr:colOff>
                    <xdr:row>59</xdr:row>
                    <xdr:rowOff>28575</xdr:rowOff>
                  </from>
                  <to>
                    <xdr:col>8</xdr:col>
                    <xdr:colOff>314325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28575</xdr:rowOff>
                  </from>
                  <to>
                    <xdr:col>3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Check Box 30">
              <controlPr defaultSize="0" autoFill="0" autoLine="0" autoPict="0">
                <anchor moveWithCells="1">
                  <from>
                    <xdr:col>0</xdr:col>
                    <xdr:colOff>28575</xdr:colOff>
                    <xdr:row>66</xdr:row>
                    <xdr:rowOff>28575</xdr:rowOff>
                  </from>
                  <to>
                    <xdr:col>3</xdr:col>
                    <xdr:colOff>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0</xdr:col>
                    <xdr:colOff>28575</xdr:colOff>
                    <xdr:row>67</xdr:row>
                    <xdr:rowOff>28575</xdr:rowOff>
                  </from>
                  <to>
                    <xdr:col>3</xdr:col>
                    <xdr:colOff>0</xdr:colOff>
                    <xdr:row>67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Check Box 32">
              <controlPr defaultSize="0" autoFill="0" autoLine="0" autoPict="0">
                <anchor moveWithCells="1">
                  <from>
                    <xdr:col>0</xdr:col>
                    <xdr:colOff>28575</xdr:colOff>
                    <xdr:row>68</xdr:row>
                    <xdr:rowOff>28575</xdr:rowOff>
                  </from>
                  <to>
                    <xdr:col>3</xdr:col>
                    <xdr:colOff>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Check Box 33">
              <controlPr defaultSize="0" autoFill="0" autoLine="0" autoPict="0">
                <anchor moveWithCells="1">
                  <from>
                    <xdr:col>0</xdr:col>
                    <xdr:colOff>28575</xdr:colOff>
                    <xdr:row>69</xdr:row>
                    <xdr:rowOff>28575</xdr:rowOff>
                  </from>
                  <to>
                    <xdr:col>3</xdr:col>
                    <xdr:colOff>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Check Box 34">
              <controlPr defaultSize="0" autoFill="0" autoLine="0" autoPict="0">
                <anchor moveWithCells="1">
                  <from>
                    <xdr:col>0</xdr:col>
                    <xdr:colOff>28575</xdr:colOff>
                    <xdr:row>70</xdr:row>
                    <xdr:rowOff>28575</xdr:rowOff>
                  </from>
                  <to>
                    <xdr:col>3</xdr:col>
                    <xdr:colOff>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Check Box 35">
              <controlPr defaultSize="0" autoFill="0" autoLine="0" autoPict="0">
                <anchor moveWithCells="1">
                  <from>
                    <xdr:col>0</xdr:col>
                    <xdr:colOff>28575</xdr:colOff>
                    <xdr:row>71</xdr:row>
                    <xdr:rowOff>28575</xdr:rowOff>
                  </from>
                  <to>
                    <xdr:col>3</xdr:col>
                    <xdr:colOff>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Check Box 36">
              <controlPr defaultSize="0" autoFill="0" autoLine="0" autoPict="0">
                <anchor moveWithCells="1">
                  <from>
                    <xdr:col>0</xdr:col>
                    <xdr:colOff>28575</xdr:colOff>
                    <xdr:row>72</xdr:row>
                    <xdr:rowOff>28575</xdr:rowOff>
                  </from>
                  <to>
                    <xdr:col>3</xdr:col>
                    <xdr:colOff>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6</xdr:col>
                    <xdr:colOff>28575</xdr:colOff>
                    <xdr:row>66</xdr:row>
                    <xdr:rowOff>19050</xdr:rowOff>
                  </from>
                  <to>
                    <xdr:col>8</xdr:col>
                    <xdr:colOff>514350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6</xdr:col>
                    <xdr:colOff>19050</xdr:colOff>
                    <xdr:row>67</xdr:row>
                    <xdr:rowOff>28575</xdr:rowOff>
                  </from>
                  <to>
                    <xdr:col>8</xdr:col>
                    <xdr:colOff>514350</xdr:colOff>
                    <xdr:row>67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6</xdr:col>
                    <xdr:colOff>28575</xdr:colOff>
                    <xdr:row>68</xdr:row>
                    <xdr:rowOff>28575</xdr:rowOff>
                  </from>
                  <to>
                    <xdr:col>8</xdr:col>
                    <xdr:colOff>314325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LISTAS!$A$3:$A$28</xm:f>
          </x14:formula1>
          <xm:sqref>D8:L8</xm:sqref>
        </x14:dataValidation>
        <x14:dataValidation type="list" allowBlank="1" showInputMessage="1" showErrorMessage="1">
          <x14:formula1>
            <xm:f>LISTAS!$A$32:$A$40</xm:f>
          </x14:formula1>
          <xm:sqref>G32:H32</xm:sqref>
        </x14:dataValidation>
        <x14:dataValidation type="list" allowBlank="1" showInputMessage="1" showErrorMessage="1">
          <x14:formula1>
            <xm:f>LISTAS!$A$43:$A$54</xm:f>
          </x14:formula1>
          <xm:sqref>A81 A103 A101 A99 A97 A95 A93 A91 A89 A87 A85 A83</xm:sqref>
        </x14:dataValidation>
        <x14:dataValidation type="list" allowBlank="1" showInputMessage="1" showErrorMessage="1">
          <x14:formula1>
            <xm:f>LISTAS!$C$33:$C$38</xm:f>
          </x14:formula1>
          <xm:sqref>K101 K103 K99 L81:L94 K81:K95 K97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Below="0" summaryRight="0"/>
  </sheetPr>
  <dimension ref="A1:I54"/>
  <sheetViews>
    <sheetView topLeftCell="A37" workbookViewId="0">
      <selection activeCell="C43" sqref="C43"/>
    </sheetView>
  </sheetViews>
  <sheetFormatPr baseColWidth="10" defaultColWidth="14.42578125" defaultRowHeight="15" customHeight="1"/>
  <cols>
    <col min="1" max="1" width="34" customWidth="1"/>
    <col min="2" max="2" width="41.42578125" customWidth="1"/>
    <col min="3" max="3" width="58.28515625" customWidth="1"/>
    <col min="4" max="4" width="20.42578125" customWidth="1"/>
    <col min="5" max="5" width="22.5703125" customWidth="1"/>
    <col min="6" max="6" width="48.7109375" customWidth="1"/>
    <col min="7" max="8" width="0" hidden="1" customWidth="1"/>
    <col min="9" max="9" width="80.7109375" customWidth="1"/>
  </cols>
  <sheetData>
    <row r="1" spans="1:9" ht="15" customHeight="1">
      <c r="A1">
        <v>1</v>
      </c>
      <c r="B1">
        <v>2</v>
      </c>
      <c r="C1">
        <v>3</v>
      </c>
      <c r="D1">
        <v>4</v>
      </c>
    </row>
    <row r="2" spans="1:9" ht="15" customHeight="1">
      <c r="A2" s="13" t="s">
        <v>9</v>
      </c>
      <c r="B2" s="14" t="s">
        <v>10</v>
      </c>
      <c r="C2" s="15" t="s">
        <v>42</v>
      </c>
      <c r="D2" s="14" t="s">
        <v>51</v>
      </c>
      <c r="E2" t="s">
        <v>124</v>
      </c>
      <c r="F2" t="s">
        <v>125</v>
      </c>
      <c r="G2" t="s">
        <v>126</v>
      </c>
      <c r="H2" t="s">
        <v>127</v>
      </c>
      <c r="I2" t="s">
        <v>128</v>
      </c>
    </row>
    <row r="3" spans="1:9" ht="63" customHeight="1">
      <c r="A3" s="11" t="s">
        <v>11</v>
      </c>
      <c r="B3" s="10" t="s">
        <v>0</v>
      </c>
      <c r="C3" s="12" t="s">
        <v>43</v>
      </c>
      <c r="D3" s="10" t="s">
        <v>52</v>
      </c>
    </row>
    <row r="4" spans="1:9" ht="15" customHeight="1">
      <c r="A4" s="11" t="s">
        <v>53</v>
      </c>
      <c r="B4" s="10" t="s">
        <v>32</v>
      </c>
      <c r="C4" s="12" t="s">
        <v>44</v>
      </c>
      <c r="D4" s="10" t="s">
        <v>11</v>
      </c>
    </row>
    <row r="5" spans="1:9" ht="30" customHeight="1">
      <c r="A5" s="11" t="s">
        <v>12</v>
      </c>
      <c r="B5" s="10" t="s">
        <v>33</v>
      </c>
      <c r="C5" s="12" t="s">
        <v>44</v>
      </c>
      <c r="D5" s="10" t="s">
        <v>53</v>
      </c>
    </row>
    <row r="6" spans="1:9" ht="66" customHeight="1">
      <c r="A6" s="11" t="s">
        <v>13</v>
      </c>
      <c r="B6" s="10" t="s">
        <v>33</v>
      </c>
      <c r="C6" s="12" t="s">
        <v>44</v>
      </c>
      <c r="D6" s="10" t="s">
        <v>53</v>
      </c>
    </row>
    <row r="7" spans="1:9">
      <c r="A7" s="11" t="s">
        <v>34</v>
      </c>
      <c r="B7" s="10" t="s">
        <v>14</v>
      </c>
      <c r="C7" s="12" t="s">
        <v>45</v>
      </c>
      <c r="D7" s="10" t="s">
        <v>11</v>
      </c>
    </row>
    <row r="8" spans="1:9" ht="15" customHeight="1">
      <c r="A8" s="11" t="s">
        <v>35</v>
      </c>
      <c r="B8" s="10" t="s">
        <v>14</v>
      </c>
      <c r="C8" s="12" t="s">
        <v>45</v>
      </c>
      <c r="D8" s="10" t="s">
        <v>34</v>
      </c>
    </row>
    <row r="9" spans="1:9">
      <c r="A9" s="11" t="s">
        <v>15</v>
      </c>
      <c r="B9" s="10" t="s">
        <v>16</v>
      </c>
      <c r="C9" s="12" t="s">
        <v>45</v>
      </c>
      <c r="D9" s="10" t="s">
        <v>11</v>
      </c>
    </row>
    <row r="10" spans="1:9" ht="15" customHeight="1">
      <c r="A10" s="11" t="s">
        <v>17</v>
      </c>
      <c r="B10" s="10" t="s">
        <v>16</v>
      </c>
      <c r="C10" s="12" t="s">
        <v>45</v>
      </c>
      <c r="D10" s="10" t="s">
        <v>15</v>
      </c>
    </row>
    <row r="11" spans="1:9" ht="15" customHeight="1">
      <c r="A11" s="11" t="s">
        <v>18</v>
      </c>
      <c r="B11" s="10" t="s">
        <v>16</v>
      </c>
      <c r="C11" s="12" t="s">
        <v>45</v>
      </c>
      <c r="D11" s="10" t="s">
        <v>15</v>
      </c>
    </row>
    <row r="12" spans="1:9" ht="15" customHeight="1">
      <c r="A12" s="11" t="s">
        <v>31</v>
      </c>
      <c r="B12" s="10" t="s">
        <v>16</v>
      </c>
      <c r="C12" s="12" t="s">
        <v>45</v>
      </c>
      <c r="D12" s="10" t="s">
        <v>15</v>
      </c>
    </row>
    <row r="13" spans="1:9" ht="15" customHeight="1">
      <c r="A13" s="11" t="s">
        <v>47</v>
      </c>
      <c r="B13" s="10" t="s">
        <v>16</v>
      </c>
      <c r="C13" s="12" t="s">
        <v>45</v>
      </c>
      <c r="D13" s="10" t="s">
        <v>15</v>
      </c>
    </row>
    <row r="14" spans="1:9" ht="30">
      <c r="A14" s="11" t="s">
        <v>36</v>
      </c>
      <c r="B14" s="10" t="s">
        <v>19</v>
      </c>
      <c r="C14" s="12" t="s">
        <v>46</v>
      </c>
      <c r="D14" s="10" t="s">
        <v>11</v>
      </c>
    </row>
    <row r="15" spans="1:9" ht="30" customHeight="1">
      <c r="A15" s="11" t="s">
        <v>20</v>
      </c>
      <c r="B15" s="10" t="s">
        <v>21</v>
      </c>
      <c r="C15" s="12" t="s">
        <v>45</v>
      </c>
      <c r="D15" s="10" t="s">
        <v>11</v>
      </c>
    </row>
    <row r="16" spans="1:9" ht="118.9" customHeight="1">
      <c r="A16" s="11" t="s">
        <v>37</v>
      </c>
      <c r="B16" s="10" t="s">
        <v>21</v>
      </c>
      <c r="C16" s="12" t="s">
        <v>45</v>
      </c>
      <c r="D16" s="10" t="s">
        <v>20</v>
      </c>
    </row>
    <row r="17" spans="1:4" ht="15" customHeight="1">
      <c r="A17" s="11" t="s">
        <v>22</v>
      </c>
      <c r="B17" s="10" t="s">
        <v>23</v>
      </c>
      <c r="C17" s="12" t="s">
        <v>45</v>
      </c>
      <c r="D17" s="10" t="s">
        <v>11</v>
      </c>
    </row>
    <row r="18" spans="1:4" ht="15" customHeight="1">
      <c r="A18" s="11" t="s">
        <v>50</v>
      </c>
      <c r="B18" s="10" t="s">
        <v>23</v>
      </c>
      <c r="C18" s="12" t="s">
        <v>45</v>
      </c>
      <c r="D18" s="10" t="s">
        <v>11</v>
      </c>
    </row>
    <row r="19" spans="1:4" ht="15" customHeight="1">
      <c r="A19" s="11" t="s">
        <v>24</v>
      </c>
      <c r="B19" s="10" t="s">
        <v>25</v>
      </c>
      <c r="C19" s="12" t="s">
        <v>45</v>
      </c>
      <c r="D19" s="10" t="s">
        <v>11</v>
      </c>
    </row>
    <row r="20" spans="1:4" ht="15" customHeight="1">
      <c r="A20" s="11" t="s">
        <v>38</v>
      </c>
      <c r="B20" s="10" t="s">
        <v>39</v>
      </c>
      <c r="C20" s="12" t="s">
        <v>45</v>
      </c>
      <c r="D20" s="10" t="s">
        <v>11</v>
      </c>
    </row>
    <row r="21" spans="1:4" ht="15" customHeight="1">
      <c r="A21" s="11" t="s">
        <v>49</v>
      </c>
      <c r="B21" s="10" t="s">
        <v>39</v>
      </c>
      <c r="C21" s="12" t="s">
        <v>45</v>
      </c>
      <c r="D21" s="10" t="s">
        <v>38</v>
      </c>
    </row>
    <row r="22" spans="1:4" ht="31.9" customHeight="1">
      <c r="A22" s="11" t="s">
        <v>40</v>
      </c>
      <c r="B22" s="10" t="s">
        <v>26</v>
      </c>
      <c r="C22" s="12" t="s">
        <v>45</v>
      </c>
      <c r="D22" s="10" t="s">
        <v>11</v>
      </c>
    </row>
    <row r="23" spans="1:4" ht="45">
      <c r="A23" s="11" t="s">
        <v>41</v>
      </c>
      <c r="B23" s="10" t="s">
        <v>26</v>
      </c>
      <c r="C23" s="12" t="s">
        <v>45</v>
      </c>
      <c r="D23" s="10" t="s">
        <v>40</v>
      </c>
    </row>
    <row r="24" spans="1:4" ht="15" customHeight="1">
      <c r="A24" s="11" t="s">
        <v>27</v>
      </c>
      <c r="B24" s="10" t="s">
        <v>0</v>
      </c>
      <c r="C24" s="12" t="s">
        <v>43</v>
      </c>
      <c r="D24" s="10" t="s">
        <v>11</v>
      </c>
    </row>
    <row r="25" spans="1:4" ht="15" customHeight="1">
      <c r="A25" s="11" t="s">
        <v>28</v>
      </c>
      <c r="B25" s="10" t="s">
        <v>26</v>
      </c>
      <c r="C25" s="12" t="s">
        <v>45</v>
      </c>
      <c r="D25" s="10" t="s">
        <v>40</v>
      </c>
    </row>
    <row r="26" spans="1:4" ht="45">
      <c r="A26" s="11" t="s">
        <v>29</v>
      </c>
      <c r="B26" s="10" t="s">
        <v>26</v>
      </c>
      <c r="C26" s="12" t="s">
        <v>45</v>
      </c>
      <c r="D26" s="10" t="s">
        <v>40</v>
      </c>
    </row>
    <row r="27" spans="1:4" ht="45">
      <c r="A27" s="11" t="s">
        <v>30</v>
      </c>
      <c r="B27" s="10" t="s">
        <v>26</v>
      </c>
      <c r="C27" s="12" t="s">
        <v>45</v>
      </c>
      <c r="D27" s="10" t="s">
        <v>40</v>
      </c>
    </row>
    <row r="28" spans="1:4" ht="15" customHeight="1">
      <c r="A28" s="16" t="s">
        <v>48</v>
      </c>
      <c r="B28" s="17" t="s">
        <v>26</v>
      </c>
      <c r="C28" s="18" t="s">
        <v>45</v>
      </c>
      <c r="D28" s="10" t="s">
        <v>40</v>
      </c>
    </row>
    <row r="31" spans="1:4" ht="15" customHeight="1">
      <c r="B31" s="29" t="s">
        <v>92</v>
      </c>
      <c r="C31" s="29" t="s">
        <v>93</v>
      </c>
    </row>
    <row r="32" spans="1:4" ht="90">
      <c r="A32" s="24" t="s">
        <v>79</v>
      </c>
      <c r="B32" s="30" t="s">
        <v>95</v>
      </c>
      <c r="C32" s="30" t="s">
        <v>94</v>
      </c>
    </row>
    <row r="33" spans="1:3" ht="15" customHeight="1">
      <c r="A33" s="24" t="s">
        <v>80</v>
      </c>
      <c r="B33" s="27"/>
      <c r="C33" s="32">
        <v>5</v>
      </c>
    </row>
    <row r="34" spans="1:3" ht="15" customHeight="1">
      <c r="A34" s="24" t="s">
        <v>81</v>
      </c>
      <c r="B34" s="27"/>
      <c r="C34" s="32">
        <v>4</v>
      </c>
    </row>
    <row r="35" spans="1:3" ht="15" customHeight="1">
      <c r="A35" s="24" t="s">
        <v>82</v>
      </c>
      <c r="B35" s="28"/>
      <c r="C35" s="32">
        <v>3</v>
      </c>
    </row>
    <row r="36" spans="1:3" ht="15" customHeight="1">
      <c r="A36" s="24" t="s">
        <v>83</v>
      </c>
      <c r="C36" s="32">
        <v>2</v>
      </c>
    </row>
    <row r="37" spans="1:3" ht="15" customHeight="1">
      <c r="A37" s="24" t="s">
        <v>84</v>
      </c>
      <c r="C37" s="32">
        <v>1</v>
      </c>
    </row>
    <row r="38" spans="1:3" ht="15" customHeight="1">
      <c r="A38" s="24" t="s">
        <v>85</v>
      </c>
      <c r="C38" s="32" t="s">
        <v>141</v>
      </c>
    </row>
    <row r="39" spans="1:3" ht="15" customHeight="1">
      <c r="A39" s="24" t="s">
        <v>86</v>
      </c>
    </row>
    <row r="40" spans="1:3" ht="15" customHeight="1">
      <c r="A40" s="24" t="s">
        <v>87</v>
      </c>
    </row>
    <row r="41" spans="1:3" ht="15" customHeight="1">
      <c r="A41">
        <v>1</v>
      </c>
      <c r="B41">
        <v>2</v>
      </c>
      <c r="C41">
        <v>3</v>
      </c>
    </row>
    <row r="42" spans="1:3" ht="15" customHeight="1">
      <c r="A42" s="37" t="s">
        <v>129</v>
      </c>
      <c r="B42" s="38" t="s">
        <v>97</v>
      </c>
      <c r="C42" s="38" t="s">
        <v>98</v>
      </c>
    </row>
    <row r="43" spans="1:3" ht="75">
      <c r="A43" s="39" t="s">
        <v>99</v>
      </c>
      <c r="B43" s="33" t="s">
        <v>100</v>
      </c>
      <c r="C43" s="34" t="s">
        <v>134</v>
      </c>
    </row>
    <row r="44" spans="1:3" ht="60">
      <c r="A44" s="34" t="s">
        <v>101</v>
      </c>
      <c r="B44" s="31" t="s">
        <v>102</v>
      </c>
      <c r="C44" s="34" t="s">
        <v>135</v>
      </c>
    </row>
    <row r="45" spans="1:3" ht="75">
      <c r="A45" s="34" t="s">
        <v>103</v>
      </c>
      <c r="B45" s="31" t="s">
        <v>104</v>
      </c>
      <c r="C45" s="34" t="s">
        <v>136</v>
      </c>
    </row>
    <row r="46" spans="1:3" ht="105">
      <c r="A46" s="34" t="s">
        <v>105</v>
      </c>
      <c r="B46" s="40" t="s">
        <v>106</v>
      </c>
      <c r="C46" s="34" t="s">
        <v>137</v>
      </c>
    </row>
    <row r="47" spans="1:3" ht="105">
      <c r="A47" s="34" t="s">
        <v>107</v>
      </c>
      <c r="B47" s="40" t="s">
        <v>108</v>
      </c>
      <c r="C47" s="34" t="s">
        <v>138</v>
      </c>
    </row>
    <row r="48" spans="1:3" ht="75">
      <c r="A48" s="41" t="s">
        <v>109</v>
      </c>
      <c r="B48" s="40" t="s">
        <v>110</v>
      </c>
      <c r="C48" s="34" t="s">
        <v>139</v>
      </c>
    </row>
    <row r="49" spans="1:3" ht="75">
      <c r="A49" s="34" t="s">
        <v>111</v>
      </c>
      <c r="B49" s="31" t="s">
        <v>112</v>
      </c>
      <c r="C49" s="34" t="s">
        <v>140</v>
      </c>
    </row>
    <row r="50" spans="1:3" ht="75">
      <c r="A50" s="34" t="s">
        <v>113</v>
      </c>
      <c r="B50" s="33" t="s">
        <v>114</v>
      </c>
      <c r="C50" s="31" t="s">
        <v>114</v>
      </c>
    </row>
    <row r="51" spans="1:3" ht="60">
      <c r="A51" s="34" t="s">
        <v>115</v>
      </c>
      <c r="B51" s="33" t="s">
        <v>116</v>
      </c>
      <c r="C51" s="31" t="s">
        <v>116</v>
      </c>
    </row>
    <row r="52" spans="1:3" ht="90">
      <c r="A52" s="34" t="s">
        <v>117</v>
      </c>
      <c r="B52" s="33" t="s">
        <v>118</v>
      </c>
      <c r="C52" s="31" t="s">
        <v>118</v>
      </c>
    </row>
    <row r="53" spans="1:3" ht="150">
      <c r="A53" s="34" t="s">
        <v>119</v>
      </c>
      <c r="B53" s="33" t="s">
        <v>120</v>
      </c>
      <c r="C53" s="31" t="s">
        <v>121</v>
      </c>
    </row>
    <row r="54" spans="1:3" ht="120">
      <c r="A54" s="34" t="s">
        <v>122</v>
      </c>
      <c r="B54" s="31" t="s">
        <v>123</v>
      </c>
      <c r="C54" s="31" t="s">
        <v>123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Formato</vt:lpstr>
      <vt:lpstr>LISTAS</vt:lpstr>
      <vt:lpstr>Formato!Área_de_impresión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Tello</dc:creator>
  <cp:lastModifiedBy>ZFIP_Comercial</cp:lastModifiedBy>
  <cp:lastPrinted>2023-02-22T23:46:09Z</cp:lastPrinted>
  <dcterms:created xsi:type="dcterms:W3CDTF">2015-11-05T16:15:41Z</dcterms:created>
  <dcterms:modified xsi:type="dcterms:W3CDTF">2023-07-26T14:34:38Z</dcterms:modified>
</cp:coreProperties>
</file>