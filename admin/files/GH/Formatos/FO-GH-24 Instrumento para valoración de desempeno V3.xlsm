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Password="8475" lockStructure="1"/>
  <bookViews>
    <workbookView xWindow="0" yWindow="0" windowWidth="16608" windowHeight="9432"/>
  </bookViews>
  <sheets>
    <sheet name="Instrumento" sheetId="2" r:id="rId1"/>
    <sheet name="Desplegables" sheetId="1" state="hidden" r:id="rId2"/>
    <sheet name="Cargos-Competencias" sheetId="3" state="hidden" r:id="rId3"/>
    <sheet name="Diccionario " sheetId="4" state="hidden" r:id="rId4"/>
  </sheets>
  <definedNames>
    <definedName name="_xlnm._FilterDatabase" localSheetId="2" hidden="1">'Cargos-Competencias'!#REF!</definedName>
    <definedName name="_xlnm._FilterDatabase" localSheetId="3" hidden="1">'Diccionario '!$A$2:$G$21</definedName>
    <definedName name="AAA">Desplegables!#REF!</definedName>
    <definedName name="AAT">Desplegables!#REF!</definedName>
    <definedName name="Actitudinales">Desplegables!#REF!</definedName>
    <definedName name="AREA">Desplegables!#REF!</definedName>
    <definedName name="_xlnm.Extract" localSheetId="2">'Cargos-Competencias'!#REF!</definedName>
    <definedName name="_xlnm.Print_Area" localSheetId="0">Instrumento!$A$1:$X$88</definedName>
    <definedName name="ARET">Desplegables!#REF!</definedName>
    <definedName name="CARGO" comment="Cargos">Desplegables!$A$4:$A$78</definedName>
    <definedName name="JAA">Desplegables!#REF!</definedName>
    <definedName name="JAT">Desplegables!#REF!</definedName>
    <definedName name="Organizacionales">Desplegables!$E$4:$E$8</definedName>
    <definedName name="Periodo">Desplegables!$D$4:$D$5</definedName>
    <definedName name="Proceso" comment="Proceso">Desplegables!$C$4:$C$78</definedName>
    <definedName name="Técnicas">Desplegables!#REF!</definedName>
    <definedName name="TODASCOM">Desplegables!$F$4:$F$38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9" i="3" l="1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3" i="3"/>
  <c r="D4" i="3"/>
  <c r="D5" i="3"/>
  <c r="D6" i="3"/>
  <c r="D7" i="3"/>
  <c r="D8" i="3"/>
  <c r="D9" i="3"/>
  <c r="C52" i="2"/>
  <c r="A52" i="2"/>
  <c r="C50" i="2"/>
  <c r="A50" i="2"/>
  <c r="C48" i="2"/>
  <c r="A48" i="2"/>
  <c r="C46" i="2"/>
  <c r="A46" i="2"/>
  <c r="C44" i="2"/>
  <c r="A44" i="2"/>
  <c r="G52" i="2"/>
  <c r="G50" i="2"/>
  <c r="G48" i="2"/>
  <c r="G46" i="2"/>
  <c r="G44" i="2"/>
  <c r="C36" i="2"/>
  <c r="A36" i="2"/>
  <c r="E44" i="2"/>
  <c r="K50" i="2"/>
  <c r="L50" i="2"/>
  <c r="O50" i="2"/>
  <c r="P50" i="2"/>
  <c r="R50" i="2"/>
  <c r="T50" i="2"/>
  <c r="S50" i="2"/>
  <c r="U50" i="2"/>
  <c r="V50" i="2"/>
  <c r="V51" i="2"/>
  <c r="K52" i="2"/>
  <c r="L52" i="2"/>
  <c r="O52" i="2"/>
  <c r="P52" i="2"/>
  <c r="R52" i="2"/>
  <c r="T52" i="2"/>
  <c r="S52" i="2"/>
  <c r="U52" i="2"/>
  <c r="V52" i="2"/>
  <c r="V53" i="2"/>
  <c r="K48" i="2"/>
  <c r="L48" i="2"/>
  <c r="O48" i="2"/>
  <c r="P48" i="2"/>
  <c r="R48" i="2"/>
  <c r="T48" i="2"/>
  <c r="S48" i="2"/>
  <c r="U48" i="2"/>
  <c r="V48" i="2"/>
  <c r="V49" i="2"/>
  <c r="K46" i="2"/>
  <c r="L46" i="2"/>
  <c r="O46" i="2"/>
  <c r="P46" i="2"/>
  <c r="R46" i="2"/>
  <c r="T46" i="2"/>
  <c r="S46" i="2"/>
  <c r="U46" i="2"/>
  <c r="V46" i="2"/>
  <c r="V47" i="2"/>
  <c r="K44" i="2"/>
  <c r="L44" i="2"/>
  <c r="O44" i="2"/>
  <c r="P44" i="2"/>
  <c r="R44" i="2"/>
  <c r="T44" i="2"/>
  <c r="S44" i="2"/>
  <c r="U44" i="2"/>
  <c r="V44" i="2"/>
  <c r="V45" i="2"/>
  <c r="V56" i="2"/>
  <c r="W49" i="2"/>
  <c r="F18" i="4"/>
  <c r="F19" i="4"/>
  <c r="F20" i="4"/>
  <c r="F21" i="4"/>
  <c r="H48" i="2"/>
  <c r="E48" i="2"/>
  <c r="W47" i="2"/>
  <c r="H46" i="2"/>
  <c r="E46" i="2"/>
  <c r="W45" i="2"/>
  <c r="H44" i="2"/>
  <c r="K39" i="2"/>
  <c r="L39" i="2"/>
  <c r="O39" i="2"/>
  <c r="P39" i="2"/>
  <c r="R39" i="2"/>
  <c r="T39" i="2"/>
  <c r="S39" i="2"/>
  <c r="U39" i="2"/>
  <c r="V39" i="2"/>
  <c r="K40" i="2"/>
  <c r="L40" i="2"/>
  <c r="O40" i="2"/>
  <c r="P40" i="2"/>
  <c r="R40" i="2"/>
  <c r="T40" i="2"/>
  <c r="S40" i="2"/>
  <c r="U40" i="2"/>
  <c r="V40" i="2"/>
  <c r="V41" i="2"/>
  <c r="K36" i="2"/>
  <c r="L36" i="2"/>
  <c r="O36" i="2"/>
  <c r="P36" i="2"/>
  <c r="R36" i="2"/>
  <c r="T36" i="2"/>
  <c r="S36" i="2"/>
  <c r="U36" i="2"/>
  <c r="V36" i="2"/>
  <c r="K37" i="2"/>
  <c r="L37" i="2"/>
  <c r="O37" i="2"/>
  <c r="P37" i="2"/>
  <c r="R37" i="2"/>
  <c r="T37" i="2"/>
  <c r="S37" i="2"/>
  <c r="U37" i="2"/>
  <c r="V37" i="2"/>
  <c r="V38" i="2"/>
  <c r="K31" i="2"/>
  <c r="L31" i="2"/>
  <c r="O31" i="2"/>
  <c r="P31" i="2"/>
  <c r="R31" i="2"/>
  <c r="T31" i="2"/>
  <c r="S31" i="2"/>
  <c r="U31" i="2"/>
  <c r="V31" i="2"/>
  <c r="K32" i="2"/>
  <c r="L32" i="2"/>
  <c r="O32" i="2"/>
  <c r="P32" i="2"/>
  <c r="R32" i="2"/>
  <c r="T32" i="2"/>
  <c r="S32" i="2"/>
  <c r="U32" i="2"/>
  <c r="V32" i="2"/>
  <c r="V33" i="2"/>
  <c r="K28" i="2"/>
  <c r="L28" i="2"/>
  <c r="O28" i="2"/>
  <c r="P28" i="2"/>
  <c r="R28" i="2"/>
  <c r="T28" i="2"/>
  <c r="S28" i="2"/>
  <c r="U28" i="2"/>
  <c r="V28" i="2"/>
  <c r="K29" i="2"/>
  <c r="L29" i="2"/>
  <c r="O29" i="2"/>
  <c r="P29" i="2"/>
  <c r="R29" i="2"/>
  <c r="T29" i="2"/>
  <c r="S29" i="2"/>
  <c r="U29" i="2"/>
  <c r="V29" i="2"/>
  <c r="V30" i="2"/>
  <c r="K25" i="2"/>
  <c r="L25" i="2"/>
  <c r="O25" i="2"/>
  <c r="P25" i="2"/>
  <c r="R25" i="2"/>
  <c r="T25" i="2"/>
  <c r="S25" i="2"/>
  <c r="U25" i="2"/>
  <c r="V25" i="2"/>
  <c r="K26" i="2"/>
  <c r="L26" i="2"/>
  <c r="O26" i="2"/>
  <c r="P26" i="2"/>
  <c r="R26" i="2"/>
  <c r="T26" i="2"/>
  <c r="S26" i="2"/>
  <c r="U26" i="2"/>
  <c r="V26" i="2"/>
  <c r="V27" i="2"/>
  <c r="K22" i="2"/>
  <c r="L22" i="2"/>
  <c r="O22" i="2"/>
  <c r="P22" i="2"/>
  <c r="R22" i="2"/>
  <c r="T22" i="2"/>
  <c r="S22" i="2"/>
  <c r="U22" i="2"/>
  <c r="V22" i="2"/>
  <c r="K23" i="2"/>
  <c r="L23" i="2"/>
  <c r="O23" i="2"/>
  <c r="P23" i="2"/>
  <c r="R23" i="2"/>
  <c r="T23" i="2"/>
  <c r="S23" i="2"/>
  <c r="U23" i="2"/>
  <c r="V23" i="2"/>
  <c r="V24" i="2"/>
  <c r="K19" i="2"/>
  <c r="L19" i="2"/>
  <c r="O19" i="2"/>
  <c r="P19" i="2"/>
  <c r="R19" i="2"/>
  <c r="T19" i="2"/>
  <c r="S19" i="2"/>
  <c r="U19" i="2"/>
  <c r="V19" i="2"/>
  <c r="K20" i="2"/>
  <c r="L20" i="2"/>
  <c r="O20" i="2"/>
  <c r="P20" i="2"/>
  <c r="R20" i="2"/>
  <c r="T20" i="2"/>
  <c r="S20" i="2"/>
  <c r="U20" i="2"/>
  <c r="V20" i="2"/>
  <c r="V21" i="2"/>
  <c r="V55" i="2"/>
  <c r="F14" i="4"/>
  <c r="F13" i="4"/>
  <c r="F12" i="4"/>
  <c r="F11" i="4"/>
  <c r="F10" i="4"/>
  <c r="F9" i="4"/>
  <c r="F8" i="4"/>
  <c r="F7" i="4"/>
  <c r="G32" i="2"/>
  <c r="G31" i="2"/>
  <c r="W33" i="2"/>
  <c r="E31" i="2"/>
  <c r="G19" i="2"/>
  <c r="E28" i="2"/>
  <c r="W53" i="2"/>
  <c r="W51" i="2"/>
  <c r="W41" i="2"/>
  <c r="W38" i="2"/>
  <c r="W30" i="2"/>
  <c r="W27" i="2"/>
  <c r="W24" i="2"/>
  <c r="E74" i="2"/>
  <c r="G25" i="2"/>
  <c r="G26" i="2"/>
  <c r="E25" i="2"/>
  <c r="E22" i="2"/>
  <c r="E19" i="2"/>
  <c r="F17" i="4"/>
  <c r="F16" i="4"/>
  <c r="F15" i="4"/>
  <c r="F6" i="4"/>
  <c r="F5" i="4"/>
  <c r="F4" i="4"/>
  <c r="F3" i="4"/>
  <c r="H31" i="2"/>
  <c r="H32" i="2"/>
  <c r="E70" i="2"/>
  <c r="M74" i="2"/>
  <c r="E72" i="2"/>
  <c r="J70" i="2"/>
  <c r="C39" i="2"/>
  <c r="G36" i="2"/>
  <c r="E52" i="2"/>
  <c r="E50" i="2"/>
  <c r="A39" i="2"/>
  <c r="E39" i="2"/>
  <c r="J12" i="2"/>
  <c r="J72" i="2" s="1"/>
  <c r="E36" i="2"/>
  <c r="G40" i="2"/>
  <c r="G39" i="2"/>
  <c r="G37" i="2"/>
  <c r="G29" i="2"/>
  <c r="G28" i="2"/>
  <c r="G23" i="2"/>
  <c r="G22" i="2"/>
  <c r="G20" i="2"/>
  <c r="H19" i="2"/>
  <c r="H28" i="2"/>
  <c r="H25" i="2"/>
  <c r="H26" i="2"/>
  <c r="H52" i="2"/>
  <c r="H40" i="2"/>
  <c r="H50" i="2"/>
  <c r="H39" i="2"/>
  <c r="H22" i="2"/>
  <c r="H36" i="2"/>
  <c r="H20" i="2"/>
  <c r="H23" i="2"/>
  <c r="H29" i="2"/>
  <c r="H37" i="2"/>
  <c r="W21" i="2"/>
</calcChain>
</file>

<file path=xl/sharedStrings.xml><?xml version="1.0" encoding="utf-8"?>
<sst xmlns="http://schemas.openxmlformats.org/spreadsheetml/2006/main" count="823" uniqueCount="149">
  <si>
    <t>Cargo:</t>
  </si>
  <si>
    <t xml:space="preserve"> </t>
  </si>
  <si>
    <t>Jefe Directo:</t>
  </si>
  <si>
    <t>Área:</t>
  </si>
  <si>
    <t xml:space="preserve">    </t>
  </si>
  <si>
    <t>Competencia</t>
  </si>
  <si>
    <t>Conductas Asociadas</t>
  </si>
  <si>
    <t>Valoración</t>
  </si>
  <si>
    <t>Observaciones</t>
  </si>
  <si>
    <t>Definición</t>
  </si>
  <si>
    <t>Promedio</t>
  </si>
  <si>
    <t>Firma del Jefe</t>
  </si>
  <si>
    <t>Compromisos</t>
  </si>
  <si>
    <t>CC:</t>
  </si>
  <si>
    <t>CARGOS</t>
  </si>
  <si>
    <t xml:space="preserve">PROCESO </t>
  </si>
  <si>
    <t>ALMACÉN, REVISIÓN Y ENSAMBLE</t>
  </si>
  <si>
    <t>TÉCNICA Y DE PROYECTOS</t>
  </si>
  <si>
    <t>ADMINISTRATIVA Y FINANCIERA</t>
  </si>
  <si>
    <t>PROCESO</t>
  </si>
  <si>
    <t>CARGO</t>
  </si>
  <si>
    <t>Proceso:</t>
  </si>
  <si>
    <t xml:space="preserve">COMPETENCIAS </t>
  </si>
  <si>
    <t>ORGANIZACIONALES</t>
  </si>
  <si>
    <t xml:space="preserve">ITEM </t>
  </si>
  <si>
    <t xml:space="preserve">COMPETENCIA   </t>
  </si>
  <si>
    <t xml:space="preserve">DEFINICIÓN </t>
  </si>
  <si>
    <t>ITEMS</t>
  </si>
  <si>
    <t xml:space="preserve">COMPORTAMIENTOS </t>
  </si>
  <si>
    <t>A</t>
  </si>
  <si>
    <t>B</t>
  </si>
  <si>
    <t>C</t>
  </si>
  <si>
    <t>D</t>
  </si>
  <si>
    <t>CONTAR NA</t>
  </si>
  <si>
    <t>P</t>
  </si>
  <si>
    <t>%</t>
  </si>
  <si>
    <t>CONTAR %</t>
  </si>
  <si>
    <t>Proceso</t>
  </si>
  <si>
    <t>Periodo</t>
  </si>
  <si>
    <t xml:space="preserve">Organizacionales </t>
  </si>
  <si>
    <t>Fecha de Revisión (AAAA/MM/DD)</t>
  </si>
  <si>
    <t>Mensajero</t>
  </si>
  <si>
    <t>Consciencia ambiental</t>
  </si>
  <si>
    <t>ESPECIFICAS</t>
  </si>
  <si>
    <t>Personas competitivas, enfocadas al cumplimiento responsable de metas.</t>
  </si>
  <si>
    <t>Comunicación asertiva</t>
  </si>
  <si>
    <t>TODAS COMPETENCIAS</t>
  </si>
  <si>
    <t>Capacidad de inspirar y movilizar a los equipos de trabajo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</si>
  <si>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</si>
  <si>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</si>
  <si>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</si>
  <si>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logro</t>
  </si>
  <si>
    <t>Capacidad para construir relaciones de cooperación y confianza con las personas que interactúo para favorecer el logro de  los objetivos de la organización, buscando el beneficio común.</t>
  </si>
  <si>
    <t xml:space="preserve">Promueve ambientes participativos permitiendo que su equipo aporte sus propias ideas y sugerencias </t>
  </si>
  <si>
    <t>DICCIONARIO DE COMPETENCIAS</t>
  </si>
  <si>
    <t>Pares.       (20 %)</t>
  </si>
  <si>
    <t>Gerente</t>
  </si>
  <si>
    <t>ADMINISTRATIVO</t>
  </si>
  <si>
    <t>Esta valoración tiene por objetivo determinar el desempeño en cada una de las competencias laborales de los colaboradores, por lo cual se valorará a través de la aplicación de una escala de frecuencias para la valoración de competencia.</t>
  </si>
  <si>
    <t>Firma del Valorado</t>
  </si>
  <si>
    <t>Periodo Valorado:</t>
  </si>
  <si>
    <t>Fecha de valoración (AAAA/MM/DD):</t>
  </si>
  <si>
    <t>Nombre del Valorado:</t>
  </si>
  <si>
    <t>E</t>
  </si>
  <si>
    <t>Capacidad para trabajar efectivamente en una variedad de situaciones, con diversos individuos o grupos, valorando las perspectivas diferentes para lograr un proceso de adaptación</t>
  </si>
  <si>
    <t>Directora de Operaciones</t>
  </si>
  <si>
    <t>Analista I operaciones</t>
  </si>
  <si>
    <t>Analista II operaciones</t>
  </si>
  <si>
    <t>Directora Contable y Financiera</t>
  </si>
  <si>
    <t>Auxiliar Contable y Financiera</t>
  </si>
  <si>
    <t>Auxiliar de Mantenimiento</t>
  </si>
  <si>
    <t>Coordinadora Sistema Integrado de Gestión</t>
  </si>
  <si>
    <t>Coordinador de Tecnología e Informática</t>
  </si>
  <si>
    <t>Auxiliar Tecnología e Informática</t>
  </si>
  <si>
    <t>Coordinador Jurídico</t>
  </si>
  <si>
    <t>Administrador PH</t>
  </si>
  <si>
    <t>Auxiliar monitoreo</t>
  </si>
  <si>
    <t>Auxiliar Gestión Administrativa</t>
  </si>
  <si>
    <t>Supernumeraria</t>
  </si>
  <si>
    <t>Auxiliar Gestión Documental</t>
  </si>
  <si>
    <t>Auxiliar Seguridad y Salud en el Trabajo</t>
  </si>
  <si>
    <t>Servicios generales</t>
  </si>
  <si>
    <t>Director Administrativo</t>
  </si>
  <si>
    <t>Técnico</t>
  </si>
  <si>
    <t>2023-1</t>
  </si>
  <si>
    <t>Contable y Financiera</t>
  </si>
  <si>
    <t>OPERACIONES</t>
  </si>
  <si>
    <t>Director Técnico</t>
  </si>
  <si>
    <t>Trabajo en equipo</t>
  </si>
  <si>
    <t>Orientación al cambio</t>
  </si>
  <si>
    <t>Liderazgo</t>
  </si>
  <si>
    <t>Pensamiento y ejecución estratégica</t>
  </si>
  <si>
    <t>Oportunidad ACPM</t>
  </si>
  <si>
    <t>Participación</t>
  </si>
  <si>
    <t>Trabaja en equipo en pro de objetivos colectivos derribando barreras funcionales, jerárquicas y entre áreas.</t>
  </si>
  <si>
    <t>Construye y mantiene relaciones interpersonales de confianza y respeto.</t>
  </si>
  <si>
    <t>Se expresa de manera directa, sincera y asertiva</t>
  </si>
  <si>
    <t>Demuestra coherencia entre lo que dice y hace. Es propositivo y no reactivo</t>
  </si>
  <si>
    <t>Muestra respeto, interés y disposición en comprender las necesidades de clientes, y usuarios; es amable y paciente</t>
  </si>
  <si>
    <t>Resuelve, atiende con agilidad y oportunidad, busca soluciones de raíz</t>
  </si>
  <si>
    <t>Demuestra una actitud positiva al cambio y rompe paradigmas, aceptando nuevas y diferentes opiniones o puntos de vista para lograr mejores prácticas</t>
  </si>
  <si>
    <t>Adquiere nuevos conocimientos y desarrolla nuevas habilidades. Comparte su conocimiento, en beneficio de la generación de valor</t>
  </si>
  <si>
    <t>Coordina y organiza eficazmente su equipo, propiciando un adecuado ambiente de trabajo, orientando y dirigiendo a los demás para motivarlos e inducirlos a que se llegue a las metas y objetivos planteados</t>
  </si>
  <si>
    <t>Alinea su quehacer diario enfocándolo al plan estratégico de la empresa. Es resolutivo</t>
  </si>
  <si>
    <t>Produce resultados y cumple compromisos - alcanza los objetivos y supera las metas</t>
  </si>
  <si>
    <t>Perspectiva amplia del entorno, la cual facilita hacer proyecciones, determinando adecuadamente planes a largo plazo.</t>
  </si>
  <si>
    <t>Logra fijar un objetivo, analiza los medios que tiene para alcanzarlo y los organiza para lograr el fin</t>
  </si>
  <si>
    <t>Genera planes de acción en pro del cumplimiento de los objetivos</t>
  </si>
  <si>
    <t>Ejecuta el cierre oportuno de los planes de acción establecidos, logrando el cumplimiento de las actividades planteadas y subsanando las causas que dieron lugar a la misma.</t>
  </si>
  <si>
    <t>Participa y promueve en su equipo el cumplimiento de las responsabilidades transversales que se desprenden de los sistemas de gestión</t>
  </si>
  <si>
    <t>Competencias</t>
  </si>
  <si>
    <t>Competencias con Personal a Cargo</t>
  </si>
  <si>
    <t>Responsabilidades SIG</t>
  </si>
  <si>
    <t>No aplica</t>
  </si>
  <si>
    <t>PROMEDIO COMPETENCIAS</t>
  </si>
  <si>
    <t>PROMEDIO RESPONSABILIDADES SIG</t>
  </si>
  <si>
    <t>F</t>
  </si>
  <si>
    <t>G</t>
  </si>
  <si>
    <t>Gerencia</t>
  </si>
  <si>
    <t>Gestión Operaciones</t>
  </si>
  <si>
    <t>Gestión Contable y Financiera</t>
  </si>
  <si>
    <t>Gestión Técnica</t>
  </si>
  <si>
    <t>Sistema Integrado de Gestión</t>
  </si>
  <si>
    <t>Gestión de Tecnología e Informática</t>
  </si>
  <si>
    <t>Gestión Jurídica</t>
  </si>
  <si>
    <t>Propiedad Horizontal</t>
  </si>
  <si>
    <t>Gestión Administrativa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</si>
  <si>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</si>
  <si>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</si>
  <si>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</si>
  <si>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</si>
  <si>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</si>
  <si>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</si>
  <si>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</si>
  <si>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CÓDIGO</t>
  </si>
  <si>
    <t>FECHA DE IMPLEMENTACIÓN</t>
  </si>
  <si>
    <t>FECHA DE ACTUALIZACIÓN</t>
  </si>
  <si>
    <t>VERSIÓN</t>
  </si>
  <si>
    <t>PÁGINA</t>
  </si>
  <si>
    <t>FO-GH-24</t>
  </si>
  <si>
    <t>INSTRUMENTO PARA LA VALORACIÓN DE DESEMPEÑO</t>
  </si>
  <si>
    <r>
      <t xml:space="preserve">Al registrar y entregar sus datos personales mediante este mecanismo de recolección de información, usted declara que conoce nuestra política de tratamiento de datos personales disponible en: </t>
    </r>
    <r>
      <rPr>
        <b/>
        <u/>
        <sz val="12"/>
        <color theme="8"/>
        <rFont val="Arial"/>
        <family val="2"/>
      </rPr>
      <t>www.politicadeprivacidad.co/politica/zfipusuariooperador</t>
    </r>
    <r>
      <rPr>
        <sz val="12"/>
        <color theme="1"/>
        <rFont val="Arial"/>
        <family val="2"/>
      </rPr>
      <t xml:space="preserve">, también declara que conoce sus derechos como titular de la información y que autoriza de manera libre, voluntaria, previa, explícita, informada e inequívoca a </t>
    </r>
    <r>
      <rPr>
        <b/>
        <sz val="12"/>
        <color theme="1"/>
        <rFont val="Arial"/>
        <family val="2"/>
      </rPr>
      <t xml:space="preserve">ZONA FRANCA INTERNACIONAL DE PEREIRA SAS USUARIO OPERADOR DE ZONAS FRANCAS </t>
    </r>
    <r>
      <rPr>
        <sz val="12"/>
        <color theme="1"/>
        <rFont val="Arial"/>
        <family val="2"/>
      </rPr>
      <t>con</t>
    </r>
    <r>
      <rPr>
        <b/>
        <sz val="12"/>
        <color theme="1"/>
        <rFont val="Arial"/>
        <family val="2"/>
      </rPr>
      <t xml:space="preserve"> NIT 900311215</t>
    </r>
    <r>
      <rPr>
        <sz val="12"/>
        <color theme="1"/>
        <rFont val="Arial"/>
        <family val="2"/>
      </rPr>
      <t xml:space="preserve"> para gestionar sus datos personales bajo los parámetros indicados en dicha política de tratamiento.</t>
    </r>
  </si>
  <si>
    <t>1 de 2</t>
  </si>
  <si>
    <t>2 de 2</t>
  </si>
  <si>
    <t>PLAN DE DESARROLLO</t>
  </si>
  <si>
    <t>Ayudante de Obra</t>
  </si>
  <si>
    <t>Residente</t>
  </si>
  <si>
    <t xml:space="preserve">Auto    </t>
  </si>
  <si>
    <t>Jefe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</si>
</sst>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2"/>
      <color rgb="FF252525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sz val="14"/>
      <color theme="1"/>
      <name val="Arial"/>
      <family val="2"/>
    </font>
    <font>
      <b/>
      <sz val="9"/>
      <color theme="1"/>
      <name val="Century Gothic"/>
      <family val="2"/>
    </font>
    <font>
      <sz val="9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9"/>
      <color rgb="FF000000"/>
      <name val="Century Gothic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8"/>
      <color rgb="FF000000"/>
      <name val="Arial"/>
      <family val="2"/>
    </font>
    <font>
      <b/>
      <sz val="16"/>
      <color theme="1"/>
      <name val="Century Gothic"/>
      <family val="2"/>
    </font>
    <font>
      <b/>
      <sz val="26"/>
      <color theme="1"/>
      <name val="Century Gothic"/>
      <family val="2"/>
    </font>
    <font>
      <sz val="18"/>
      <color theme="1"/>
      <name val="Arial"/>
      <family val="2"/>
    </font>
    <font>
      <b/>
      <u/>
      <sz val="12"/>
      <color theme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210">
    <xf numFmtId="0" fontId="0" fillId="0" borderId="0" xfId="0"/>
    <xf numFmtId="0" fontId="1" fillId="0" borderId="0" xfId="0" applyFont="1" applyProtection="1">
      <protection locked="0"/>
    </xf>
    <xf numFmtId="0" fontId="1" fillId="0" borderId="5" xfId="0" applyFont="1" applyBorder="1" applyProtection="1"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1" fillId="0" borderId="9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Protection="1">
      <protection locked="0"/>
    </xf>
    <xf numFmtId="0" fontId="1" fillId="0" borderId="11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2" fontId="1" fillId="0" borderId="0" xfId="0" applyNumberFormat="1" applyFont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2" fontId="1" fillId="0" borderId="0" xfId="0" applyNumberFormat="1" applyFont="1" applyProtection="1"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16" xfId="0" applyFont="1" applyBorder="1" applyProtection="1">
      <protection locked="0"/>
    </xf>
    <xf numFmtId="0" fontId="9" fillId="0" borderId="0" xfId="0" applyFont="1" applyProtection="1"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Protection="1">
      <protection locked="0"/>
    </xf>
    <xf numFmtId="0" fontId="1" fillId="0" borderId="6" xfId="0" applyFont="1" applyBorder="1" applyAlignment="1" applyProtection="1">
      <alignment horizontal="left" vertical="center"/>
      <protection locked="0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8" borderId="0" xfId="0" applyFont="1" applyFill="1" applyAlignment="1">
      <alignment vertical="center"/>
    </xf>
    <xf numFmtId="0" fontId="12" fillId="8" borderId="14" xfId="0" applyFont="1" applyFill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7" fillId="0" borderId="14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vertical="center" wrapText="1"/>
      <protection locked="0" hidden="1"/>
    </xf>
    <xf numFmtId="0" fontId="1" fillId="0" borderId="0" xfId="0" applyFont="1" applyAlignment="1" applyProtection="1">
      <alignment horizontal="center" vertical="center" wrapText="1"/>
      <protection locked="0" hidden="1"/>
    </xf>
    <xf numFmtId="0" fontId="1" fillId="0" borderId="11" xfId="0" applyFont="1" applyBorder="1" applyAlignment="1" applyProtection="1">
      <alignment horizontal="left" wrapText="1"/>
      <protection locked="0" hidden="1"/>
    </xf>
    <xf numFmtId="0" fontId="7" fillId="0" borderId="13" xfId="0" applyFont="1" applyBorder="1" applyAlignment="1" applyProtection="1">
      <alignment horizontal="center" vertical="center" wrapText="1"/>
      <protection locked="0" hidden="1"/>
    </xf>
    <xf numFmtId="0" fontId="0" fillId="0" borderId="0" xfId="0" applyProtection="1">
      <protection hidden="1"/>
    </xf>
    <xf numFmtId="0" fontId="1" fillId="0" borderId="0" xfId="0" applyFont="1" applyProtection="1">
      <protection locked="0" hidden="1"/>
    </xf>
    <xf numFmtId="0" fontId="9" fillId="0" borderId="0" xfId="0" applyFont="1" applyProtection="1">
      <protection locked="0" hidden="1"/>
    </xf>
    <xf numFmtId="0" fontId="1" fillId="0" borderId="0" xfId="0" applyFont="1" applyAlignment="1" applyProtection="1">
      <alignment vertical="center" wrapText="1"/>
      <protection locked="0" hidden="1"/>
    </xf>
    <xf numFmtId="0" fontId="1" fillId="0" borderId="16" xfId="0" applyFont="1" applyBorder="1" applyProtection="1">
      <protection locked="0" hidden="1"/>
    </xf>
    <xf numFmtId="0" fontId="1" fillId="0" borderId="0" xfId="0" applyFont="1" applyAlignment="1" applyProtection="1">
      <alignment horizontal="left" vertical="center" wrapText="1"/>
      <protection locked="0" hidden="1"/>
    </xf>
    <xf numFmtId="0" fontId="7" fillId="0" borderId="12" xfId="0" applyFont="1" applyBorder="1" applyAlignment="1" applyProtection="1">
      <alignment horizontal="center" vertical="center" wrapText="1"/>
      <protection locked="0" hidden="1"/>
    </xf>
    <xf numFmtId="0" fontId="7" fillId="10" borderId="15" xfId="0" applyFont="1" applyFill="1" applyBorder="1" applyAlignment="1" applyProtection="1">
      <alignment horizontal="center" vertical="center" wrapText="1"/>
      <protection locked="0" hidden="1"/>
    </xf>
    <xf numFmtId="0" fontId="7" fillId="10" borderId="15" xfId="0" applyFont="1" applyFill="1" applyBorder="1" applyAlignment="1" applyProtection="1">
      <alignment horizontal="center" vertical="center" wrapText="1"/>
      <protection locked="0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1" fillId="0" borderId="5" xfId="0" applyFont="1" applyBorder="1" applyAlignment="1" applyProtection="1">
      <alignment horizontal="left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11" xfId="0" applyFont="1" applyBorder="1" applyAlignment="1" applyProtection="1">
      <alignment horizontal="center" vertical="center" wrapText="1"/>
      <protection hidden="1"/>
    </xf>
    <xf numFmtId="0" fontId="10" fillId="9" borderId="12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 vertical="center"/>
    </xf>
    <xf numFmtId="0" fontId="11" fillId="3" borderId="14" xfId="0" applyFont="1" applyFill="1" applyBorder="1" applyAlignment="1" applyProtection="1">
      <alignment horizontal="center" vertical="center" wrapText="1"/>
      <protection hidden="1"/>
    </xf>
    <xf numFmtId="0" fontId="11" fillId="3" borderId="18" xfId="0" applyFont="1" applyFill="1" applyBorder="1" applyAlignment="1" applyProtection="1">
      <alignment horizontal="center" vertical="center" wrapText="1"/>
      <protection hidden="1"/>
    </xf>
    <xf numFmtId="0" fontId="11" fillId="3" borderId="21" xfId="0" applyFont="1" applyFill="1" applyBorder="1" applyAlignment="1" applyProtection="1">
      <alignment horizontal="center" vertical="center" wrapText="1"/>
      <protection hidden="1"/>
    </xf>
    <xf numFmtId="0" fontId="13" fillId="9" borderId="14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/>
    </xf>
    <xf numFmtId="0" fontId="12" fillId="0" borderId="14" xfId="0" applyFont="1" applyBorder="1" applyAlignment="1" applyProtection="1">
      <alignment horizontal="center" vertical="center"/>
      <protection hidden="1"/>
    </xf>
    <xf numFmtId="0" fontId="7" fillId="9" borderId="14" xfId="0" applyFont="1" applyFill="1" applyBorder="1" applyAlignment="1" applyProtection="1">
      <alignment horizontal="center" vertical="center"/>
      <protection hidden="1"/>
    </xf>
    <xf numFmtId="0" fontId="15" fillId="0" borderId="14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4" xfId="0" applyFont="1" applyBorder="1" applyAlignment="1" applyProtection="1">
      <alignment vertical="center"/>
      <protection locked="0"/>
    </xf>
    <xf numFmtId="0" fontId="11" fillId="0" borderId="21" xfId="0" applyFont="1" applyBorder="1" applyAlignment="1" applyProtection="1">
      <alignment vertical="center"/>
      <protection locked="0"/>
    </xf>
    <xf numFmtId="0" fontId="11" fillId="3" borderId="17" xfId="0" applyFont="1" applyFill="1" applyBorder="1" applyAlignment="1" applyProtection="1">
      <alignment vertical="center" wrapText="1"/>
      <protection locked="0"/>
    </xf>
    <xf numFmtId="0" fontId="11" fillId="3" borderId="23" xfId="0" applyFont="1" applyFill="1" applyBorder="1" applyAlignment="1" applyProtection="1">
      <alignment vertical="center" wrapText="1"/>
      <protection locked="0"/>
    </xf>
    <xf numFmtId="0" fontId="11" fillId="3" borderId="24" xfId="0" applyFont="1" applyFill="1" applyBorder="1" applyAlignment="1" applyProtection="1">
      <alignment vertical="center" wrapText="1"/>
      <protection locked="0"/>
    </xf>
    <xf numFmtId="165" fontId="1" fillId="0" borderId="14" xfId="0" applyNumberFormat="1" applyFont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2" fillId="7" borderId="14" xfId="0" applyFont="1" applyFill="1" applyBorder="1" applyAlignment="1">
      <alignment vertical="center" wrapText="1"/>
    </xf>
    <xf numFmtId="0" fontId="11" fillId="3" borderId="26" xfId="0" applyFont="1" applyFill="1" applyBorder="1" applyAlignment="1" applyProtection="1">
      <alignment vertical="center" wrapText="1"/>
      <protection locked="0"/>
    </xf>
    <xf numFmtId="0" fontId="11" fillId="3" borderId="15" xfId="0" applyFont="1" applyFill="1" applyBorder="1" applyAlignment="1" applyProtection="1">
      <alignment vertical="center" wrapText="1"/>
      <protection locked="0"/>
    </xf>
    <xf numFmtId="0" fontId="11" fillId="3" borderId="27" xfId="0" applyFont="1" applyFill="1" applyBorder="1" applyAlignment="1" applyProtection="1">
      <alignment vertical="center" wrapText="1"/>
      <protection locked="0"/>
    </xf>
    <xf numFmtId="0" fontId="11" fillId="3" borderId="28" xfId="0" applyFont="1" applyFill="1" applyBorder="1" applyAlignment="1" applyProtection="1">
      <alignment vertical="center" wrapText="1"/>
      <protection locked="0"/>
    </xf>
    <xf numFmtId="0" fontId="14" fillId="0" borderId="19" xfId="0" applyFont="1" applyBorder="1" applyAlignment="1" applyProtection="1">
      <alignment vertical="center"/>
      <protection locked="0"/>
    </xf>
    <xf numFmtId="0" fontId="14" fillId="0" borderId="20" xfId="0" applyFont="1" applyBorder="1" applyAlignment="1" applyProtection="1">
      <alignment vertical="center"/>
      <protection locked="0"/>
    </xf>
    <xf numFmtId="0" fontId="7" fillId="9" borderId="8" xfId="0" applyFont="1" applyFill="1" applyBorder="1" applyAlignment="1" applyProtection="1">
      <alignment horizontal="center" vertical="center"/>
      <protection hidden="1"/>
    </xf>
    <xf numFmtId="9" fontId="1" fillId="0" borderId="0" xfId="0" applyNumberFormat="1" applyFont="1" applyAlignment="1" applyProtection="1">
      <alignment horizontal="center" vertical="center" wrapText="1"/>
      <protection locked="0"/>
    </xf>
    <xf numFmtId="0" fontId="19" fillId="0" borderId="6" xfId="0" applyFont="1" applyBorder="1" applyAlignment="1">
      <alignment horizontal="center" vertical="center" textRotation="255"/>
    </xf>
    <xf numFmtId="0" fontId="11" fillId="3" borderId="4" xfId="0" applyFont="1" applyFill="1" applyBorder="1" applyAlignment="1" applyProtection="1">
      <alignment horizontal="center" vertical="center" wrapText="1"/>
      <protection hidden="1"/>
    </xf>
    <xf numFmtId="0" fontId="11" fillId="0" borderId="4" xfId="0" applyFont="1" applyBorder="1" applyAlignment="1" applyProtection="1">
      <alignment vertical="center"/>
      <protection locked="0"/>
    </xf>
    <xf numFmtId="0" fontId="14" fillId="0" borderId="30" xfId="0" applyFont="1" applyBorder="1" applyAlignment="1" applyProtection="1">
      <alignment vertical="center"/>
      <protection locked="0"/>
    </xf>
    <xf numFmtId="0" fontId="12" fillId="0" borderId="14" xfId="0" applyFont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vertical="center" wrapText="1"/>
      <protection locked="0"/>
    </xf>
    <xf numFmtId="0" fontId="14" fillId="0" borderId="30" xfId="0" applyFont="1" applyBorder="1" applyAlignment="1" applyProtection="1">
      <alignment vertical="center" wrapText="1"/>
      <protection locked="0"/>
    </xf>
    <xf numFmtId="0" fontId="14" fillId="0" borderId="22" xfId="0" applyFont="1" applyBorder="1" applyAlignment="1" applyProtection="1">
      <alignment vertical="center" wrapText="1"/>
      <protection locked="0"/>
    </xf>
    <xf numFmtId="0" fontId="15" fillId="0" borderId="14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vertical="center" wrapText="1"/>
      <protection locked="0"/>
    </xf>
    <xf numFmtId="14" fontId="1" fillId="0" borderId="14" xfId="0" applyNumberFormat="1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1" fillId="0" borderId="14" xfId="0" applyFont="1" applyBorder="1" applyAlignment="1" applyProtection="1">
      <alignment horizontal="justify" vertical="center" wrapText="1"/>
      <protection hidden="1"/>
    </xf>
    <xf numFmtId="0" fontId="1" fillId="0" borderId="12" xfId="0" applyFont="1" applyBorder="1" applyAlignment="1" applyProtection="1">
      <alignment horizontal="justify" vertical="center" wrapText="1"/>
      <protection locked="0"/>
    </xf>
    <xf numFmtId="0" fontId="1" fillId="0" borderId="13" xfId="0" applyFont="1" applyBorder="1" applyAlignment="1" applyProtection="1">
      <alignment horizontal="justify" vertical="center" wrapText="1"/>
      <protection locked="0"/>
    </xf>
    <xf numFmtId="0" fontId="1" fillId="0" borderId="15" xfId="0" applyFont="1" applyBorder="1" applyAlignment="1" applyProtection="1">
      <alignment horizontal="justify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justify" vertical="center" wrapText="1"/>
      <protection hidden="1"/>
    </xf>
    <xf numFmtId="0" fontId="1" fillId="0" borderId="14" xfId="0" applyFont="1" applyBorder="1" applyAlignment="1">
      <alignment horizontal="center" vertical="center" wrapText="1"/>
    </xf>
    <xf numFmtId="0" fontId="7" fillId="10" borderId="12" xfId="0" applyFont="1" applyFill="1" applyBorder="1" applyAlignment="1" applyProtection="1">
      <alignment horizontal="center" vertical="center" wrapText="1"/>
      <protection locked="0"/>
    </xf>
    <xf numFmtId="0" fontId="7" fillId="10" borderId="13" xfId="0" applyFont="1" applyFill="1" applyBorder="1" applyAlignment="1" applyProtection="1">
      <alignment horizontal="center" vertical="center" wrapText="1"/>
      <protection locked="0"/>
    </xf>
    <xf numFmtId="0" fontId="7" fillId="10" borderId="15" xfId="0" applyFont="1" applyFill="1" applyBorder="1" applyAlignment="1" applyProtection="1">
      <alignment horizontal="center" vertical="center" wrapText="1"/>
      <protection locked="0"/>
    </xf>
    <xf numFmtId="2" fontId="1" fillId="10" borderId="14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165" fontId="7" fillId="0" borderId="25" xfId="0" applyNumberFormat="1" applyFont="1" applyBorder="1" applyAlignment="1" applyProtection="1">
      <alignment horizontal="left" vertical="center" wrapText="1"/>
      <protection hidden="1"/>
    </xf>
    <xf numFmtId="0" fontId="7" fillId="5" borderId="14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hidden="1"/>
    </xf>
    <xf numFmtId="2" fontId="17" fillId="4" borderId="14" xfId="1" applyNumberFormat="1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/>
      <protection locked="0"/>
    </xf>
    <xf numFmtId="0" fontId="5" fillId="6" borderId="13" xfId="0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6" fillId="0" borderId="3" xfId="0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6" fillId="0" borderId="11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justify" vertical="center" wrapText="1"/>
      <protection hidden="1"/>
    </xf>
    <xf numFmtId="0" fontId="1" fillId="0" borderId="8" xfId="0" applyFont="1" applyBorder="1" applyAlignment="1" applyProtection="1">
      <alignment horizontal="justify" vertical="center" wrapText="1"/>
      <protection hidden="1"/>
    </xf>
    <xf numFmtId="0" fontId="1" fillId="0" borderId="7" xfId="0" applyFont="1" applyBorder="1" applyAlignment="1" applyProtection="1">
      <alignment horizontal="justify" vertical="center" wrapText="1"/>
      <protection hidden="1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 hidden="1"/>
    </xf>
    <xf numFmtId="0" fontId="7" fillId="0" borderId="25" xfId="0" applyFont="1" applyBorder="1" applyAlignment="1" applyProtection="1">
      <alignment horizontal="left" vertical="center" wrapText="1"/>
      <protection locked="0"/>
    </xf>
    <xf numFmtId="165" fontId="7" fillId="0" borderId="25" xfId="0" applyNumberFormat="1" applyFont="1" applyBorder="1" applyAlignment="1" applyProtection="1">
      <alignment horizontal="left" vertical="center" wrapText="1"/>
      <protection locked="0"/>
    </xf>
    <xf numFmtId="0" fontId="7" fillId="0" borderId="14" xfId="0" applyFont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5" fillId="10" borderId="12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 applyProtection="1">
      <alignment horizontal="center" vertical="center"/>
      <protection locked="0"/>
    </xf>
    <xf numFmtId="0" fontId="5" fillId="10" borderId="15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 wrapText="1"/>
      <protection locked="0" hidden="1"/>
    </xf>
    <xf numFmtId="0" fontId="1" fillId="0" borderId="14" xfId="0" applyFont="1" applyBorder="1" applyAlignment="1" applyProtection="1">
      <alignment horizontal="center" vertical="center" wrapText="1"/>
      <protection locked="0" hidden="1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0" fillId="3" borderId="31" xfId="0" applyFont="1" applyFill="1" applyBorder="1" applyAlignment="1">
      <alignment horizontal="center" vertical="center" textRotation="255" wrapText="1"/>
    </xf>
    <xf numFmtId="0" fontId="10" fillId="3" borderId="32" xfId="0" applyFont="1" applyFill="1" applyBorder="1" applyAlignment="1">
      <alignment horizontal="center" vertical="center" textRotation="255" wrapText="1"/>
    </xf>
    <xf numFmtId="0" fontId="10" fillId="3" borderId="33" xfId="0" applyFont="1" applyFill="1" applyBorder="1" applyAlignment="1">
      <alignment horizontal="center" vertical="center" textRotation="255" wrapText="1"/>
    </xf>
    <xf numFmtId="0" fontId="10" fillId="9" borderId="14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 vertical="center" wrapText="1"/>
    </xf>
    <xf numFmtId="0" fontId="10" fillId="9" borderId="12" xfId="0" applyFont="1" applyFill="1" applyBorder="1" applyAlignment="1">
      <alignment horizontal="center" vertical="center" wrapText="1"/>
    </xf>
    <xf numFmtId="0" fontId="10" fillId="9" borderId="13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textRotation="255" wrapText="1"/>
    </xf>
    <xf numFmtId="0" fontId="10" fillId="3" borderId="4" xfId="0" applyFont="1" applyFill="1" applyBorder="1" applyAlignment="1">
      <alignment horizontal="center" vertical="center" textRotation="255" wrapText="1"/>
    </xf>
    <xf numFmtId="0" fontId="10" fillId="3" borderId="30" xfId="0" applyFont="1" applyFill="1" applyBorder="1" applyAlignment="1">
      <alignment horizontal="center" vertical="center" textRotation="255" wrapText="1"/>
    </xf>
    <xf numFmtId="0" fontId="10" fillId="3" borderId="29" xfId="0" applyFont="1" applyFill="1" applyBorder="1" applyAlignment="1">
      <alignment horizontal="center" vertical="center" textRotation="255" wrapText="1"/>
    </xf>
    <xf numFmtId="0" fontId="13" fillId="9" borderId="14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textRotation="255"/>
    </xf>
    <xf numFmtId="0" fontId="20" fillId="0" borderId="6" xfId="0" applyFont="1" applyBorder="1" applyAlignment="1">
      <alignment horizontal="center" vertical="center" textRotation="255"/>
    </xf>
    <xf numFmtId="0" fontId="13" fillId="7" borderId="4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3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1323459</xdr:colOff>
      <xdr:row>8</xdr:row>
      <xdr:rowOff>53973</xdr:rowOff>
    </xdr:from>
    <xdr:ext cx="1595751" cy="1564268"/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1136" y="1619024"/>
          <a:ext cx="1595751" cy="1564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1645920</xdr:colOff>
          <xdr:row>59</xdr:row>
          <xdr:rowOff>60960</xdr:rowOff>
        </xdr:from>
        <xdr:to>
          <xdr:col>9</xdr:col>
          <xdr:colOff>441960</xdr:colOff>
          <xdr:row>59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CO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215900</xdr:colOff>
      <xdr:row>0</xdr:row>
      <xdr:rowOff>63500</xdr:rowOff>
    </xdr:from>
    <xdr:to>
      <xdr:col>1</xdr:col>
      <xdr:colOff>1282699</xdr:colOff>
      <xdr:row>0</xdr:row>
      <xdr:rowOff>788268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5900" y="63500"/>
          <a:ext cx="1892299" cy="7247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65296</xdr:rowOff>
    </xdr:from>
    <xdr:to>
      <xdr:col>1</xdr:col>
      <xdr:colOff>863600</xdr:colOff>
      <xdr:row>60</xdr:row>
      <xdr:rowOff>741681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2ED152A5-888D-CE4B-B001-EC384E6F4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8310096"/>
          <a:ext cx="1689100" cy="676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FC131"/>
  <sheetViews>
    <sheetView showGridLines="0" tabSelected="1" view="pageBreakPreview" topLeftCell="A13" zoomScale="60" zoomScaleNormal="60" workbookViewId="0">
      <selection activeCell="M20" sqref="M20:N20"/>
    </sheetView>
  </sheetViews>
  <sheetFormatPr baseColWidth="10" defaultColWidth="0" defaultRowHeight="15" zeroHeight="1" x14ac:dyDescent="0.25"/>
  <cols>
    <col min="1" max="1" width="12" style="1" customWidth="1"/>
    <col min="2" max="2" width="26.77734375" style="1" customWidth="1"/>
    <col min="3" max="3" width="20.33203125" style="1" hidden="1" customWidth="1"/>
    <col min="4" max="4" width="24" style="1" hidden="1" customWidth="1"/>
    <col min="5" max="5" width="39.77734375" style="1" customWidth="1"/>
    <col min="6" max="6" width="20.33203125" style="1" hidden="1" customWidth="1"/>
    <col min="7" max="7" width="30.44140625" style="1" hidden="1" customWidth="1"/>
    <col min="8" max="8" width="46" style="1" customWidth="1"/>
    <col min="9" max="9" width="11.6640625" style="1" customWidth="1"/>
    <col min="10" max="10" width="7.77734375" style="1" customWidth="1"/>
    <col min="11" max="11" width="17.44140625" style="42" hidden="1" customWidth="1"/>
    <col min="12" max="12" width="19" style="42" hidden="1" customWidth="1"/>
    <col min="13" max="13" width="5.33203125" style="1" customWidth="1"/>
    <col min="14" max="14" width="6.44140625" style="1" customWidth="1"/>
    <col min="15" max="15" width="18" style="42" hidden="1" customWidth="1"/>
    <col min="16" max="16" width="21.6640625" style="42" hidden="1" customWidth="1"/>
    <col min="17" max="17" width="12.109375" style="1" hidden="1" customWidth="1"/>
    <col min="18" max="18" width="18.77734375" style="42" hidden="1" customWidth="1"/>
    <col min="19" max="19" width="15.77734375" style="42" hidden="1" customWidth="1"/>
    <col min="20" max="20" width="15.33203125" style="42" hidden="1" customWidth="1"/>
    <col min="21" max="21" width="24" style="42" hidden="1" customWidth="1"/>
    <col min="22" max="23" width="7.77734375" style="1" customWidth="1"/>
    <col min="24" max="24" width="56.33203125" style="1" customWidth="1"/>
    <col min="25" max="16375" width="10.77734375" style="1" hidden="1"/>
    <col min="16376" max="16376" width="24.44140625" style="1" hidden="1"/>
    <col min="16377" max="16377" width="27.6640625" style="1" hidden="1"/>
    <col min="16378" max="16383" width="8.44140625" style="1" hidden="1"/>
    <col min="16384" max="16384" width="3.77734375" style="1" customWidth="1"/>
  </cols>
  <sheetData>
    <row r="1" spans="1:27" ht="68.400000000000006" customHeight="1" x14ac:dyDescent="0.25">
      <c r="A1" s="120" t="s">
        <v>140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1"/>
    </row>
    <row r="2" spans="1:27" ht="34.799999999999997" customHeight="1" x14ac:dyDescent="0.25">
      <c r="A2" s="120" t="s">
        <v>134</v>
      </c>
      <c r="B2" s="121"/>
      <c r="C2" s="109"/>
      <c r="D2" s="109"/>
      <c r="E2" s="36" t="s">
        <v>135</v>
      </c>
      <c r="F2" s="108"/>
      <c r="G2" s="108"/>
      <c r="H2" s="36" t="s">
        <v>136</v>
      </c>
      <c r="I2" s="172" t="s">
        <v>137</v>
      </c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36" t="s">
        <v>138</v>
      </c>
    </row>
    <row r="3" spans="1:27" ht="28.2" customHeight="1" x14ac:dyDescent="0.25">
      <c r="A3" s="123" t="s">
        <v>139</v>
      </c>
      <c r="B3" s="124"/>
      <c r="C3" s="103"/>
      <c r="D3" s="103"/>
      <c r="E3" s="111">
        <v>43269</v>
      </c>
      <c r="F3" s="110"/>
      <c r="G3" s="110"/>
      <c r="H3" s="111">
        <v>44966</v>
      </c>
      <c r="I3" s="173">
        <v>3</v>
      </c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  <c r="X3" s="20" t="s">
        <v>142</v>
      </c>
    </row>
    <row r="4" spans="1:27" ht="4.8" customHeight="1" x14ac:dyDescent="0.25"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04"/>
    </row>
    <row r="5" spans="1:27" ht="7.8" customHeight="1" x14ac:dyDescent="0.25">
      <c r="A5" s="129" t="s">
        <v>58</v>
      </c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</row>
    <row r="6" spans="1:27" ht="4.2" customHeight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</row>
    <row r="7" spans="1:27" ht="6" customHeight="1" x14ac:dyDescent="0.25">
      <c r="A7" s="129"/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</row>
    <row r="8" spans="1:27" ht="7.8" customHeight="1" x14ac:dyDescent="0.25">
      <c r="A8" s="129"/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</row>
    <row r="9" spans="1:27" ht="7.5" customHeight="1" x14ac:dyDescent="0.25">
      <c r="A9" s="2"/>
      <c r="H9" s="3"/>
      <c r="I9" s="3"/>
      <c r="J9" s="3"/>
      <c r="K9" s="37"/>
      <c r="L9" s="37"/>
      <c r="M9" s="3"/>
      <c r="N9" s="3"/>
      <c r="O9" s="37"/>
      <c r="P9" s="37"/>
      <c r="Q9" s="3"/>
      <c r="R9" s="37"/>
      <c r="S9" s="37"/>
      <c r="T9" s="37"/>
      <c r="U9" s="37"/>
      <c r="V9" s="3"/>
      <c r="W9" s="3"/>
      <c r="X9" s="166"/>
    </row>
    <row r="10" spans="1:27" ht="31.5" customHeight="1" thickBot="1" x14ac:dyDescent="0.3">
      <c r="A10" s="142" t="s">
        <v>62</v>
      </c>
      <c r="B10" s="143"/>
      <c r="C10" s="52"/>
      <c r="D10" s="52"/>
      <c r="E10" s="170"/>
      <c r="F10" s="170"/>
      <c r="G10" s="170"/>
      <c r="H10" s="170"/>
      <c r="I10" s="5" t="s">
        <v>0</v>
      </c>
      <c r="J10" s="169" t="s">
        <v>74</v>
      </c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7"/>
      <c r="Y10" s="6"/>
      <c r="Z10" s="6"/>
      <c r="AA10" s="6"/>
    </row>
    <row r="11" spans="1:27" ht="9" customHeight="1" x14ac:dyDescent="0.25">
      <c r="A11" s="54"/>
      <c r="B11" s="53"/>
      <c r="C11" s="52"/>
      <c r="D11" s="52"/>
      <c r="E11" s="53"/>
      <c r="F11" s="53"/>
      <c r="G11" s="53"/>
      <c r="H11" s="4"/>
      <c r="I11" s="53"/>
      <c r="J11" s="53"/>
      <c r="K11" s="46"/>
      <c r="L11" s="46"/>
      <c r="M11" s="53"/>
      <c r="N11" s="53"/>
      <c r="O11" s="46"/>
      <c r="P11" s="46"/>
      <c r="Q11" s="53"/>
      <c r="R11" s="46"/>
      <c r="S11" s="46"/>
      <c r="T11" s="46"/>
      <c r="U11" s="46"/>
      <c r="V11" s="7"/>
      <c r="W11" s="58"/>
      <c r="X11" s="167"/>
      <c r="Y11" s="1" t="s">
        <v>1</v>
      </c>
    </row>
    <row r="12" spans="1:27" ht="28.5" customHeight="1" thickBot="1" x14ac:dyDescent="0.3">
      <c r="A12" s="142" t="s">
        <v>2</v>
      </c>
      <c r="B12" s="143"/>
      <c r="C12" s="52"/>
      <c r="D12" s="52"/>
      <c r="E12" s="170"/>
      <c r="F12" s="170"/>
      <c r="G12" s="170"/>
      <c r="H12" s="170"/>
      <c r="I12" s="5" t="s">
        <v>21</v>
      </c>
      <c r="J12" s="145" t="str">
        <f>IFERROR(VLOOKUP($J$10,Desplegables!A4:C78,3,FALSE),"")</f>
        <v>Gestión Jurídica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67"/>
      <c r="Y12" s="5"/>
      <c r="Z12" s="5"/>
      <c r="AA12" s="5"/>
    </row>
    <row r="13" spans="1:27" ht="6.75" customHeight="1" x14ac:dyDescent="0.25">
      <c r="A13" s="54"/>
      <c r="B13" s="53"/>
      <c r="C13" s="52"/>
      <c r="D13" s="52"/>
      <c r="E13" s="53"/>
      <c r="F13" s="53"/>
      <c r="G13" s="53"/>
      <c r="H13" s="4"/>
      <c r="I13" s="53"/>
      <c r="J13" s="53"/>
      <c r="K13" s="46"/>
      <c r="L13" s="46"/>
      <c r="M13" s="53"/>
      <c r="N13" s="53"/>
      <c r="O13" s="46"/>
      <c r="P13" s="46"/>
      <c r="Q13" s="53"/>
      <c r="R13" s="46"/>
      <c r="S13" s="46"/>
      <c r="T13" s="46"/>
      <c r="U13" s="46"/>
      <c r="V13" s="53"/>
      <c r="W13" s="5"/>
      <c r="X13" s="167"/>
      <c r="Y13" s="1" t="s">
        <v>4</v>
      </c>
    </row>
    <row r="14" spans="1:27" ht="34.5" customHeight="1" thickBot="1" x14ac:dyDescent="0.35">
      <c r="A14" s="142" t="s">
        <v>61</v>
      </c>
      <c r="B14" s="143"/>
      <c r="C14" s="53"/>
      <c r="D14" s="53"/>
      <c r="E14" s="171"/>
      <c r="F14" s="171"/>
      <c r="G14" s="171"/>
      <c r="H14" s="171"/>
      <c r="I14" s="144" t="s">
        <v>60</v>
      </c>
      <c r="J14" s="144"/>
      <c r="K14" s="38"/>
      <c r="L14" s="38"/>
      <c r="M14" s="180" t="s">
        <v>84</v>
      </c>
      <c r="N14" s="180"/>
      <c r="O14" s="38"/>
      <c r="P14" s="38"/>
      <c r="Q14"/>
      <c r="R14"/>
      <c r="S14"/>
      <c r="T14"/>
      <c r="U14"/>
      <c r="V14"/>
      <c r="W14"/>
      <c r="X14" s="167"/>
      <c r="Y14" s="6"/>
      <c r="Z14" s="6"/>
      <c r="AA14" s="6"/>
    </row>
    <row r="15" spans="1:27" ht="13.5" customHeight="1" x14ac:dyDescent="0.25">
      <c r="A15" s="8"/>
      <c r="B15" s="9"/>
      <c r="C15" s="9"/>
      <c r="D15" s="9"/>
      <c r="E15" s="9"/>
      <c r="F15" s="9"/>
      <c r="G15" s="9"/>
      <c r="H15" s="10"/>
      <c r="I15" s="11"/>
      <c r="J15" s="11"/>
      <c r="K15" s="39"/>
      <c r="L15" s="39"/>
      <c r="M15" s="11"/>
      <c r="N15" s="11"/>
      <c r="O15" s="39"/>
      <c r="P15" s="39"/>
      <c r="Q15" s="11"/>
      <c r="R15" s="39"/>
      <c r="S15" s="39"/>
      <c r="T15" s="39"/>
      <c r="U15" s="39"/>
      <c r="V15" s="11"/>
      <c r="X15" s="168"/>
    </row>
    <row r="16" spans="1:27" ht="34.5" customHeight="1" x14ac:dyDescent="0.2">
      <c r="A16" s="153" t="s">
        <v>110</v>
      </c>
      <c r="B16" s="154"/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5"/>
    </row>
    <row r="17" spans="1:28 16379:16379" ht="28.5" customHeight="1" x14ac:dyDescent="0.25">
      <c r="A17" s="156" t="s">
        <v>5</v>
      </c>
      <c r="B17" s="156"/>
      <c r="C17" s="12"/>
      <c r="D17" s="12"/>
      <c r="E17" s="174" t="s">
        <v>9</v>
      </c>
      <c r="F17" s="12"/>
      <c r="G17" s="12"/>
      <c r="H17" s="156" t="s">
        <v>6</v>
      </c>
      <c r="I17" s="117" t="s">
        <v>7</v>
      </c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9"/>
      <c r="X17" s="119" t="s">
        <v>8</v>
      </c>
    </row>
    <row r="18" spans="1:28 16379:16379" ht="51.75" customHeight="1" x14ac:dyDescent="0.25">
      <c r="A18" s="156"/>
      <c r="B18" s="156"/>
      <c r="C18" s="12"/>
      <c r="D18" s="12"/>
      <c r="E18" s="175"/>
      <c r="F18" s="12"/>
      <c r="G18" s="12"/>
      <c r="H18" s="156"/>
      <c r="I18" s="120" t="s">
        <v>147</v>
      </c>
      <c r="J18" s="121"/>
      <c r="K18" s="40" t="s">
        <v>34</v>
      </c>
      <c r="L18" s="40" t="s">
        <v>35</v>
      </c>
      <c r="M18" s="120" t="s">
        <v>148</v>
      </c>
      <c r="N18" s="121"/>
      <c r="O18" s="40" t="s">
        <v>34</v>
      </c>
      <c r="P18" s="40" t="s">
        <v>35</v>
      </c>
      <c r="Q18" s="36" t="s">
        <v>55</v>
      </c>
      <c r="R18" s="40" t="s">
        <v>34</v>
      </c>
      <c r="S18" s="40" t="s">
        <v>35</v>
      </c>
      <c r="T18" s="47" t="s">
        <v>33</v>
      </c>
      <c r="U18" s="47" t="s">
        <v>36</v>
      </c>
      <c r="V18" s="120" t="s">
        <v>10</v>
      </c>
      <c r="W18" s="121"/>
      <c r="X18" s="157"/>
    </row>
    <row r="19" spans="1:28 16379:16379" s="15" customFormat="1" ht="55.5" customHeight="1" x14ac:dyDescent="0.3">
      <c r="A19" s="130" t="s">
        <v>45</v>
      </c>
      <c r="B19" s="160"/>
      <c r="C19" s="59" t="s">
        <v>45</v>
      </c>
      <c r="D19" s="59"/>
      <c r="E19" s="163" t="str">
        <f>IFERROR(VLOOKUP(A19,'Diccionario '!$C$2:$D$21,2,FALSE),"")</f>
        <v>Capacidad para escuchar y expresarse de manera clara y oportuna basado en hechos concretos y verificados.</v>
      </c>
      <c r="F19" s="51" t="s">
        <v>29</v>
      </c>
      <c r="G19" s="51" t="str">
        <f>CONCATENATE($A$19,F19)</f>
        <v>Comunicación asertivaA</v>
      </c>
      <c r="H19" s="113" t="str">
        <f>IFERROR(VLOOKUP(G19,'Diccionario '!$F$3:$G$21,2,FALSE),"")</f>
        <v>Se expresa de manera directa, sincera y asertiva</v>
      </c>
      <c r="I19" s="123"/>
      <c r="J19" s="124"/>
      <c r="K19" s="41">
        <f>(IF(I19="NA",0,(I19*0.3)))</f>
        <v>0</v>
      </c>
      <c r="L19" s="41">
        <f>(IF(I19="NA",0.3,(0)))</f>
        <v>0</v>
      </c>
      <c r="M19" s="123"/>
      <c r="N19" s="124"/>
      <c r="O19" s="41">
        <f>(IF(M19="NA",0,(M19*0.7)))</f>
        <v>0</v>
      </c>
      <c r="P19" s="41">
        <f>(IF(M19="NA",0.7,(0)))</f>
        <v>0</v>
      </c>
      <c r="Q19" s="20"/>
      <c r="R19" s="41">
        <f>(IF(Q19="NA",0,(Q19*0.2)))</f>
        <v>0</v>
      </c>
      <c r="S19" s="41">
        <f>(IF(Q19="NA",0.2,(0)))</f>
        <v>0</v>
      </c>
      <c r="T19" s="41">
        <f>COUNTIF(I19:R19,"NA")</f>
        <v>0</v>
      </c>
      <c r="U19" s="41">
        <f>SUM(S19+P19+L19)</f>
        <v>0</v>
      </c>
      <c r="V19" s="137" t="str">
        <f>IFERROR(IF(T19=5,"NA",(O19+K19)+AVERAGE(M19,I19)*U19),"")</f>
        <v/>
      </c>
      <c r="W19" s="137"/>
      <c r="X19" s="13"/>
      <c r="Y19" s="14"/>
      <c r="AB19" s="16"/>
      <c r="XEY19" s="95"/>
    </row>
    <row r="20" spans="1:28 16379:16379" s="15" customFormat="1" ht="67.5" customHeight="1" x14ac:dyDescent="0.3">
      <c r="A20" s="151"/>
      <c r="B20" s="161"/>
      <c r="C20" s="60" t="s">
        <v>45</v>
      </c>
      <c r="D20" s="60"/>
      <c r="E20" s="164"/>
      <c r="F20" s="51" t="s">
        <v>30</v>
      </c>
      <c r="G20" s="51" t="str">
        <f t="shared" ref="G20" si="0">CONCATENATE($A$19,F20)</f>
        <v>Comunicación asertivaB</v>
      </c>
      <c r="H20" s="113" t="str">
        <f>IFERROR(VLOOKUP(G20,'Diccionario '!$F$3:$G$21,2,FALSE),"")</f>
        <v>Demuestra coherencia entre lo que dice y hace. Es propositivo y no reactivo</v>
      </c>
      <c r="I20" s="123"/>
      <c r="J20" s="124"/>
      <c r="K20" s="41">
        <f>(IF(I20="NA",0,(I20*0.3)))</f>
        <v>0</v>
      </c>
      <c r="L20" s="41">
        <f>(IF(I20="NA",0.3,(0)))</f>
        <v>0</v>
      </c>
      <c r="M20" s="123"/>
      <c r="N20" s="124"/>
      <c r="O20" s="41">
        <f>(IF(M20="NA",0,(M20*0.7)))</f>
        <v>0</v>
      </c>
      <c r="P20" s="41">
        <f>(IF(M20="NA",0.7,(0)))</f>
        <v>0</v>
      </c>
      <c r="Q20" s="20"/>
      <c r="R20" s="41">
        <f t="shared" ref="R20" si="1">(IF(Q20="NA",0,(Q20*0.2)))</f>
        <v>0</v>
      </c>
      <c r="S20" s="41">
        <f t="shared" ref="S20" si="2">(IF(Q20="NA",0.2,(0)))</f>
        <v>0</v>
      </c>
      <c r="T20" s="41">
        <f>COUNTIF(I20:R20,"NA")</f>
        <v>0</v>
      </c>
      <c r="U20" s="41">
        <f>SUM(S20+P20+L20)</f>
        <v>0</v>
      </c>
      <c r="V20" s="137" t="str">
        <f>IFERROR(IF(T20=5,"NA",(O20+K20)+AVERAGE(M20,I20)*U20),"")</f>
        <v/>
      </c>
      <c r="W20" s="137"/>
      <c r="X20" s="13"/>
      <c r="AB20" s="16"/>
      <c r="XEY20" s="95"/>
    </row>
    <row r="21" spans="1:28 16379:16379" ht="15.6" x14ac:dyDescent="0.25">
      <c r="A21" s="132"/>
      <c r="B21" s="162"/>
      <c r="C21" s="61"/>
      <c r="D21" s="61"/>
      <c r="E21" s="165"/>
      <c r="F21" s="158"/>
      <c r="G21" s="159"/>
      <c r="H21" s="138" t="s">
        <v>10</v>
      </c>
      <c r="I21" s="139"/>
      <c r="J21" s="139"/>
      <c r="K21" s="139"/>
      <c r="L21" s="139"/>
      <c r="M21" s="139"/>
      <c r="N21" s="139"/>
      <c r="O21" s="139"/>
      <c r="P21" s="139"/>
      <c r="Q21" s="140"/>
      <c r="R21" s="48"/>
      <c r="S21" s="48"/>
      <c r="T21" s="48"/>
      <c r="U21" s="48"/>
      <c r="V21" s="141" t="str">
        <f>IFERROR((AVERAGE(V19:W20)),"")</f>
        <v/>
      </c>
      <c r="W21" s="141" t="str">
        <f>IFERROR((AVERAGE(#REF!)),"NA")</f>
        <v>NA</v>
      </c>
      <c r="X21" s="17"/>
      <c r="AA21" s="18"/>
    </row>
    <row r="22" spans="1:28 16379:16379" ht="43.5" customHeight="1" x14ac:dyDescent="0.3">
      <c r="A22" s="130" t="s">
        <v>51</v>
      </c>
      <c r="B22" s="160"/>
      <c r="C22" s="59"/>
      <c r="D22" s="59"/>
      <c r="E22" s="136" t="str">
        <f>IFERROR(VLOOKUP(A22,'Diccionario '!$C$2:$D$21,2,FALSE),"")</f>
        <v>Personas competitivas, enfocadas al cumplimiento responsable de metas.</v>
      </c>
      <c r="F22" s="51" t="s">
        <v>29</v>
      </c>
      <c r="G22" s="51" t="str">
        <f>CONCATENATE($A$22,F22)</f>
        <v>Orientación al logroA</v>
      </c>
      <c r="H22" s="113" t="str">
        <f>IFERROR(VLOOKUP(G22,'Diccionario '!$F$3:$G$21,2,FALSE),"")</f>
        <v>Alinea su quehacer diario enfocándolo al plan estratégico de la empresa. Es resolutivo</v>
      </c>
      <c r="I22" s="123"/>
      <c r="J22" s="124"/>
      <c r="K22" s="41">
        <f>(IF(I22="NA",0,(I22*0.3)))</f>
        <v>0</v>
      </c>
      <c r="L22" s="41">
        <f>(IF(I22="NA",0.3,(0)))</f>
        <v>0</v>
      </c>
      <c r="M22" s="123"/>
      <c r="N22" s="124"/>
      <c r="O22" s="41">
        <f>(IF(M22="NA",0,(M22*0.7)))</f>
        <v>0</v>
      </c>
      <c r="P22" s="41">
        <f>(IF(M22="NA",0.7,(0)))</f>
        <v>0</v>
      </c>
      <c r="Q22" s="20"/>
      <c r="R22" s="41">
        <f>(IF(Q22="NA",0,(Q22*0.2)))</f>
        <v>0</v>
      </c>
      <c r="S22" s="41">
        <f>(IF(Q22="NA",0.2,(0)))</f>
        <v>0</v>
      </c>
      <c r="T22" s="41">
        <f>COUNTIF(I22:R22,"NA")</f>
        <v>0</v>
      </c>
      <c r="U22" s="41">
        <f>SUM(S22+P22+L22)</f>
        <v>0</v>
      </c>
      <c r="V22" s="137" t="str">
        <f>IFERROR(IF(T22=5,"NA",(O22+K22)+AVERAGE(M22,I22)*U22),"")</f>
        <v/>
      </c>
      <c r="W22" s="137"/>
      <c r="X22" s="13"/>
      <c r="Y22" s="19"/>
    </row>
    <row r="23" spans="1:28 16379:16379" ht="46.5" customHeight="1" x14ac:dyDescent="0.3">
      <c r="A23" s="151"/>
      <c r="B23" s="161"/>
      <c r="C23" s="60" t="s">
        <v>42</v>
      </c>
      <c r="D23" s="60"/>
      <c r="E23" s="136"/>
      <c r="F23" s="51" t="s">
        <v>30</v>
      </c>
      <c r="G23" s="51" t="str">
        <f t="shared" ref="G23" si="3">CONCATENATE($A$22,F23)</f>
        <v>Orientación al logroB</v>
      </c>
      <c r="H23" s="113" t="str">
        <f>IFERROR(VLOOKUP(G23,'Diccionario '!$F$3:$G$21,2,FALSE),"")</f>
        <v>Produce resultados y cumple compromisos - alcanza los objetivos y supera las metas</v>
      </c>
      <c r="I23" s="123"/>
      <c r="J23" s="124"/>
      <c r="K23" s="41">
        <f>(IF(I23="NA",0,(I23*0.3)))</f>
        <v>0</v>
      </c>
      <c r="L23" s="41">
        <f>(IF(I23="NA",0.3,(0)))</f>
        <v>0</v>
      </c>
      <c r="M23" s="123"/>
      <c r="N23" s="124"/>
      <c r="O23" s="41">
        <f>(IF(M23="NA",0,(M23*0.7)))</f>
        <v>0</v>
      </c>
      <c r="P23" s="41">
        <f>(IF(M23="NA",0.7,(0)))</f>
        <v>0</v>
      </c>
      <c r="Q23" s="20"/>
      <c r="R23" s="41">
        <f t="shared" ref="R23:R29" si="4">(IF(Q23="NA",0,(Q23*0.2)))</f>
        <v>0</v>
      </c>
      <c r="S23" s="41">
        <f t="shared" ref="S23" si="5">(IF(Q23="NA",0.2,(0)))</f>
        <v>0</v>
      </c>
      <c r="T23" s="41">
        <f t="shared" ref="T23" si="6">COUNTIF(I23:R23,"NA")</f>
        <v>0</v>
      </c>
      <c r="U23" s="41">
        <f t="shared" ref="U23" si="7">SUM(S23+P23+L23)</f>
        <v>0</v>
      </c>
      <c r="V23" s="137" t="str">
        <f>IFERROR(IF(T23=5,"NA",(O23+K23)+AVERAGE(M23,I23)*U23),"")</f>
        <v/>
      </c>
      <c r="W23" s="137"/>
      <c r="X23" s="13"/>
      <c r="Y23" s="19"/>
    </row>
    <row r="24" spans="1:28 16379:16379" ht="16.05" customHeight="1" x14ac:dyDescent="0.25">
      <c r="A24" s="132"/>
      <c r="B24" s="162"/>
      <c r="C24" s="61"/>
      <c r="D24" s="61"/>
      <c r="E24" s="136"/>
      <c r="F24" s="158"/>
      <c r="G24" s="159"/>
      <c r="H24" s="138" t="s">
        <v>10</v>
      </c>
      <c r="I24" s="139"/>
      <c r="J24" s="139"/>
      <c r="K24" s="139"/>
      <c r="L24" s="139"/>
      <c r="M24" s="139"/>
      <c r="N24" s="140"/>
      <c r="O24" s="48"/>
      <c r="P24" s="48"/>
      <c r="Q24" s="49"/>
      <c r="R24" s="48"/>
      <c r="S24" s="48"/>
      <c r="T24" s="48"/>
      <c r="U24" s="48"/>
      <c r="V24" s="141" t="str">
        <f>IFERROR((AVERAGE(V22:W23)),"")</f>
        <v/>
      </c>
      <c r="W24" s="141" t="str">
        <f>IFERROR((AVERAGE(#REF!)),"NA")</f>
        <v>NA</v>
      </c>
      <c r="X24" s="17"/>
    </row>
    <row r="25" spans="1:28 16379:16379" s="15" customFormat="1" ht="66" customHeight="1" x14ac:dyDescent="0.3">
      <c r="A25" s="130" t="s">
        <v>88</v>
      </c>
      <c r="B25" s="160"/>
      <c r="C25" s="59"/>
      <c r="D25" s="59"/>
      <c r="E25" s="136" t="str">
        <f>IFERROR(VLOOKUP(A25,'Diccionario '!$C$2:$D$21,2,FALSE),"")</f>
        <v>Capacidad para construir relaciones de cooperación y confianza con las personas que interactúo para favorecer el logro de  los objetivos de la organización, buscando el beneficio común.</v>
      </c>
      <c r="F25" s="51" t="s">
        <v>29</v>
      </c>
      <c r="G25" s="51" t="str">
        <f>CONCATENATE($A$25,F25)</f>
        <v>Trabajo en equipoA</v>
      </c>
      <c r="H25" s="113" t="str">
        <f>IFERROR(VLOOKUP(G25,'Diccionario '!$F$3:$G$21,2,FALSE),"")</f>
        <v>Trabaja en equipo en pro de objetivos colectivos derribando barreras funcionales, jerárquicas y entre áreas.</v>
      </c>
      <c r="I25" s="123"/>
      <c r="J25" s="124"/>
      <c r="K25" s="41">
        <f>(IF(I25="NA",0,(I25*0.3)))</f>
        <v>0</v>
      </c>
      <c r="L25" s="41">
        <f>(IF(I25="NA",0.3,(0)))</f>
        <v>0</v>
      </c>
      <c r="M25" s="123"/>
      <c r="N25" s="124"/>
      <c r="O25" s="41">
        <f>(IF(M25="NA",0,(M25*0.7)))</f>
        <v>0</v>
      </c>
      <c r="P25" s="41">
        <f>(IF(M25="NA",0.7,(0)))</f>
        <v>0</v>
      </c>
      <c r="Q25" s="20"/>
      <c r="R25" s="41">
        <f t="shared" si="4"/>
        <v>0</v>
      </c>
      <c r="S25" s="41">
        <f t="shared" ref="S25" si="8">(IF(Q25="NA",0.2,(0)))</f>
        <v>0</v>
      </c>
      <c r="T25" s="41">
        <f t="shared" ref="T25" si="9">COUNTIF(I25:R25,"NA")</f>
        <v>0</v>
      </c>
      <c r="U25" s="41">
        <f t="shared" ref="U25" si="10">SUM(S25+P25+L25)</f>
        <v>0</v>
      </c>
      <c r="V25" s="137" t="str">
        <f>IFERROR(IF(T25=5,"NA",(O25+K25)+AVERAGE(M25,I25)*U25),"")</f>
        <v/>
      </c>
      <c r="W25" s="137"/>
      <c r="X25" s="13"/>
      <c r="Y25" s="14"/>
      <c r="AB25" s="16"/>
    </row>
    <row r="26" spans="1:28 16379:16379" s="15" customFormat="1" ht="67.5" customHeight="1" x14ac:dyDescent="0.3">
      <c r="A26" s="151"/>
      <c r="B26" s="161"/>
      <c r="C26" s="60"/>
      <c r="D26" s="60"/>
      <c r="E26" s="136"/>
      <c r="F26" s="51" t="s">
        <v>30</v>
      </c>
      <c r="G26" s="51" t="str">
        <f>CONCATENATE($A$25,F26)</f>
        <v>Trabajo en equipoB</v>
      </c>
      <c r="H26" s="113" t="str">
        <f>IFERROR(VLOOKUP(G26,'Diccionario '!$F$3:$G$21,2,FALSE),"")</f>
        <v>Construye y mantiene relaciones interpersonales de confianza y respeto.</v>
      </c>
      <c r="I26" s="123"/>
      <c r="J26" s="124"/>
      <c r="K26" s="41">
        <f>(IF(I26="NA",0,(I26*0.3)))</f>
        <v>0</v>
      </c>
      <c r="L26" s="41">
        <f>(IF(I26="NA",0.3,(0)))</f>
        <v>0</v>
      </c>
      <c r="M26" s="123"/>
      <c r="N26" s="124"/>
      <c r="O26" s="41">
        <f>(IF(M26="NA",0,(M26*0.7)))</f>
        <v>0</v>
      </c>
      <c r="P26" s="41">
        <f>(IF(M26="NA",0.7,(0)))</f>
        <v>0</v>
      </c>
      <c r="Q26" s="20"/>
      <c r="R26" s="41">
        <f t="shared" si="4"/>
        <v>0</v>
      </c>
      <c r="S26" s="41">
        <f t="shared" ref="S26" si="11">(IF(Q26="NA",0.2,(0)))</f>
        <v>0</v>
      </c>
      <c r="T26" s="41">
        <f t="shared" ref="T26" si="12">COUNTIF(I26:R26,"NA")</f>
        <v>0</v>
      </c>
      <c r="U26" s="41">
        <f t="shared" ref="U26" si="13">SUM(S26+P26+L26)</f>
        <v>0</v>
      </c>
      <c r="V26" s="137" t="str">
        <f>IFERROR(IF(T26=5,"NA",(O26+K26)+AVERAGE(M26,I26)*U26),"")</f>
        <v/>
      </c>
      <c r="W26" s="137"/>
      <c r="X26" s="13"/>
      <c r="AB26" s="16"/>
    </row>
    <row r="27" spans="1:28 16379:16379" ht="16.05" customHeight="1" x14ac:dyDescent="0.25">
      <c r="A27" s="132"/>
      <c r="B27" s="162"/>
      <c r="C27" s="61"/>
      <c r="D27" s="61"/>
      <c r="E27" s="136"/>
      <c r="F27" s="158"/>
      <c r="G27" s="159"/>
      <c r="H27" s="138" t="s">
        <v>10</v>
      </c>
      <c r="I27" s="139"/>
      <c r="J27" s="139"/>
      <c r="K27" s="139"/>
      <c r="L27" s="139"/>
      <c r="M27" s="139"/>
      <c r="N27" s="139"/>
      <c r="O27" s="139"/>
      <c r="P27" s="139"/>
      <c r="Q27" s="140"/>
      <c r="R27" s="48"/>
      <c r="S27" s="48"/>
      <c r="T27" s="48"/>
      <c r="U27" s="48"/>
      <c r="V27" s="141" t="str">
        <f>IFERROR((AVERAGE(V25:W26)),"")</f>
        <v/>
      </c>
      <c r="W27" s="141" t="str">
        <f>IFERROR((AVERAGE(#REF!)),"NA")</f>
        <v>NA</v>
      </c>
      <c r="X27" s="17"/>
      <c r="AA27" s="18"/>
    </row>
    <row r="28" spans="1:28 16379:16379" ht="84.75" customHeight="1" x14ac:dyDescent="0.3">
      <c r="A28" s="130" t="s">
        <v>49</v>
      </c>
      <c r="B28" s="160"/>
      <c r="C28" s="59"/>
      <c r="D28" s="59"/>
      <c r="E28" s="136" t="str">
        <f>IFERROR(VLOOKUP(A28,'Diccionario '!$C$2:$D$21,2,FALSE),"")</f>
        <v>Capacidad para identificar y comprender las necesidades y expectativas de nuestros clientes (internos y externos) con empatía.</v>
      </c>
      <c r="F28" s="51" t="s">
        <v>29</v>
      </c>
      <c r="G28" s="51" t="str">
        <f>CONCATENATE($A$28,F28)</f>
        <v>Orientación al servicioA</v>
      </c>
      <c r="H28" s="113" t="str">
        <f>IFERROR(VLOOKUP(G28,'Diccionario '!$F$3:$G$21,2,FALSE),"")</f>
        <v>Muestra respeto, interés y disposición en comprender las necesidades de clientes, y usuarios; es amable y paciente</v>
      </c>
      <c r="I28" s="123"/>
      <c r="J28" s="124"/>
      <c r="K28" s="41">
        <f>(IF(I28="NA",0,(I28*0.3)))</f>
        <v>0</v>
      </c>
      <c r="L28" s="41">
        <f>(IF(I28="NA",0.3,(0)))</f>
        <v>0</v>
      </c>
      <c r="M28" s="123"/>
      <c r="N28" s="124"/>
      <c r="O28" s="41">
        <f>(IF(M28="NA",0,(M28*0.7)))</f>
        <v>0</v>
      </c>
      <c r="P28" s="41">
        <f>(IF(M28="NA",0.7,(0)))</f>
        <v>0</v>
      </c>
      <c r="Q28" s="20"/>
      <c r="R28" s="41">
        <f t="shared" si="4"/>
        <v>0</v>
      </c>
      <c r="S28" s="41">
        <f t="shared" ref="S28" si="14">(IF(Q28="NA",0.2,(0)))</f>
        <v>0</v>
      </c>
      <c r="T28" s="41">
        <f>COUNTIF(I28:R28,"NA")</f>
        <v>0</v>
      </c>
      <c r="U28" s="41">
        <f>SUM(S28+P28+L28)</f>
        <v>0</v>
      </c>
      <c r="V28" s="137" t="str">
        <f>IFERROR(IF(T28=5,"NA",(O28+K28)+AVERAGE(M28,I28)*U28),"")</f>
        <v/>
      </c>
      <c r="W28" s="137"/>
      <c r="X28" s="13"/>
      <c r="Y28" s="19"/>
    </row>
    <row r="29" spans="1:28 16379:16379" ht="55.5" customHeight="1" x14ac:dyDescent="0.3">
      <c r="A29" s="151"/>
      <c r="B29" s="161"/>
      <c r="C29" s="60"/>
      <c r="D29" s="60"/>
      <c r="E29" s="136"/>
      <c r="F29" s="51" t="s">
        <v>30</v>
      </c>
      <c r="G29" s="51" t="str">
        <f t="shared" ref="G29" si="15">CONCATENATE($A$28,F29)</f>
        <v>Orientación al servicioB</v>
      </c>
      <c r="H29" s="113" t="str">
        <f>IFERROR(VLOOKUP(G29,'Diccionario '!$F$3:$G$21,2,FALSE),"")</f>
        <v>Resuelve, atiende con agilidad y oportunidad, busca soluciones de raíz</v>
      </c>
      <c r="I29" s="123"/>
      <c r="J29" s="124"/>
      <c r="K29" s="41">
        <f>(IF(I29="NA",0,(I29*0.3)))</f>
        <v>0</v>
      </c>
      <c r="L29" s="41">
        <f>(IF(I29="NA",0.3,(0)))</f>
        <v>0</v>
      </c>
      <c r="M29" s="123"/>
      <c r="N29" s="124"/>
      <c r="O29" s="41">
        <f>(IF(M29="NA",0,(M29*0.7)))</f>
        <v>0</v>
      </c>
      <c r="P29" s="41">
        <f>(IF(M29="NA",0.7,(0)))</f>
        <v>0</v>
      </c>
      <c r="Q29" s="20"/>
      <c r="R29" s="41">
        <f t="shared" si="4"/>
        <v>0</v>
      </c>
      <c r="S29" s="41">
        <f t="shared" ref="S29" si="16">(IF(Q29="NA",0.2,(0)))</f>
        <v>0</v>
      </c>
      <c r="T29" s="41">
        <f t="shared" ref="T29" si="17">COUNTIF(I29:R29,"NA")</f>
        <v>0</v>
      </c>
      <c r="U29" s="41">
        <f t="shared" ref="U29" si="18">SUM(S29+P29+L29)</f>
        <v>0</v>
      </c>
      <c r="V29" s="137" t="str">
        <f>IFERROR(IF(T29=5,"NA",(O29+K29)+AVERAGE(M29,I29)*U29),"")</f>
        <v/>
      </c>
      <c r="W29" s="137"/>
      <c r="X29" s="13"/>
      <c r="Y29" s="19"/>
    </row>
    <row r="30" spans="1:28 16379:16379" ht="16.05" customHeight="1" x14ac:dyDescent="0.25">
      <c r="A30" s="132"/>
      <c r="B30" s="162"/>
      <c r="C30" s="61"/>
      <c r="D30" s="61"/>
      <c r="E30" s="136"/>
      <c r="F30" s="8"/>
      <c r="G30" s="8"/>
      <c r="H30" s="138" t="s">
        <v>10</v>
      </c>
      <c r="I30" s="139"/>
      <c r="J30" s="139"/>
      <c r="K30" s="139"/>
      <c r="L30" s="139"/>
      <c r="M30" s="139"/>
      <c r="N30" s="139"/>
      <c r="O30" s="139"/>
      <c r="P30" s="139"/>
      <c r="Q30" s="140"/>
      <c r="R30" s="48"/>
      <c r="S30" s="48"/>
      <c r="T30" s="48"/>
      <c r="U30" s="48"/>
      <c r="V30" s="141" t="str">
        <f>IFERROR((AVERAGE(V28:W29)),"")</f>
        <v/>
      </c>
      <c r="W30" s="141" t="str">
        <f>IFERROR((AVERAGE(#REF!)),"NA")</f>
        <v>NA</v>
      </c>
      <c r="X30" s="17"/>
    </row>
    <row r="31" spans="1:28 16379:16379" ht="84.75" customHeight="1" x14ac:dyDescent="0.3">
      <c r="A31" s="130" t="s">
        <v>89</v>
      </c>
      <c r="B31" s="160"/>
      <c r="C31" s="59"/>
      <c r="D31" s="59"/>
      <c r="E31" s="136" t="str">
        <f>IFERROR(VLOOKUP(A31,'Diccionario '!$C$2:$D$21,2,FALSE),"")</f>
        <v>Capacidad para trabajar efectivamente en una variedad de situaciones, con diversos individuos o grupos, valorando las perspectivas diferentes para lograr un proceso de adaptación</v>
      </c>
      <c r="F31" s="51" t="s">
        <v>29</v>
      </c>
      <c r="G31" s="51" t="str">
        <f>CONCATENATE($A$31,F31)</f>
        <v>Orientación al cambioA</v>
      </c>
      <c r="H31" s="113" t="str">
        <f>IFERROR(VLOOKUP(G31,'Diccionario '!$F$3:$G$21,2,FALSE),"")</f>
        <v>Demuestra una actitud positiva al cambio y rompe paradigmas, aceptando nuevas y diferentes opiniones o puntos de vista para lograr mejores prácticas</v>
      </c>
      <c r="I31" s="123"/>
      <c r="J31" s="124"/>
      <c r="K31" s="41">
        <f>(IF(I31="NA",0,(I31*0.3)))</f>
        <v>0</v>
      </c>
      <c r="L31" s="41">
        <f>(IF(I31="NA",0.3,(0)))</f>
        <v>0</v>
      </c>
      <c r="M31" s="123"/>
      <c r="N31" s="124"/>
      <c r="O31" s="41">
        <f>(IF(M31="NA",0,(M31*0.7)))</f>
        <v>0</v>
      </c>
      <c r="P31" s="41">
        <f>(IF(M31="NA",0.7,(0)))</f>
        <v>0</v>
      </c>
      <c r="Q31" s="20"/>
      <c r="R31" s="41">
        <f t="shared" ref="R31:R32" si="19">(IF(Q31="NA",0,(Q31*0.2)))</f>
        <v>0</v>
      </c>
      <c r="S31" s="41">
        <f t="shared" ref="S31:S32" si="20">(IF(Q31="NA",0.2,(0)))</f>
        <v>0</v>
      </c>
      <c r="T31" s="41">
        <f>COUNTIF(I31:R31,"NA")</f>
        <v>0</v>
      </c>
      <c r="U31" s="41">
        <f>SUM(S31+P31+L31)</f>
        <v>0</v>
      </c>
      <c r="V31" s="137" t="str">
        <f>IFERROR(IF(T31=5,"NA",(O31+K31)+AVERAGE(M31,I31)*U31),"")</f>
        <v/>
      </c>
      <c r="W31" s="137"/>
      <c r="X31" s="13"/>
      <c r="Y31" s="19"/>
    </row>
    <row r="32" spans="1:28 16379:16379" ht="58.2" customHeight="1" x14ac:dyDescent="0.3">
      <c r="A32" s="151"/>
      <c r="B32" s="161"/>
      <c r="C32" s="60"/>
      <c r="D32" s="60"/>
      <c r="E32" s="136"/>
      <c r="F32" s="51" t="s">
        <v>30</v>
      </c>
      <c r="G32" s="51" t="str">
        <f t="shared" ref="G32" si="21">CONCATENATE($A$31,F32)</f>
        <v>Orientación al cambioB</v>
      </c>
      <c r="H32" s="113" t="str">
        <f>IFERROR(VLOOKUP(G32,'Diccionario '!$F$3:$G$21,2,FALSE),"")</f>
        <v>Adquiere nuevos conocimientos y desarrolla nuevas habilidades. Comparte su conocimiento, en beneficio de la generación de valor</v>
      </c>
      <c r="I32" s="123"/>
      <c r="J32" s="124"/>
      <c r="K32" s="41">
        <f>(IF(I32="NA",0,(I32*0.3)))</f>
        <v>0</v>
      </c>
      <c r="L32" s="41">
        <f>(IF(I32="NA",0.3,(0)))</f>
        <v>0</v>
      </c>
      <c r="M32" s="123"/>
      <c r="N32" s="124"/>
      <c r="O32" s="41">
        <f>(IF(M32="NA",0,(M32*0.7)))</f>
        <v>0</v>
      </c>
      <c r="P32" s="41">
        <f>(IF(M32="NA",0.7,(0)))</f>
        <v>0</v>
      </c>
      <c r="Q32" s="20"/>
      <c r="R32" s="41">
        <f t="shared" si="19"/>
        <v>0</v>
      </c>
      <c r="S32" s="41">
        <f t="shared" si="20"/>
        <v>0</v>
      </c>
      <c r="T32" s="41">
        <f t="shared" ref="T32" si="22">COUNTIF(I32:R32,"NA")</f>
        <v>0</v>
      </c>
      <c r="U32" s="41">
        <f t="shared" ref="U32" si="23">SUM(S32+P32+L32)</f>
        <v>0</v>
      </c>
      <c r="V32" s="137" t="str">
        <f>IFERROR(IF(T32=5,"NA",(O32+K32)+AVERAGE(M32,I32)*U32),"")</f>
        <v/>
      </c>
      <c r="W32" s="137"/>
      <c r="X32" s="13"/>
      <c r="Y32" s="19"/>
    </row>
    <row r="33" spans="1:25" ht="16.05" customHeight="1" x14ac:dyDescent="0.25">
      <c r="A33" s="132"/>
      <c r="B33" s="162"/>
      <c r="C33" s="61"/>
      <c r="D33" s="61"/>
      <c r="E33" s="136"/>
      <c r="F33" s="8"/>
      <c r="G33" s="8"/>
      <c r="H33" s="138" t="s">
        <v>10</v>
      </c>
      <c r="I33" s="139"/>
      <c r="J33" s="139"/>
      <c r="K33" s="139"/>
      <c r="L33" s="139"/>
      <c r="M33" s="139"/>
      <c r="N33" s="139"/>
      <c r="O33" s="139"/>
      <c r="P33" s="139"/>
      <c r="Q33" s="140"/>
      <c r="R33" s="48"/>
      <c r="S33" s="48"/>
      <c r="T33" s="48"/>
      <c r="U33" s="48"/>
      <c r="V33" s="141" t="str">
        <f>IFERROR((AVERAGE(V31:W32)),"")</f>
        <v/>
      </c>
      <c r="W33" s="141" t="str">
        <f>IFERROR((AVERAGE(#REF!)),"NA")</f>
        <v>NA</v>
      </c>
      <c r="X33" s="17"/>
    </row>
    <row r="34" spans="1:25" x14ac:dyDescent="0.25"/>
    <row r="35" spans="1:25" ht="33.75" customHeight="1" x14ac:dyDescent="0.25">
      <c r="A35" s="176" t="s">
        <v>111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8"/>
    </row>
    <row r="36" spans="1:25" ht="103.05" customHeight="1" x14ac:dyDescent="0.3">
      <c r="A36" s="130" t="str">
        <f>VLOOKUP(C36,'Cargos-Competencias'!$D$3:$F$149,3,FALSE)</f>
        <v>No aplica</v>
      </c>
      <c r="B36" s="131"/>
      <c r="C36" s="134" t="str">
        <f>CONCATENATE($J$10,D36)</f>
        <v>Coordinador JurídicoA</v>
      </c>
      <c r="D36" s="134" t="s">
        <v>29</v>
      </c>
      <c r="E36" s="136" t="str">
        <f>IFERROR(VLOOKUP(A36,'Diccionario '!$C$2:$D$21,2,FALSE),"")</f>
        <v/>
      </c>
      <c r="F36" s="51" t="s">
        <v>29</v>
      </c>
      <c r="G36" s="51" t="str">
        <f>CONCATENATE($A$36,F36)</f>
        <v>No aplicaA</v>
      </c>
      <c r="H36" s="113" t="str">
        <f>IFERROR(VLOOKUP(G36,'Diccionario '!$F$3:$G$21,2,FALSE),"")</f>
        <v/>
      </c>
      <c r="I36" s="123"/>
      <c r="J36" s="124"/>
      <c r="K36" s="41">
        <f>(IF(I36="NA",0,(I36*0.3)))</f>
        <v>0</v>
      </c>
      <c r="L36" s="41">
        <f>(IF(I36="NA",0.3,(0)))</f>
        <v>0</v>
      </c>
      <c r="M36" s="123"/>
      <c r="N36" s="124"/>
      <c r="O36" s="41">
        <f>(IF(M36="NA",0,(M36*0.7)))</f>
        <v>0</v>
      </c>
      <c r="P36" s="41">
        <f>(IF(M36="NA",0.7,(0)))</f>
        <v>0</v>
      </c>
      <c r="Q36" s="20"/>
      <c r="R36" s="41">
        <f t="shared" ref="R36:R52" si="24">(IF(Q36="NA",0,(Q36*0.2)))</f>
        <v>0</v>
      </c>
      <c r="S36" s="41">
        <f t="shared" ref="S36" si="25">(IF(Q36="NA",0.2,(0)))</f>
        <v>0</v>
      </c>
      <c r="T36" s="41">
        <f t="shared" ref="T36" si="26">COUNTIF(I36:R36,"NA")</f>
        <v>0</v>
      </c>
      <c r="U36" s="41">
        <f t="shared" ref="U36" si="27">SUM(S36+P36+L36)</f>
        <v>0</v>
      </c>
      <c r="V36" s="137" t="str">
        <f>IFERROR(IF(T36=5,"NA",(O36+K36)+AVERAGE(M36,I36)*U36),"")</f>
        <v/>
      </c>
      <c r="W36" s="137"/>
      <c r="X36" s="13"/>
      <c r="Y36" s="19"/>
    </row>
    <row r="37" spans="1:25" ht="64.95" customHeight="1" x14ac:dyDescent="0.3">
      <c r="A37" s="151"/>
      <c r="B37" s="152"/>
      <c r="C37" s="149"/>
      <c r="D37" s="149"/>
      <c r="E37" s="136"/>
      <c r="F37" s="51" t="s">
        <v>30</v>
      </c>
      <c r="G37" s="51" t="str">
        <f>CONCATENATE($A$36,F37)</f>
        <v>No aplicaB</v>
      </c>
      <c r="H37" s="113" t="str">
        <f>IFERROR(VLOOKUP(G37,'Diccionario '!$F$3:$G$21,2,FALSE),"")</f>
        <v/>
      </c>
      <c r="I37" s="123"/>
      <c r="J37" s="124"/>
      <c r="K37" s="41">
        <f>(IF(I37="NA",0,(I37*0.3)))</f>
        <v>0</v>
      </c>
      <c r="L37" s="41">
        <f>(IF(I37="NA",0.3,(0)))</f>
        <v>0</v>
      </c>
      <c r="M37" s="123"/>
      <c r="N37" s="124"/>
      <c r="O37" s="41">
        <f>(IF(M37="NA",0,(M37*0.7)))</f>
        <v>0</v>
      </c>
      <c r="P37" s="41">
        <f>(IF(M37="NA",0.7,(0)))</f>
        <v>0</v>
      </c>
      <c r="Q37" s="20"/>
      <c r="R37" s="41">
        <f t="shared" ref="R37" si="28">(IF(Q37="NA",0,(Q37*0.2)))</f>
        <v>0</v>
      </c>
      <c r="S37" s="41">
        <f t="shared" ref="S37" si="29">(IF(Q37="NA",0.2,(0)))</f>
        <v>0</v>
      </c>
      <c r="T37" s="41">
        <f t="shared" ref="T37" si="30">COUNTIF(I37:R37,"NA")</f>
        <v>0</v>
      </c>
      <c r="U37" s="41">
        <f t="shared" ref="U37" si="31">SUM(S37+P37+L37)</f>
        <v>0</v>
      </c>
      <c r="V37" s="137" t="str">
        <f>IFERROR(IF(T37=5,"NA",(O37+K37)+AVERAGE(M37,I37)*U37),"")</f>
        <v/>
      </c>
      <c r="W37" s="137"/>
      <c r="X37" s="13"/>
      <c r="Y37" s="19"/>
    </row>
    <row r="38" spans="1:25" ht="16.05" customHeight="1" x14ac:dyDescent="0.25">
      <c r="A38" s="132"/>
      <c r="B38" s="133"/>
      <c r="C38" s="135"/>
      <c r="D38" s="135"/>
      <c r="E38" s="136"/>
      <c r="F38" s="50"/>
      <c r="G38" s="50"/>
      <c r="H38" s="138" t="s">
        <v>10</v>
      </c>
      <c r="I38" s="139"/>
      <c r="J38" s="139"/>
      <c r="K38" s="139"/>
      <c r="L38" s="139"/>
      <c r="M38" s="139"/>
      <c r="N38" s="140"/>
      <c r="O38" s="48"/>
      <c r="P38" s="48"/>
      <c r="Q38" s="49"/>
      <c r="R38" s="48"/>
      <c r="S38" s="48"/>
      <c r="T38" s="48"/>
      <c r="U38" s="48"/>
      <c r="V38" s="141" t="str">
        <f>IFERROR((AVERAGE(V36:W37)),"")</f>
        <v/>
      </c>
      <c r="W38" s="141" t="str">
        <f>IFERROR((AVERAGE(#REF!)),"NA")</f>
        <v>NA</v>
      </c>
      <c r="X38" s="17"/>
    </row>
    <row r="39" spans="1:25" ht="75" customHeight="1" x14ac:dyDescent="0.3">
      <c r="A39" s="130" t="str">
        <f>VLOOKUP(C39,'Cargos-Competencias'!$D$3:$F$149,3,FALSE)</f>
        <v>No aplica</v>
      </c>
      <c r="B39" s="131"/>
      <c r="C39" s="134" t="str">
        <f t="shared" ref="C39" si="32">CONCATENATE($J$10,D39)</f>
        <v>Coordinador JurídicoB</v>
      </c>
      <c r="D39" s="134" t="s">
        <v>30</v>
      </c>
      <c r="E39" s="136" t="str">
        <f>IFERROR(VLOOKUP(A39,'Diccionario '!$C$2:$D$21,2,FALSE),"")</f>
        <v/>
      </c>
      <c r="F39" s="51" t="s">
        <v>29</v>
      </c>
      <c r="G39" s="51" t="str">
        <f>CONCATENATE($A$39,F39)</f>
        <v>No aplicaA</v>
      </c>
      <c r="H39" s="113" t="str">
        <f>IFERROR(VLOOKUP(G39,'Diccionario '!$F$3:$G$21,2,FALSE),"")</f>
        <v/>
      </c>
      <c r="I39" s="123"/>
      <c r="J39" s="124"/>
      <c r="K39" s="41">
        <f>(IF(I39="NA",0,(I39*0.3)))</f>
        <v>0</v>
      </c>
      <c r="L39" s="41">
        <f>(IF(I39="NA",0.3,(0)))</f>
        <v>0</v>
      </c>
      <c r="M39" s="123"/>
      <c r="N39" s="124"/>
      <c r="O39" s="41">
        <f>(IF(M39="NA",0,(M39*0.7)))</f>
        <v>0</v>
      </c>
      <c r="P39" s="41">
        <f>(IF(M39="NA",0.7,(0)))</f>
        <v>0</v>
      </c>
      <c r="Q39" s="20"/>
      <c r="R39" s="41">
        <f t="shared" si="24"/>
        <v>0</v>
      </c>
      <c r="S39" s="41">
        <f t="shared" ref="S39" si="33">(IF(Q39="NA",0.2,(0)))</f>
        <v>0</v>
      </c>
      <c r="T39" s="41">
        <f t="shared" ref="T39" si="34">COUNTIF(I39:R39,"NA")</f>
        <v>0</v>
      </c>
      <c r="U39" s="41">
        <f t="shared" ref="U39" si="35">SUM(S39+P39+L39)</f>
        <v>0</v>
      </c>
      <c r="V39" s="137" t="str">
        <f>IFERROR(IF(T39=5,"NA",(O39+K39)+AVERAGE(M39,I39)*U39),"")</f>
        <v/>
      </c>
      <c r="W39" s="137"/>
      <c r="X39" s="13"/>
      <c r="Y39" s="19"/>
    </row>
    <row r="40" spans="1:25" ht="63" customHeight="1" x14ac:dyDescent="0.3">
      <c r="A40" s="151"/>
      <c r="B40" s="152"/>
      <c r="C40" s="149"/>
      <c r="D40" s="149"/>
      <c r="E40" s="136"/>
      <c r="F40" s="51" t="s">
        <v>30</v>
      </c>
      <c r="G40" s="51" t="str">
        <f t="shared" ref="G40" si="36">CONCATENATE($A$39,F40)</f>
        <v>No aplicaB</v>
      </c>
      <c r="H40" s="113" t="str">
        <f>IFERROR(VLOOKUP(G40,'Diccionario '!$F$3:$G$21,2,FALSE),"")</f>
        <v/>
      </c>
      <c r="I40" s="123"/>
      <c r="J40" s="124"/>
      <c r="K40" s="41">
        <f>(IF(I40="NA",0,(I40*0.3)))</f>
        <v>0</v>
      </c>
      <c r="L40" s="41">
        <f>(IF(I40="NA",0.3,(0)))</f>
        <v>0</v>
      </c>
      <c r="M40" s="123"/>
      <c r="N40" s="124"/>
      <c r="O40" s="41">
        <f>(IF(M40="NA",0,(M40*0.7)))</f>
        <v>0</v>
      </c>
      <c r="P40" s="41">
        <f>(IF(M40="NA",0.7,(0)))</f>
        <v>0</v>
      </c>
      <c r="Q40" s="20"/>
      <c r="R40" s="41">
        <f t="shared" si="24"/>
        <v>0</v>
      </c>
      <c r="S40" s="41">
        <f t="shared" ref="S40" si="37">(IF(Q40="NA",0.2,(0)))</f>
        <v>0</v>
      </c>
      <c r="T40" s="41">
        <f t="shared" ref="T40" si="38">COUNTIF(I40:R40,"NA")</f>
        <v>0</v>
      </c>
      <c r="U40" s="41">
        <f t="shared" ref="U40" si="39">SUM(S40+P40+L40)</f>
        <v>0</v>
      </c>
      <c r="V40" s="137" t="str">
        <f>IFERROR(IF(T40=5,"NA",(O40+K40)+AVERAGE(M40,I40)*U40),"")</f>
        <v/>
      </c>
      <c r="W40" s="137"/>
      <c r="X40" s="13"/>
      <c r="Y40" s="19"/>
    </row>
    <row r="41" spans="1:25" ht="16.05" customHeight="1" x14ac:dyDescent="0.25">
      <c r="A41" s="132"/>
      <c r="B41" s="133"/>
      <c r="C41" s="135"/>
      <c r="D41" s="135"/>
      <c r="E41" s="136"/>
      <c r="F41" s="8"/>
      <c r="G41" s="8"/>
      <c r="H41" s="138" t="s">
        <v>10</v>
      </c>
      <c r="I41" s="139"/>
      <c r="J41" s="139"/>
      <c r="K41" s="139"/>
      <c r="L41" s="139"/>
      <c r="M41" s="139"/>
      <c r="N41" s="140"/>
      <c r="O41" s="48"/>
      <c r="P41" s="48"/>
      <c r="Q41" s="49"/>
      <c r="R41" s="48"/>
      <c r="S41" s="48"/>
      <c r="T41" s="48"/>
      <c r="U41" s="48"/>
      <c r="V41" s="141" t="str">
        <f>IFERROR((AVERAGE(V39:W40)),"")</f>
        <v/>
      </c>
      <c r="W41" s="141" t="str">
        <f>IFERROR((AVERAGE(#REF!)),"NA")</f>
        <v>NA</v>
      </c>
      <c r="X41" s="17"/>
    </row>
    <row r="42" spans="1:25" ht="7.2" customHeight="1" x14ac:dyDescent="0.25"/>
    <row r="43" spans="1:25" ht="33.75" customHeight="1" x14ac:dyDescent="0.25">
      <c r="A43" s="176" t="s">
        <v>112</v>
      </c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8"/>
    </row>
    <row r="44" spans="1:25" ht="80.25" customHeight="1" x14ac:dyDescent="0.3">
      <c r="A44" s="130" t="str">
        <f>VLOOKUP(C44,'Cargos-Competencias'!$D$3:$F$149,3,FALSE)</f>
        <v>Oportunidad ACPM</v>
      </c>
      <c r="B44" s="131"/>
      <c r="C44" s="134" t="str">
        <f>CONCATENATE($J$10,D44)</f>
        <v>Coordinador JurídicoC</v>
      </c>
      <c r="D44" s="134" t="s">
        <v>31</v>
      </c>
      <c r="E44" s="136" t="str">
        <f>IFERROR(VLOOKUP(A44,'Diccionario '!$C$2:$D$21,2,FALSE),"")</f>
        <v>Ejecuta el cierre oportuno de los planes de acción establecidos, logrando el cumplimiento de las actividades planteadas y subsanando las causas que dieron lugar a la misma.</v>
      </c>
      <c r="F44" s="51" t="s">
        <v>29</v>
      </c>
      <c r="G44" s="51" t="str">
        <f>CONCATENATE($A$44,F44)</f>
        <v>Oportunidad ACPMA</v>
      </c>
      <c r="H44" s="113" t="str">
        <f>IFERROR(VLOOKUP(G44,'Diccionario '!$F$3:$G$21,2,FALSE),"")</f>
        <v>Ejecuta el cierre oportuno de los planes de acción establecidos, logrando el cumplimiento de las actividades planteadas y subsanando las causas que dieron lugar a la misma.</v>
      </c>
      <c r="I44" s="123"/>
      <c r="J44" s="124"/>
      <c r="K44" s="41">
        <f>(IF(I44="NA",0,(I44*0.3)))</f>
        <v>0</v>
      </c>
      <c r="L44" s="41">
        <f>(IF(I44="NA",0.3,(0)))</f>
        <v>0</v>
      </c>
      <c r="M44" s="123"/>
      <c r="N44" s="124"/>
      <c r="O44" s="41">
        <f>(IF(M44="NA",0,(M44*0.7)))</f>
        <v>0</v>
      </c>
      <c r="P44" s="41">
        <f>(IF(M44="NA",0.7,(0)))</f>
        <v>0</v>
      </c>
      <c r="Q44" s="20"/>
      <c r="R44" s="41">
        <f t="shared" ref="R44" si="40">(IF(Q44="NA",0,(Q44*0.2)))</f>
        <v>0</v>
      </c>
      <c r="S44" s="41">
        <f t="shared" ref="S44" si="41">(IF(Q44="NA",0.2,(0)))</f>
        <v>0</v>
      </c>
      <c r="T44" s="41">
        <f t="shared" ref="T44" si="42">COUNTIF(I44:R44,"NA")</f>
        <v>0</v>
      </c>
      <c r="U44" s="41">
        <f t="shared" ref="U44" si="43">SUM(S44+P44+L44)</f>
        <v>0</v>
      </c>
      <c r="V44" s="137" t="str">
        <f>IFERROR(IF(T44=5,"NA",(O44+K44)+AVERAGE(M44,I44)*U44),"")</f>
        <v/>
      </c>
      <c r="W44" s="137"/>
      <c r="X44" s="13"/>
      <c r="Y44" s="19"/>
    </row>
    <row r="45" spans="1:25" ht="16.05" customHeight="1" x14ac:dyDescent="0.25">
      <c r="A45" s="132"/>
      <c r="B45" s="133"/>
      <c r="C45" s="135"/>
      <c r="D45" s="135"/>
      <c r="E45" s="136"/>
      <c r="F45" s="50"/>
      <c r="G45" s="50"/>
      <c r="H45" s="138" t="s">
        <v>10</v>
      </c>
      <c r="I45" s="139"/>
      <c r="J45" s="139"/>
      <c r="K45" s="139"/>
      <c r="L45" s="139"/>
      <c r="M45" s="139"/>
      <c r="N45" s="140"/>
      <c r="O45" s="48"/>
      <c r="P45" s="48"/>
      <c r="Q45" s="49"/>
      <c r="R45" s="48"/>
      <c r="S45" s="48"/>
      <c r="T45" s="48"/>
      <c r="U45" s="48"/>
      <c r="V45" s="141" t="str">
        <f>IFERROR((AVERAGE(V44:W44)),"")</f>
        <v/>
      </c>
      <c r="W45" s="141" t="str">
        <f>IFERROR((AVERAGE(#REF!)),"NA")</f>
        <v>NA</v>
      </c>
      <c r="X45" s="17"/>
    </row>
    <row r="46" spans="1:25" ht="84" customHeight="1" x14ac:dyDescent="0.3">
      <c r="A46" s="130" t="str">
        <f>VLOOKUP(C46,'Cargos-Competencias'!$D$3:$F$149,3,FALSE)</f>
        <v>Participación</v>
      </c>
      <c r="B46" s="131"/>
      <c r="C46" s="134" t="str">
        <f t="shared" ref="C46" si="44">CONCATENATE($J$10,D46)</f>
        <v>Coordinador JurídicoD</v>
      </c>
      <c r="D46" s="134" t="s">
        <v>32</v>
      </c>
      <c r="E46" s="136" t="str">
        <f>IFERROR(VLOOKUP(A46,'Diccionario '!$C$2:$D$21,2,FALSE),"")</f>
        <v>Participa y promueve en su equipo el cumplimiento de las responsabilidades transversales que se desprenden de los sistemas de gestión</v>
      </c>
      <c r="F46" s="51" t="s">
        <v>29</v>
      </c>
      <c r="G46" s="51" t="str">
        <f>CONCATENATE($A$46,F46)</f>
        <v>ParticipaciónA</v>
      </c>
      <c r="H46" s="113" t="str">
        <f>IFERROR(VLOOKUP(G46,'Diccionario '!$F$3:$G$21,2,FALSE),"")</f>
        <v>Participa y promueve en su equipo el cumplimiento de las responsabilidades transversales que se desprenden de los sistemas de gestión</v>
      </c>
      <c r="I46" s="123"/>
      <c r="J46" s="124"/>
      <c r="K46" s="41">
        <f>(IF(I46="NA",0,(I46*0.3)))</f>
        <v>0</v>
      </c>
      <c r="L46" s="41">
        <f>(IF(I46="NA",0.3,(0)))</f>
        <v>0</v>
      </c>
      <c r="M46" s="123"/>
      <c r="N46" s="124"/>
      <c r="O46" s="41">
        <f>(IF(M46="NA",0,(M46*0.7)))</f>
        <v>0</v>
      </c>
      <c r="P46" s="41">
        <f>(IF(M46="NA",0.7,(0)))</f>
        <v>0</v>
      </c>
      <c r="Q46" s="20"/>
      <c r="R46" s="41">
        <f t="shared" ref="R46" si="45">(IF(Q46="NA",0,(Q46*0.2)))</f>
        <v>0</v>
      </c>
      <c r="S46" s="41">
        <f t="shared" ref="S46" si="46">(IF(Q46="NA",0.2,(0)))</f>
        <v>0</v>
      </c>
      <c r="T46" s="41">
        <f t="shared" ref="T46" si="47">COUNTIF(I46:R46,"NA")</f>
        <v>0</v>
      </c>
      <c r="U46" s="41">
        <f t="shared" ref="U46" si="48">SUM(S46+P46+L46)</f>
        <v>0</v>
      </c>
      <c r="V46" s="137" t="str">
        <f>IFERROR(IF(T46=5,"NA",(O46+K46)+AVERAGE(M46,I46)*U46),"")</f>
        <v/>
      </c>
      <c r="W46" s="137"/>
      <c r="X46" s="13"/>
      <c r="Y46" s="19"/>
    </row>
    <row r="47" spans="1:25" ht="16.05" customHeight="1" x14ac:dyDescent="0.25">
      <c r="A47" s="132"/>
      <c r="B47" s="133"/>
      <c r="C47" s="135"/>
      <c r="D47" s="135"/>
      <c r="E47" s="136"/>
      <c r="F47" s="8"/>
      <c r="G47" s="8"/>
      <c r="H47" s="138" t="s">
        <v>10</v>
      </c>
      <c r="I47" s="139"/>
      <c r="J47" s="139"/>
      <c r="K47" s="139"/>
      <c r="L47" s="139"/>
      <c r="M47" s="139"/>
      <c r="N47" s="140"/>
      <c r="O47" s="48"/>
      <c r="P47" s="48"/>
      <c r="Q47" s="49"/>
      <c r="R47" s="48"/>
      <c r="S47" s="48"/>
      <c r="T47" s="48"/>
      <c r="U47" s="48"/>
      <c r="V47" s="141" t="str">
        <f>IFERROR((AVERAGE(V46:W46)),"")</f>
        <v/>
      </c>
      <c r="W47" s="141" t="str">
        <f>IFERROR((AVERAGE(#REF!)),"NA")</f>
        <v>NA</v>
      </c>
      <c r="X47" s="17"/>
    </row>
    <row r="48" spans="1:25" ht="82.8" customHeight="1" x14ac:dyDescent="0.3">
      <c r="A48" s="130" t="str">
        <f>VLOOKUP(C48,'Cargos-Competencias'!$D$3:$F$149,3,FALSE)</f>
        <v>Uso de recursos de seguridad física y de SST asignados al cargo</v>
      </c>
      <c r="B48" s="131"/>
      <c r="C48" s="134" t="str">
        <f t="shared" ref="C48" si="49">CONCATENATE($J$10,D48)</f>
        <v>Coordinador JurídicoE</v>
      </c>
      <c r="D48" s="134" t="s">
        <v>63</v>
      </c>
      <c r="E48" s="136" t="str">
        <f>IFERROR(VLOOKUP(A48,'Diccionario '!$C$2:$D$21,2,FALSE),"")</f>
        <v>Usa adecuadamente los recursos de seguridad física, como claves, llaves, botón de pánico, etc. Y de SST, como EPP, equipos de protección contra caídas, etc. que la empresa le entrega para el desarrollo de su labor</v>
      </c>
      <c r="F48" s="51" t="s">
        <v>29</v>
      </c>
      <c r="G48" s="51" t="str">
        <f>CONCATENATE($A$48,F48)</f>
        <v>Uso de recursos de seguridad física y de SST asignados al cargoA</v>
      </c>
      <c r="H48" s="113" t="str">
        <f>IFERROR(VLOOKUP(G48,'Diccionario '!$F$3:$G$21,2,FALSE),"")</f>
        <v>Usa adecuadamente los recursos de seguridad física, como claves, llaves, botón de pánico, etc. Y de SST, como EPP, equipos de protección contra caídas, etc. que la empresa le entrega para el desarrollo de su labor</v>
      </c>
      <c r="I48" s="123"/>
      <c r="J48" s="124"/>
      <c r="K48" s="41">
        <f>(IF(I48="NA",0,(I48*0.3)))</f>
        <v>0</v>
      </c>
      <c r="L48" s="41">
        <f>(IF(I48="NA",0.3,(0)))</f>
        <v>0</v>
      </c>
      <c r="M48" s="123"/>
      <c r="N48" s="124"/>
      <c r="O48" s="41">
        <f>(IF(M48="NA",0,(M48*0.7)))</f>
        <v>0</v>
      </c>
      <c r="P48" s="41">
        <f>(IF(M48="NA",0.7,(0)))</f>
        <v>0</v>
      </c>
      <c r="Q48" s="20"/>
      <c r="R48" s="41">
        <f t="shared" ref="R48" si="50">(IF(Q48="NA",0,(Q48*0.2)))</f>
        <v>0</v>
      </c>
      <c r="S48" s="41">
        <f t="shared" ref="S48" si="51">(IF(Q48="NA",0.2,(0)))</f>
        <v>0</v>
      </c>
      <c r="T48" s="41">
        <f t="shared" ref="T48" si="52">COUNTIF(I48:R48,"NA")</f>
        <v>0</v>
      </c>
      <c r="U48" s="41">
        <f t="shared" ref="U48" si="53">SUM(S48+P48+L48)</f>
        <v>0</v>
      </c>
      <c r="V48" s="137" t="str">
        <f>IFERROR(IF(T48=5,"NA",(O48+K48)+AVERAGE(M48,I48)*U48),"")</f>
        <v/>
      </c>
      <c r="W48" s="137"/>
      <c r="X48" s="13"/>
      <c r="Y48" s="19"/>
    </row>
    <row r="49" spans="1:29" ht="16.05" customHeight="1" x14ac:dyDescent="0.25">
      <c r="A49" s="132"/>
      <c r="B49" s="133"/>
      <c r="C49" s="135"/>
      <c r="D49" s="135"/>
      <c r="E49" s="136"/>
      <c r="F49" s="50"/>
      <c r="G49" s="50"/>
      <c r="H49" s="138" t="s">
        <v>10</v>
      </c>
      <c r="I49" s="139"/>
      <c r="J49" s="139"/>
      <c r="K49" s="139"/>
      <c r="L49" s="139"/>
      <c r="M49" s="139"/>
      <c r="N49" s="140"/>
      <c r="O49" s="48"/>
      <c r="P49" s="48"/>
      <c r="Q49" s="49"/>
      <c r="R49" s="48"/>
      <c r="S49" s="48"/>
      <c r="T49" s="48"/>
      <c r="U49" s="48"/>
      <c r="V49" s="141" t="str">
        <f>IFERROR((AVERAGE(V48:W48)),"")</f>
        <v/>
      </c>
      <c r="W49" s="141" t="str">
        <f>IFERROR((AVERAGE(#REF!)),"NA")</f>
        <v>NA</v>
      </c>
      <c r="X49" s="17"/>
    </row>
    <row r="50" spans="1:29" ht="143.4" customHeight="1" x14ac:dyDescent="0.3">
      <c r="A50" s="130" t="str">
        <f>VLOOKUP(C50,'Cargos-Competencias'!$D$3:$F$149,3,FALSE)</f>
        <v>Código de Ética, Conducta y Buen Gobierno</v>
      </c>
      <c r="B50" s="131"/>
      <c r="C50" s="134" t="str">
        <f t="shared" ref="C50" si="54">CONCATENATE($J$10,D50)</f>
        <v>Coordinador JurídicoF</v>
      </c>
      <c r="D50" s="134" t="s">
        <v>116</v>
      </c>
      <c r="E50" s="136" t="str">
        <f>IFERROR(VLOOKUP(A50,'Diccionario '!$C$2:$D$21,2,FALSE),"")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F50" s="51" t="s">
        <v>29</v>
      </c>
      <c r="G50" s="51" t="str">
        <f>CONCATENATE($A$50,F50)</f>
        <v>Código de Ética, Conducta y Buen GobiernoA</v>
      </c>
      <c r="H50" s="113" t="str">
        <f>IFERROR(VLOOKUP(G50,'Diccionario '!$F$3:$G$21,2,FALSE),"")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50" s="123"/>
      <c r="J50" s="124"/>
      <c r="K50" s="41">
        <f>(IF(I50="NA",0,(I50*0.3)))</f>
        <v>0</v>
      </c>
      <c r="L50" s="41">
        <f>(IF(I50="NA",0.3,(0)))</f>
        <v>0</v>
      </c>
      <c r="M50" s="123"/>
      <c r="N50" s="124"/>
      <c r="O50" s="41">
        <f>(IF(M50="NA",0,(M50*0.7)))</f>
        <v>0</v>
      </c>
      <c r="P50" s="41">
        <f>(IF(M50="NA",0.7,(0)))</f>
        <v>0</v>
      </c>
      <c r="Q50" s="20"/>
      <c r="R50" s="41">
        <f t="shared" si="24"/>
        <v>0</v>
      </c>
      <c r="S50" s="41">
        <f t="shared" ref="S50" si="55">(IF(Q50="NA",0.2,(0)))</f>
        <v>0</v>
      </c>
      <c r="T50" s="41">
        <f t="shared" ref="T50" si="56">COUNTIF(I50:R50,"NA")</f>
        <v>0</v>
      </c>
      <c r="U50" s="41">
        <f t="shared" ref="U50" si="57">SUM(S50+P50+L50)</f>
        <v>0</v>
      </c>
      <c r="V50" s="137" t="str">
        <f>IFERROR(IF(T50=5,"NA",(O50+K50)+AVERAGE(M50,I50)*U50),"")</f>
        <v/>
      </c>
      <c r="W50" s="137"/>
      <c r="X50" s="13"/>
      <c r="Y50" s="19"/>
    </row>
    <row r="51" spans="1:29" ht="16.05" customHeight="1" x14ac:dyDescent="0.25">
      <c r="A51" s="132"/>
      <c r="B51" s="133"/>
      <c r="C51" s="135"/>
      <c r="D51" s="135"/>
      <c r="E51" s="136"/>
      <c r="F51" s="50"/>
      <c r="G51" s="50"/>
      <c r="H51" s="138" t="s">
        <v>10</v>
      </c>
      <c r="I51" s="139"/>
      <c r="J51" s="139"/>
      <c r="K51" s="139"/>
      <c r="L51" s="139"/>
      <c r="M51" s="139"/>
      <c r="N51" s="140"/>
      <c r="O51" s="48"/>
      <c r="P51" s="48"/>
      <c r="Q51" s="49"/>
      <c r="R51" s="48"/>
      <c r="S51" s="48"/>
      <c r="T51" s="48"/>
      <c r="U51" s="48"/>
      <c r="V51" s="141" t="str">
        <f>IFERROR((AVERAGE(V50:W50)),"")</f>
        <v/>
      </c>
      <c r="W51" s="141" t="str">
        <f>IFERROR((AVERAGE(#REF!)),"NA")</f>
        <v>NA</v>
      </c>
      <c r="X51" s="17"/>
    </row>
    <row r="52" spans="1:29" ht="120" customHeight="1" x14ac:dyDescent="0.3">
      <c r="A52" s="130" t="str">
        <f>VLOOKUP(C52,'Cargos-Competencias'!$D$3:$F$149,3,FALSE)</f>
        <v>Política de Conducta Empresarial Responsable (CER)</v>
      </c>
      <c r="B52" s="131"/>
      <c r="C52" s="134" t="str">
        <f>CONCATENATE($J$10,D52)</f>
        <v>Coordinador JurídicoG</v>
      </c>
      <c r="D52" s="134" t="s">
        <v>117</v>
      </c>
      <c r="E52" s="136" t="str">
        <f>IFERROR(VLOOKUP(A52,'Diccionario '!$C$2:$D$21,2,FALSE),"")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F52" s="51" t="s">
        <v>29</v>
      </c>
      <c r="G52" s="51" t="str">
        <f>CONCATENATE($A$52,F52)</f>
        <v>Política de Conducta Empresarial Responsable (CER)A</v>
      </c>
      <c r="H52" s="113" t="str">
        <f>IFERROR(VLOOKUP(G52,'Diccionario '!$F$3:$G$21,2,FALSE),"")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52" s="123"/>
      <c r="J52" s="124"/>
      <c r="K52" s="41">
        <f>(IF(I52="NA",0,(I52*0.3)))</f>
        <v>0</v>
      </c>
      <c r="L52" s="41">
        <f>(IF(I52="NA",0.3,(0)))</f>
        <v>0</v>
      </c>
      <c r="M52" s="123"/>
      <c r="N52" s="124"/>
      <c r="O52" s="41">
        <f>(IF(M52="NA",0,(M52*0.7)))</f>
        <v>0</v>
      </c>
      <c r="P52" s="41">
        <f>(IF(M52="NA",0.7,(0)))</f>
        <v>0</v>
      </c>
      <c r="Q52" s="20"/>
      <c r="R52" s="41">
        <f t="shared" si="24"/>
        <v>0</v>
      </c>
      <c r="S52" s="41">
        <f t="shared" ref="S52" si="58">(IF(Q52="NA",0.2,(0)))</f>
        <v>0</v>
      </c>
      <c r="T52" s="41">
        <f t="shared" ref="T52" si="59">COUNTIF(I52:R52,"NA")</f>
        <v>0</v>
      </c>
      <c r="U52" s="41">
        <f t="shared" ref="U52" si="60">SUM(S52+P52+L52)</f>
        <v>0</v>
      </c>
      <c r="V52" s="137" t="str">
        <f>IFERROR(IF(T52=5,"NA",(O52+K52)+AVERAGE(M52,I52)*U52),"")</f>
        <v/>
      </c>
      <c r="W52" s="137"/>
      <c r="X52" s="13"/>
      <c r="Y52" s="19"/>
    </row>
    <row r="53" spans="1:29" ht="16.05" customHeight="1" x14ac:dyDescent="0.25">
      <c r="A53" s="132"/>
      <c r="B53" s="133"/>
      <c r="C53" s="135"/>
      <c r="D53" s="135"/>
      <c r="E53" s="136"/>
      <c r="F53" s="8"/>
      <c r="G53" s="8"/>
      <c r="H53" s="138" t="s">
        <v>10</v>
      </c>
      <c r="I53" s="139"/>
      <c r="J53" s="139"/>
      <c r="K53" s="139"/>
      <c r="L53" s="139"/>
      <c r="M53" s="139"/>
      <c r="N53" s="140"/>
      <c r="O53" s="48"/>
      <c r="P53" s="48"/>
      <c r="Q53" s="49"/>
      <c r="R53" s="48"/>
      <c r="S53" s="48"/>
      <c r="T53" s="48"/>
      <c r="U53" s="48"/>
      <c r="V53" s="141" t="str">
        <f>IFERROR((AVERAGE(V52:W52)),"")</f>
        <v/>
      </c>
      <c r="W53" s="141" t="str">
        <f>IFERROR((AVERAGE(#REF!)),"NA")</f>
        <v>NA</v>
      </c>
      <c r="X53" s="17"/>
    </row>
    <row r="54" spans="1:29" ht="7.5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9" ht="30" customHeight="1" x14ac:dyDescent="0.25">
      <c r="A55" s="148" t="s">
        <v>114</v>
      </c>
      <c r="B55" s="148"/>
      <c r="C55" s="148"/>
      <c r="D55" s="148"/>
      <c r="E55" s="148"/>
      <c r="F55" s="148"/>
      <c r="G55" s="148"/>
      <c r="H55" s="148"/>
      <c r="K55" s="1"/>
      <c r="L55" s="1"/>
      <c r="O55" s="1"/>
      <c r="P55" s="1"/>
      <c r="R55" s="1"/>
      <c r="S55" s="1"/>
      <c r="T55" s="1"/>
      <c r="U55" s="1"/>
      <c r="V55" s="150">
        <f>IFERROR(AVERAGE(V41,V38,V33,V30,V27,V24,V21),0)</f>
        <v>0</v>
      </c>
      <c r="W55" s="150"/>
      <c r="X55" s="150"/>
    </row>
    <row r="56" spans="1:29" ht="36" customHeight="1" x14ac:dyDescent="0.25">
      <c r="A56" s="148" t="s">
        <v>115</v>
      </c>
      <c r="B56" s="148"/>
      <c r="C56" s="148"/>
      <c r="D56" s="148"/>
      <c r="E56" s="148"/>
      <c r="F56" s="148"/>
      <c r="G56" s="148"/>
      <c r="H56" s="148"/>
      <c r="K56" s="1"/>
      <c r="L56" s="1"/>
      <c r="O56" s="1"/>
      <c r="P56" s="1"/>
      <c r="R56" s="1"/>
      <c r="S56" s="1"/>
      <c r="T56" s="1"/>
      <c r="U56" s="1"/>
      <c r="V56" s="150">
        <f>IFERROR(AVERAGE(V51,V53,V49,V47,V45),0)</f>
        <v>0</v>
      </c>
      <c r="W56" s="150"/>
      <c r="X56" s="150"/>
    </row>
    <row r="57" spans="1:29" customFormat="1" ht="37.5" hidden="1" customHeight="1" x14ac:dyDescent="0.2"/>
    <row r="58" spans="1:29" customFormat="1" ht="37.5" hidden="1" customHeight="1" x14ac:dyDescent="0.2"/>
    <row r="59" spans="1:29" customFormat="1" ht="37.5" hidden="1" customHeight="1" x14ac:dyDescent="0.2"/>
    <row r="60" spans="1:29" customFormat="1" ht="21" customHeight="1" x14ac:dyDescent="0.3"/>
    <row r="61" spans="1:29" ht="61.2" customHeight="1" x14ac:dyDescent="0.25">
      <c r="A61" s="117" t="s">
        <v>144</v>
      </c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9"/>
    </row>
    <row r="62" spans="1:29" ht="33" customHeight="1" x14ac:dyDescent="0.25">
      <c r="A62" s="120" t="s">
        <v>134</v>
      </c>
      <c r="B62" s="121"/>
      <c r="C62" s="109"/>
      <c r="D62" s="109"/>
      <c r="E62" s="36" t="s">
        <v>135</v>
      </c>
      <c r="F62" s="108"/>
      <c r="G62" s="108"/>
      <c r="H62" s="36" t="s">
        <v>136</v>
      </c>
      <c r="I62" s="120" t="s">
        <v>137</v>
      </c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1"/>
      <c r="X62" s="36" t="s">
        <v>138</v>
      </c>
    </row>
    <row r="63" spans="1:29" ht="30" customHeight="1" x14ac:dyDescent="0.25">
      <c r="A63" s="123" t="s">
        <v>139</v>
      </c>
      <c r="B63" s="124"/>
      <c r="C63" s="103"/>
      <c r="D63" s="103"/>
      <c r="E63" s="111">
        <v>43269</v>
      </c>
      <c r="F63" s="110"/>
      <c r="G63" s="110"/>
      <c r="H63" s="111">
        <v>44966</v>
      </c>
      <c r="I63" s="123">
        <v>3</v>
      </c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4"/>
      <c r="X63" s="20" t="s">
        <v>143</v>
      </c>
      <c r="AC63" s="18"/>
    </row>
    <row r="64" spans="1:29" ht="7.2" customHeight="1" x14ac:dyDescent="0.25">
      <c r="A64" s="126"/>
      <c r="B64" s="127"/>
      <c r="C64" s="127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8"/>
    </row>
    <row r="65" spans="1:29" ht="6" customHeight="1" x14ac:dyDescent="0.25">
      <c r="A65" s="129" t="s">
        <v>58</v>
      </c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</row>
    <row r="66" spans="1:29" ht="1.8" customHeight="1" x14ac:dyDescent="0.25">
      <c r="A66" s="129"/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</row>
    <row r="67" spans="1:29" ht="1.8" customHeight="1" x14ac:dyDescent="0.25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</row>
    <row r="68" spans="1:29" x14ac:dyDescent="0.25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</row>
    <row r="69" spans="1:29" ht="7.5" customHeight="1" x14ac:dyDescent="0.25">
      <c r="A69" s="2"/>
      <c r="H69" s="3"/>
      <c r="I69" s="3"/>
      <c r="J69" s="3"/>
      <c r="K69" s="37"/>
      <c r="L69" s="37"/>
      <c r="M69" s="3"/>
      <c r="N69" s="3"/>
      <c r="O69" s="37"/>
      <c r="P69" s="37"/>
      <c r="Q69" s="3"/>
      <c r="R69" s="37"/>
      <c r="S69" s="37"/>
      <c r="T69" s="37"/>
      <c r="U69" s="37"/>
      <c r="V69" s="3"/>
      <c r="W69" s="3"/>
      <c r="X69" s="23"/>
      <c r="AC69" s="18"/>
    </row>
    <row r="70" spans="1:29" ht="31.5" customHeight="1" thickBot="1" x14ac:dyDescent="0.3">
      <c r="A70" s="142" t="s">
        <v>62</v>
      </c>
      <c r="B70" s="143"/>
      <c r="C70" s="52"/>
      <c r="D70" s="52"/>
      <c r="E70" s="146">
        <f>IFERROR($E$10,"")</f>
        <v>0</v>
      </c>
      <c r="F70" s="146"/>
      <c r="G70" s="146"/>
      <c r="H70" s="146"/>
      <c r="I70" s="5" t="s">
        <v>0</v>
      </c>
      <c r="J70" s="145" t="str">
        <f>$J$10</f>
        <v>Coordinador Jurídico</v>
      </c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24"/>
    </row>
    <row r="71" spans="1:29" ht="9" customHeight="1" x14ac:dyDescent="0.25">
      <c r="A71" s="54"/>
      <c r="B71" s="53"/>
      <c r="C71" s="52"/>
      <c r="D71" s="52"/>
      <c r="E71" s="85"/>
      <c r="F71" s="85"/>
      <c r="G71" s="85"/>
      <c r="H71" s="86"/>
      <c r="I71" s="53"/>
      <c r="J71" s="53"/>
      <c r="K71" s="46"/>
      <c r="L71" s="46"/>
      <c r="M71" s="53"/>
      <c r="N71" s="53"/>
      <c r="O71" s="46"/>
      <c r="P71" s="46"/>
      <c r="Q71" s="53"/>
      <c r="R71" s="46"/>
      <c r="S71" s="46"/>
      <c r="T71" s="46"/>
      <c r="U71" s="46"/>
      <c r="V71" s="7"/>
      <c r="W71" s="58"/>
      <c r="X71" s="24"/>
    </row>
    <row r="72" spans="1:29" ht="35.25" customHeight="1" thickBot="1" x14ac:dyDescent="0.3">
      <c r="A72" s="142" t="s">
        <v>2</v>
      </c>
      <c r="B72" s="143"/>
      <c r="C72" s="52"/>
      <c r="D72" s="52"/>
      <c r="E72" s="146">
        <f>$E$12</f>
        <v>0</v>
      </c>
      <c r="F72" s="146"/>
      <c r="G72" s="146"/>
      <c r="H72" s="146"/>
      <c r="I72" s="5" t="s">
        <v>3</v>
      </c>
      <c r="J72" s="145" t="str">
        <f>$J$12</f>
        <v>Gestión Jurídica</v>
      </c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25"/>
    </row>
    <row r="73" spans="1:29" ht="6.75" customHeight="1" x14ac:dyDescent="0.25">
      <c r="A73" s="54"/>
      <c r="B73" s="53"/>
      <c r="C73" s="52"/>
      <c r="D73" s="52"/>
      <c r="E73" s="85"/>
      <c r="F73" s="85"/>
      <c r="G73" s="85"/>
      <c r="H73" s="86"/>
      <c r="I73" s="53"/>
      <c r="J73" s="53"/>
      <c r="K73" s="46"/>
      <c r="L73" s="46"/>
      <c r="M73" s="53"/>
      <c r="N73" s="53"/>
      <c r="O73" s="46"/>
      <c r="P73" s="46"/>
      <c r="Q73" s="53"/>
      <c r="R73" s="46"/>
      <c r="S73" s="46"/>
      <c r="T73" s="46"/>
      <c r="U73" s="46"/>
      <c r="V73" s="53"/>
      <c r="W73" s="5"/>
      <c r="X73" s="25"/>
    </row>
    <row r="74" spans="1:29" ht="34.5" customHeight="1" thickBot="1" x14ac:dyDescent="0.3">
      <c r="A74" s="142" t="s">
        <v>61</v>
      </c>
      <c r="B74" s="143"/>
      <c r="C74" s="53"/>
      <c r="D74" s="53"/>
      <c r="E74" s="147">
        <f>$E$14</f>
        <v>0</v>
      </c>
      <c r="F74" s="147"/>
      <c r="G74" s="147"/>
      <c r="H74" s="147"/>
      <c r="I74" s="144" t="s">
        <v>60</v>
      </c>
      <c r="J74" s="144"/>
      <c r="K74" s="38"/>
      <c r="L74" s="38"/>
      <c r="M74" s="145" t="str">
        <f>$M$14</f>
        <v>2023-1</v>
      </c>
      <c r="N74" s="145"/>
      <c r="O74" s="38"/>
      <c r="P74" s="38"/>
      <c r="Q74" s="15"/>
      <c r="R74" s="38"/>
      <c r="S74" s="38"/>
      <c r="T74" s="38"/>
      <c r="U74" s="38"/>
      <c r="V74" s="143"/>
      <c r="W74" s="143"/>
      <c r="X74" s="25"/>
    </row>
    <row r="75" spans="1:29" ht="21" customHeight="1" x14ac:dyDescent="0.25">
      <c r="A75" s="156" t="s">
        <v>5</v>
      </c>
      <c r="B75" s="156"/>
      <c r="C75" s="56"/>
      <c r="D75" s="56"/>
      <c r="E75" s="182" t="s">
        <v>12</v>
      </c>
      <c r="F75" s="183"/>
      <c r="G75" s="183"/>
      <c r="H75" s="183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5"/>
      <c r="X75" s="156" t="s">
        <v>40</v>
      </c>
    </row>
    <row r="76" spans="1:29" ht="38.25" customHeight="1" x14ac:dyDescent="0.25">
      <c r="A76" s="156"/>
      <c r="B76" s="156"/>
      <c r="C76" s="57"/>
      <c r="D76" s="57"/>
      <c r="E76" s="186"/>
      <c r="F76" s="187"/>
      <c r="G76" s="187"/>
      <c r="H76" s="187"/>
      <c r="I76" s="187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8"/>
      <c r="X76" s="156"/>
    </row>
    <row r="77" spans="1:29" s="15" customFormat="1" ht="49.5" customHeight="1" x14ac:dyDescent="0.25">
      <c r="A77" s="181"/>
      <c r="B77" s="181"/>
      <c r="C77" s="55"/>
      <c r="D77" s="55"/>
      <c r="E77" s="123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4"/>
      <c r="X77" s="84"/>
      <c r="Y77" s="1"/>
    </row>
    <row r="78" spans="1:29" s="15" customFormat="1" ht="49.5" customHeight="1" x14ac:dyDescent="0.25">
      <c r="A78" s="181"/>
      <c r="B78" s="181"/>
      <c r="C78" s="55"/>
      <c r="D78" s="55"/>
      <c r="E78" s="123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4"/>
      <c r="X78" s="84"/>
      <c r="Y78" s="1"/>
    </row>
    <row r="79" spans="1:29" s="15" customFormat="1" ht="49.5" customHeight="1" x14ac:dyDescent="0.25">
      <c r="A79" s="181"/>
      <c r="B79" s="181"/>
      <c r="C79" s="55"/>
      <c r="D79" s="55"/>
      <c r="E79" s="123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4"/>
      <c r="X79" s="84"/>
      <c r="Y79" s="1"/>
    </row>
    <row r="80" spans="1:29" s="15" customFormat="1" ht="49.5" customHeight="1" x14ac:dyDescent="0.25">
      <c r="A80" s="181"/>
      <c r="B80" s="181"/>
      <c r="C80" s="55"/>
      <c r="D80" s="55"/>
      <c r="E80" s="123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4"/>
      <c r="X80" s="84"/>
      <c r="Y80" s="1"/>
    </row>
    <row r="81" spans="1:25" s="15" customFormat="1" ht="49.5" customHeight="1" x14ac:dyDescent="0.25">
      <c r="A81" s="181"/>
      <c r="B81" s="181"/>
      <c r="C81" s="55"/>
      <c r="D81" s="55"/>
      <c r="E81" s="123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4"/>
      <c r="X81" s="84"/>
      <c r="Y81" s="1"/>
    </row>
    <row r="82" spans="1:25" s="15" customFormat="1" ht="30" customHeight="1" x14ac:dyDescent="0.25">
      <c r="H82" s="5"/>
      <c r="I82" s="5"/>
      <c r="J82" s="5"/>
      <c r="K82" s="44"/>
      <c r="L82" s="44"/>
      <c r="M82" s="5"/>
      <c r="N82" s="5"/>
      <c r="O82" s="44"/>
      <c r="P82" s="44"/>
      <c r="Q82" s="5"/>
      <c r="R82" s="44"/>
      <c r="S82" s="44"/>
      <c r="T82" s="44"/>
      <c r="U82" s="44"/>
      <c r="V82" s="5"/>
      <c r="W82" s="5"/>
      <c r="Y82" s="1"/>
    </row>
    <row r="83" spans="1:25" ht="14.25" customHeight="1" x14ac:dyDescent="0.25"/>
    <row r="84" spans="1:25" ht="14.25" customHeight="1" thickBot="1" x14ac:dyDescent="0.3">
      <c r="A84" s="21"/>
      <c r="B84" s="21"/>
      <c r="C84" s="21"/>
      <c r="D84" s="21"/>
      <c r="E84" s="21"/>
      <c r="F84" s="21"/>
      <c r="G84" s="21"/>
      <c r="H84" s="21"/>
      <c r="M84" s="21"/>
      <c r="N84" s="21"/>
      <c r="O84" s="45"/>
      <c r="P84" s="45"/>
      <c r="Q84" s="21"/>
      <c r="R84" s="45"/>
      <c r="S84" s="45"/>
      <c r="T84" s="45"/>
      <c r="U84" s="45"/>
      <c r="V84" s="21"/>
      <c r="W84" s="21"/>
      <c r="X84" s="21"/>
    </row>
    <row r="85" spans="1:25" s="22" customFormat="1" ht="18" thickTop="1" x14ac:dyDescent="0.3">
      <c r="A85" s="179" t="s">
        <v>59</v>
      </c>
      <c r="B85" s="179"/>
      <c r="C85" s="179"/>
      <c r="D85" s="179"/>
      <c r="E85" s="179"/>
      <c r="F85" s="179"/>
      <c r="G85" s="179"/>
      <c r="H85" s="179"/>
      <c r="I85" s="179" t="s">
        <v>11</v>
      </c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</row>
    <row r="86" spans="1:25" s="22" customFormat="1" ht="17.399999999999999" x14ac:dyDescent="0.3">
      <c r="A86" s="22" t="s">
        <v>13</v>
      </c>
      <c r="K86" s="43"/>
      <c r="L86" s="43"/>
      <c r="M86" s="22" t="s">
        <v>13</v>
      </c>
      <c r="O86" s="43"/>
      <c r="P86" s="43"/>
      <c r="R86" s="43"/>
      <c r="S86" s="43"/>
      <c r="T86" s="43"/>
      <c r="U86" s="43"/>
    </row>
    <row r="87" spans="1:25" ht="11.4" customHeight="1" x14ac:dyDescent="0.25"/>
    <row r="88" spans="1:25" ht="57" customHeight="1" x14ac:dyDescent="0.25">
      <c r="A88" s="114" t="s">
        <v>141</v>
      </c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6"/>
    </row>
    <row r="89" spans="1:25" x14ac:dyDescent="0.25"/>
    <row r="90" spans="1:25" x14ac:dyDescent="0.25"/>
    <row r="91" spans="1:25" x14ac:dyDescent="0.25"/>
    <row r="92" spans="1:25" x14ac:dyDescent="0.25"/>
    <row r="93" spans="1:25" x14ac:dyDescent="0.25"/>
    <row r="94" spans="1:25" x14ac:dyDescent="0.25"/>
    <row r="95" spans="1:25" x14ac:dyDescent="0.25"/>
    <row r="96" spans="1:25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</sheetData>
  <sheetProtection password="8475" sheet="1" objects="1" scenarios="1" formatCells="0" formatColumns="0" formatRows="0" insertColumns="0" insertRows="0" deleteColumns="0" deleteRows="0" sort="0"/>
  <dataConsolidate/>
  <mergeCells count="188">
    <mergeCell ref="A50:B51"/>
    <mergeCell ref="E50:E51"/>
    <mergeCell ref="I52:J52"/>
    <mergeCell ref="M52:N52"/>
    <mergeCell ref="A43:X43"/>
    <mergeCell ref="V41:W41"/>
    <mergeCell ref="I50:J50"/>
    <mergeCell ref="M50:N50"/>
    <mergeCell ref="V50:W50"/>
    <mergeCell ref="A44:B45"/>
    <mergeCell ref="C44:C45"/>
    <mergeCell ref="D44:D45"/>
    <mergeCell ref="E44:E45"/>
    <mergeCell ref="I44:J44"/>
    <mergeCell ref="M44:N44"/>
    <mergeCell ref="V44:W44"/>
    <mergeCell ref="A85:H85"/>
    <mergeCell ref="I85:X85"/>
    <mergeCell ref="I14:J14"/>
    <mergeCell ref="M14:N14"/>
    <mergeCell ref="H21:Q21"/>
    <mergeCell ref="A79:B79"/>
    <mergeCell ref="E79:W79"/>
    <mergeCell ref="A80:B80"/>
    <mergeCell ref="E80:W80"/>
    <mergeCell ref="A81:B81"/>
    <mergeCell ref="E81:W81"/>
    <mergeCell ref="A75:B76"/>
    <mergeCell ref="E75:W76"/>
    <mergeCell ref="X75:X76"/>
    <mergeCell ref="A77:B77"/>
    <mergeCell ref="E77:W77"/>
    <mergeCell ref="V52:W52"/>
    <mergeCell ref="V53:W53"/>
    <mergeCell ref="A78:B78"/>
    <mergeCell ref="E78:W78"/>
    <mergeCell ref="A70:B70"/>
    <mergeCell ref="V30:W30"/>
    <mergeCell ref="V36:W36"/>
    <mergeCell ref="H30:Q30"/>
    <mergeCell ref="V23:W23"/>
    <mergeCell ref="F24:G24"/>
    <mergeCell ref="V25:W25"/>
    <mergeCell ref="H24:N24"/>
    <mergeCell ref="V24:W24"/>
    <mergeCell ref="E25:E27"/>
    <mergeCell ref="I25:J25"/>
    <mergeCell ref="M25:N25"/>
    <mergeCell ref="I26:J26"/>
    <mergeCell ref="M26:N26"/>
    <mergeCell ref="V26:W26"/>
    <mergeCell ref="M31:N31"/>
    <mergeCell ref="I32:J32"/>
    <mergeCell ref="M32:N32"/>
    <mergeCell ref="H33:Q33"/>
    <mergeCell ref="A35:X35"/>
    <mergeCell ref="A25:B27"/>
    <mergeCell ref="I39:J39"/>
    <mergeCell ref="M39:N39"/>
    <mergeCell ref="V39:W39"/>
    <mergeCell ref="I36:J36"/>
    <mergeCell ref="V38:W38"/>
    <mergeCell ref="V31:W31"/>
    <mergeCell ref="V32:W32"/>
    <mergeCell ref="V33:W33"/>
    <mergeCell ref="H38:N38"/>
    <mergeCell ref="A39:B41"/>
    <mergeCell ref="E39:E41"/>
    <mergeCell ref="H41:N41"/>
    <mergeCell ref="I40:J40"/>
    <mergeCell ref="M40:N40"/>
    <mergeCell ref="V40:W40"/>
    <mergeCell ref="A1:X1"/>
    <mergeCell ref="A2:B2"/>
    <mergeCell ref="I2:W2"/>
    <mergeCell ref="A3:B3"/>
    <mergeCell ref="I3:W3"/>
    <mergeCell ref="A5:X8"/>
    <mergeCell ref="F21:G21"/>
    <mergeCell ref="E17:E18"/>
    <mergeCell ref="M36:N36"/>
    <mergeCell ref="A22:B24"/>
    <mergeCell ref="E22:E24"/>
    <mergeCell ref="I22:J22"/>
    <mergeCell ref="M22:N22"/>
    <mergeCell ref="I23:J23"/>
    <mergeCell ref="M23:N23"/>
    <mergeCell ref="A28:B30"/>
    <mergeCell ref="E28:E30"/>
    <mergeCell ref="I28:J28"/>
    <mergeCell ref="M28:N28"/>
    <mergeCell ref="M20:N20"/>
    <mergeCell ref="I20:J20"/>
    <mergeCell ref="A31:B33"/>
    <mergeCell ref="E31:E33"/>
    <mergeCell ref="I31:J31"/>
    <mergeCell ref="X9:X15"/>
    <mergeCell ref="A10:B10"/>
    <mergeCell ref="J10:W10"/>
    <mergeCell ref="A12:B12"/>
    <mergeCell ref="J12:W12"/>
    <mergeCell ref="A14:B14"/>
    <mergeCell ref="E10:H10"/>
    <mergeCell ref="E12:H12"/>
    <mergeCell ref="E14:H14"/>
    <mergeCell ref="V20:W20"/>
    <mergeCell ref="V28:W28"/>
    <mergeCell ref="I29:J29"/>
    <mergeCell ref="M29:N29"/>
    <mergeCell ref="V29:W29"/>
    <mergeCell ref="H51:N51"/>
    <mergeCell ref="A16:X16"/>
    <mergeCell ref="A17:B18"/>
    <mergeCell ref="H17:H18"/>
    <mergeCell ref="I17:W17"/>
    <mergeCell ref="X17:X18"/>
    <mergeCell ref="I18:J18"/>
    <mergeCell ref="M18:N18"/>
    <mergeCell ref="F27:G27"/>
    <mergeCell ref="H27:Q27"/>
    <mergeCell ref="V27:W27"/>
    <mergeCell ref="V22:W22"/>
    <mergeCell ref="V21:W21"/>
    <mergeCell ref="V18:W18"/>
    <mergeCell ref="A19:B21"/>
    <mergeCell ref="E19:E21"/>
    <mergeCell ref="I19:J19"/>
    <mergeCell ref="M19:N19"/>
    <mergeCell ref="V19:W19"/>
    <mergeCell ref="E72:H72"/>
    <mergeCell ref="E74:H74"/>
    <mergeCell ref="J70:W70"/>
    <mergeCell ref="A55:H55"/>
    <mergeCell ref="D39:D41"/>
    <mergeCell ref="D50:D51"/>
    <mergeCell ref="D52:D53"/>
    <mergeCell ref="C36:C38"/>
    <mergeCell ref="C39:C41"/>
    <mergeCell ref="C50:C51"/>
    <mergeCell ref="C52:C53"/>
    <mergeCell ref="V51:W51"/>
    <mergeCell ref="V55:X55"/>
    <mergeCell ref="A56:H56"/>
    <mergeCell ref="V56:X56"/>
    <mergeCell ref="I37:J37"/>
    <mergeCell ref="M37:N37"/>
    <mergeCell ref="V37:W37"/>
    <mergeCell ref="D36:D38"/>
    <mergeCell ref="A36:B38"/>
    <mergeCell ref="E36:E38"/>
    <mergeCell ref="A52:B53"/>
    <mergeCell ref="E52:E53"/>
    <mergeCell ref="H53:N53"/>
    <mergeCell ref="H45:N45"/>
    <mergeCell ref="V45:W45"/>
    <mergeCell ref="A46:B47"/>
    <mergeCell ref="C46:C47"/>
    <mergeCell ref="D46:D47"/>
    <mergeCell ref="E46:E47"/>
    <mergeCell ref="I46:J46"/>
    <mergeCell ref="M46:N46"/>
    <mergeCell ref="V46:W46"/>
    <mergeCell ref="H47:N47"/>
    <mergeCell ref="V47:W47"/>
    <mergeCell ref="A88:X88"/>
    <mergeCell ref="A61:X61"/>
    <mergeCell ref="A62:B62"/>
    <mergeCell ref="I62:W62"/>
    <mergeCell ref="A63:B63"/>
    <mergeCell ref="I63:W63"/>
    <mergeCell ref="A64:X64"/>
    <mergeCell ref="A65:X68"/>
    <mergeCell ref="A48:B49"/>
    <mergeCell ref="C48:C49"/>
    <mergeCell ref="D48:D49"/>
    <mergeCell ref="E48:E49"/>
    <mergeCell ref="I48:J48"/>
    <mergeCell ref="M48:N48"/>
    <mergeCell ref="V48:W48"/>
    <mergeCell ref="H49:N49"/>
    <mergeCell ref="V49:W49"/>
    <mergeCell ref="A72:B72"/>
    <mergeCell ref="A74:B74"/>
    <mergeCell ref="V74:W74"/>
    <mergeCell ref="I74:J74"/>
    <mergeCell ref="M74:N74"/>
    <mergeCell ref="J72:W72"/>
    <mergeCell ref="E70:H70"/>
  </mergeCells>
  <conditionalFormatting sqref="V21:W21 V24:W24">
    <cfRule type="cellIs" dxfId="32" priority="103" operator="greaterThan">
      <formula>4.2</formula>
    </cfRule>
    <cfRule type="cellIs" dxfId="31" priority="104" operator="between">
      <formula>3</formula>
      <formula>4.2</formula>
    </cfRule>
    <cfRule type="cellIs" dxfId="30" priority="105" operator="lessThan">
      <formula>3</formula>
    </cfRule>
  </conditionalFormatting>
  <conditionalFormatting sqref="V27:W27">
    <cfRule type="cellIs" dxfId="29" priority="31" operator="greaterThan">
      <formula>4.2</formula>
    </cfRule>
    <cfRule type="cellIs" dxfId="28" priority="32" operator="between">
      <formula>3</formula>
      <formula>4.2</formula>
    </cfRule>
    <cfRule type="cellIs" dxfId="27" priority="33" operator="lessThan">
      <formula>3</formula>
    </cfRule>
  </conditionalFormatting>
  <conditionalFormatting sqref="V30:W30">
    <cfRule type="cellIs" dxfId="26" priority="28" operator="greaterThan">
      <formula>4.2</formula>
    </cfRule>
    <cfRule type="cellIs" dxfId="25" priority="29" operator="between">
      <formula>3</formula>
      <formula>4.2</formula>
    </cfRule>
    <cfRule type="cellIs" dxfId="24" priority="30" operator="lessThan">
      <formula>3</formula>
    </cfRule>
  </conditionalFormatting>
  <conditionalFormatting sqref="V38:W38">
    <cfRule type="cellIs" dxfId="23" priority="25" operator="greaterThan">
      <formula>4.2</formula>
    </cfRule>
    <cfRule type="cellIs" dxfId="22" priority="26" operator="between">
      <formula>3</formula>
      <formula>4.2</formula>
    </cfRule>
    <cfRule type="cellIs" dxfId="21" priority="27" operator="lessThan">
      <formula>3</formula>
    </cfRule>
  </conditionalFormatting>
  <conditionalFormatting sqref="V41:W41">
    <cfRule type="cellIs" dxfId="20" priority="22" operator="greaterThan">
      <formula>4.2</formula>
    </cfRule>
    <cfRule type="cellIs" dxfId="19" priority="23" operator="between">
      <formula>3</formula>
      <formula>4.2</formula>
    </cfRule>
    <cfRule type="cellIs" dxfId="18" priority="24" operator="lessThan">
      <formula>3</formula>
    </cfRule>
  </conditionalFormatting>
  <conditionalFormatting sqref="V51:W51">
    <cfRule type="cellIs" dxfId="17" priority="19" operator="greaterThan">
      <formula>4.2</formula>
    </cfRule>
    <cfRule type="cellIs" dxfId="16" priority="20" operator="between">
      <formula>3</formula>
      <formula>4.2</formula>
    </cfRule>
    <cfRule type="cellIs" dxfId="15" priority="21" operator="lessThan">
      <formula>3</formula>
    </cfRule>
  </conditionalFormatting>
  <conditionalFormatting sqref="V53:W53">
    <cfRule type="cellIs" dxfId="14" priority="13" operator="greaterThan">
      <formula>4.2</formula>
    </cfRule>
    <cfRule type="cellIs" dxfId="13" priority="14" operator="between">
      <formula>3</formula>
      <formula>4.2</formula>
    </cfRule>
    <cfRule type="cellIs" dxfId="12" priority="15" operator="lessThan">
      <formula>3</formula>
    </cfRule>
  </conditionalFormatting>
  <conditionalFormatting sqref="V33:W33">
    <cfRule type="cellIs" dxfId="11" priority="10" operator="greaterThan">
      <formula>4.2</formula>
    </cfRule>
    <cfRule type="cellIs" dxfId="10" priority="11" operator="between">
      <formula>3</formula>
      <formula>4.2</formula>
    </cfRule>
    <cfRule type="cellIs" dxfId="9" priority="12" operator="lessThan">
      <formula>3</formula>
    </cfRule>
  </conditionalFormatting>
  <conditionalFormatting sqref="V45:W45">
    <cfRule type="cellIs" dxfId="8" priority="7" operator="greaterThan">
      <formula>4.2</formula>
    </cfRule>
    <cfRule type="cellIs" dxfId="7" priority="8" operator="between">
      <formula>3</formula>
      <formula>4.2</formula>
    </cfRule>
    <cfRule type="cellIs" dxfId="6" priority="9" operator="lessThan">
      <formula>3</formula>
    </cfRule>
  </conditionalFormatting>
  <conditionalFormatting sqref="V47:W47">
    <cfRule type="cellIs" dxfId="5" priority="4" operator="greaterThan">
      <formula>4.2</formula>
    </cfRule>
    <cfRule type="cellIs" dxfId="4" priority="5" operator="between">
      <formula>3</formula>
      <formula>4.2</formula>
    </cfRule>
    <cfRule type="cellIs" dxfId="3" priority="6" operator="lessThan">
      <formula>3</formula>
    </cfRule>
  </conditionalFormatting>
  <conditionalFormatting sqref="V49:W49">
    <cfRule type="cellIs" dxfId="2" priority="1" operator="greaterThan">
      <formula>4.2</formula>
    </cfRule>
    <cfRule type="cellIs" dxfId="1" priority="2" operator="between">
      <formula>3</formula>
      <formula>4.2</formula>
    </cfRule>
    <cfRule type="cellIs" dxfId="0" priority="3" operator="lessThan">
      <formula>3</formula>
    </cfRule>
  </conditionalFormatting>
  <dataValidations count="5">
    <dataValidation type="custom" allowBlank="1" showInputMessage="1" showErrorMessage="1" errorTitle="Calificación no valida" error="La calificación debe estar entre 1 y 5. Si la persona valorada no le aplica el criterio, introducir NA." sqref="M19:N20 M22:N23 Q22:Q23 Q25:Q26 M28:N29 Q28:Q29 M39:N40 Q39:Q40 M50:N50 Q50 M52:N52 Q52 M25:N26 M36:N36 Q36:Q37 Q19:Q20 M31:N32 Q31:Q32 M44:N44 Q44 M46:N46 Q46 M48:N48 Q48">
      <formula1>OR(M19="NA",M19&lt;=5)</formula1>
    </dataValidation>
    <dataValidation type="custom" allowBlank="1" showInputMessage="1" showErrorMessage="1" errorTitle="Calificación no valida" error="La calificación debe estar entre 1 y 5. Si la persona valorada no le aplica el criterio, introducir NA." sqref="M37:N37 I22:J23 I36:J37 J20 I25:I26 I39:J40 I50:J50 I52:J52 I19:I20 J26 I28:J29 I31:J32 I44:J44 I46:J46 I48:J48">
      <formula1>OR(I19="NA",I19&lt;=5,)</formula1>
    </dataValidation>
    <dataValidation type="list" allowBlank="1" showInputMessage="1" showErrorMessage="1" sqref="A77:B81">
      <formula1>TODASCOM</formula1>
    </dataValidation>
    <dataValidation type="list" allowBlank="1" showInputMessage="1" showErrorMessage="1" sqref="J10:W10">
      <formula1>CARGO</formula1>
    </dataValidation>
    <dataValidation type="list" errorStyle="information" allowBlank="1" showInputMessage="1" showErrorMessage="1" errorTitle="Información" error="Debe elegir una competencia de la lista. " sqref="A19:D33">
      <formula1>Organizacionales</formula1>
    </dataValidation>
  </dataValidations>
  <printOptions horizontalCentered="1" verticalCentered="1"/>
  <pageMargins left="0.23622047244094491" right="0.43307086614173229" top="0.35433070866141736" bottom="0.35433070866141736" header="0.31496062992125984" footer="0.31496062992125984"/>
  <pageSetup paperSize="9" scale="58" orientation="landscape" horizontalDpi="4294967293" verticalDpi="360" r:id="rId1"/>
  <rowBreaks count="3" manualBreakCount="3">
    <brk id="27" max="23" man="1"/>
    <brk id="41" max="23" man="1"/>
    <brk id="6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aptura_Datos2">
                <anchor moveWithCells="1" sizeWithCells="1">
                  <from>
                    <xdr:col>7</xdr:col>
                    <xdr:colOff>1645920</xdr:colOff>
                    <xdr:row>59</xdr:row>
                    <xdr:rowOff>60960</xdr:rowOff>
                  </from>
                  <to>
                    <xdr:col>9</xdr:col>
                    <xdr:colOff>441960</xdr:colOff>
                    <xdr:row>59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Desplegables!$D$4:$D$5</xm:f>
          </x14:formula1>
          <xm:sqref>M14:P14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177"/>
  <sheetViews>
    <sheetView topLeftCell="A9" zoomScale="90" zoomScaleNormal="90" workbookViewId="0">
      <selection activeCell="A13" sqref="A13"/>
    </sheetView>
  </sheetViews>
  <sheetFormatPr baseColWidth="10" defaultColWidth="11.44140625" defaultRowHeight="15.6" x14ac:dyDescent="0.3"/>
  <cols>
    <col min="1" max="1" width="60.109375" style="41" customWidth="1"/>
    <col min="2" max="2" width="23" style="76" hidden="1" customWidth="1"/>
    <col min="3" max="3" width="33.77734375" style="41" bestFit="1" customWidth="1"/>
    <col min="4" max="4" width="11.44140625" style="41"/>
    <col min="5" max="5" width="35.77734375" style="41" bestFit="1" customWidth="1"/>
    <col min="6" max="6" width="40" style="41" bestFit="1" customWidth="1"/>
    <col min="7" max="16384" width="11.44140625" style="41"/>
  </cols>
  <sheetData>
    <row r="2" spans="1:6" ht="15.75" customHeight="1" x14ac:dyDescent="0.2"/>
    <row r="3" spans="1:6" ht="16.05" x14ac:dyDescent="0.2">
      <c r="A3" s="72" t="s">
        <v>20</v>
      </c>
      <c r="B3" s="72" t="s">
        <v>19</v>
      </c>
      <c r="C3" s="72" t="s">
        <v>37</v>
      </c>
      <c r="D3" s="72" t="s">
        <v>38</v>
      </c>
      <c r="E3" s="72" t="s">
        <v>39</v>
      </c>
      <c r="F3" s="94" t="s">
        <v>46</v>
      </c>
    </row>
    <row r="4" spans="1:6" ht="15" customHeight="1" x14ac:dyDescent="0.3">
      <c r="A4" s="73" t="s">
        <v>56</v>
      </c>
      <c r="B4" s="51" t="s">
        <v>16</v>
      </c>
      <c r="C4" s="73" t="s">
        <v>118</v>
      </c>
      <c r="D4" s="74">
        <v>2022</v>
      </c>
      <c r="E4" s="73" t="s">
        <v>45</v>
      </c>
      <c r="F4" s="73" t="s">
        <v>45</v>
      </c>
    </row>
    <row r="5" spans="1:6" ht="15.75" customHeight="1" x14ac:dyDescent="0.3">
      <c r="A5" s="73" t="s">
        <v>65</v>
      </c>
      <c r="B5" s="51" t="s">
        <v>16</v>
      </c>
      <c r="C5" s="73" t="s">
        <v>119</v>
      </c>
      <c r="D5" s="74"/>
      <c r="E5" s="73" t="s">
        <v>51</v>
      </c>
      <c r="F5" s="73" t="s">
        <v>51</v>
      </c>
    </row>
    <row r="6" spans="1:6" ht="15.75" customHeight="1" x14ac:dyDescent="0.3">
      <c r="A6" s="73" t="s">
        <v>66</v>
      </c>
      <c r="B6" s="51" t="s">
        <v>16</v>
      </c>
      <c r="C6" s="73" t="s">
        <v>119</v>
      </c>
      <c r="D6" s="189"/>
      <c r="E6" s="73" t="s">
        <v>88</v>
      </c>
      <c r="F6" s="73" t="s">
        <v>88</v>
      </c>
    </row>
    <row r="7" spans="1:6" ht="15.75" customHeight="1" x14ac:dyDescent="0.3">
      <c r="A7" s="73" t="s">
        <v>67</v>
      </c>
      <c r="B7" s="51" t="s">
        <v>17</v>
      </c>
      <c r="C7" s="73" t="s">
        <v>119</v>
      </c>
      <c r="D7" s="190"/>
      <c r="E7" s="73" t="s">
        <v>49</v>
      </c>
      <c r="F7" s="73" t="s">
        <v>49</v>
      </c>
    </row>
    <row r="8" spans="1:6" ht="15.75" customHeight="1" x14ac:dyDescent="0.3">
      <c r="A8" s="73" t="s">
        <v>68</v>
      </c>
      <c r="B8" s="51" t="s">
        <v>17</v>
      </c>
      <c r="C8" s="73" t="s">
        <v>120</v>
      </c>
      <c r="D8" s="190"/>
      <c r="E8" s="73" t="s">
        <v>89</v>
      </c>
      <c r="F8" s="73" t="s">
        <v>89</v>
      </c>
    </row>
    <row r="9" spans="1:6" ht="15" customHeight="1" x14ac:dyDescent="0.3">
      <c r="A9" s="73" t="s">
        <v>69</v>
      </c>
      <c r="B9" s="51" t="s">
        <v>17</v>
      </c>
      <c r="C9" s="73" t="s">
        <v>120</v>
      </c>
      <c r="D9" s="190"/>
      <c r="E9" s="75"/>
      <c r="F9" s="73" t="s">
        <v>90</v>
      </c>
    </row>
    <row r="10" spans="1:6" ht="15.75" customHeight="1" x14ac:dyDescent="0.3">
      <c r="A10" s="73" t="s">
        <v>87</v>
      </c>
      <c r="B10" s="51" t="s">
        <v>17</v>
      </c>
      <c r="C10" s="73" t="s">
        <v>121</v>
      </c>
      <c r="D10" s="190"/>
      <c r="E10" s="75"/>
      <c r="F10" s="73" t="s">
        <v>91</v>
      </c>
    </row>
    <row r="11" spans="1:6" ht="15.75" customHeight="1" x14ac:dyDescent="0.3">
      <c r="A11" s="73" t="s">
        <v>70</v>
      </c>
      <c r="B11" s="51" t="s">
        <v>17</v>
      </c>
      <c r="C11" s="73" t="s">
        <v>121</v>
      </c>
      <c r="D11" s="190"/>
      <c r="E11" s="75"/>
      <c r="F11" s="73" t="s">
        <v>92</v>
      </c>
    </row>
    <row r="12" spans="1:6" ht="15.75" customHeight="1" x14ac:dyDescent="0.3">
      <c r="A12" s="73" t="s">
        <v>145</v>
      </c>
      <c r="B12" s="51" t="s">
        <v>17</v>
      </c>
      <c r="C12" s="73" t="s">
        <v>121</v>
      </c>
      <c r="D12" s="190"/>
      <c r="E12" s="75"/>
      <c r="F12" s="73" t="s">
        <v>93</v>
      </c>
    </row>
    <row r="13" spans="1:6" ht="30" customHeight="1" x14ac:dyDescent="0.3">
      <c r="A13" s="73" t="s">
        <v>146</v>
      </c>
      <c r="B13" s="51" t="s">
        <v>17</v>
      </c>
      <c r="C13" s="73" t="s">
        <v>121</v>
      </c>
      <c r="D13" s="190"/>
      <c r="E13" s="75"/>
      <c r="F13" s="107" t="s">
        <v>127</v>
      </c>
    </row>
    <row r="14" spans="1:6" ht="27.6" customHeight="1" x14ac:dyDescent="0.3">
      <c r="A14" s="73" t="s">
        <v>71</v>
      </c>
      <c r="B14" s="51" t="s">
        <v>17</v>
      </c>
      <c r="C14" s="73" t="s">
        <v>122</v>
      </c>
      <c r="D14" s="190"/>
      <c r="E14" s="75"/>
      <c r="F14" s="107" t="s">
        <v>129</v>
      </c>
    </row>
    <row r="15" spans="1:6" ht="28.2" customHeight="1" x14ac:dyDescent="0.3">
      <c r="A15" s="73" t="s">
        <v>72</v>
      </c>
      <c r="B15" s="51" t="s">
        <v>17</v>
      </c>
      <c r="C15" s="73" t="s">
        <v>123</v>
      </c>
      <c r="D15" s="190"/>
      <c r="E15" s="75"/>
      <c r="F15" s="107" t="s">
        <v>131</v>
      </c>
    </row>
    <row r="16" spans="1:6" ht="15.75" customHeight="1" x14ac:dyDescent="0.3">
      <c r="A16" s="73" t="s">
        <v>73</v>
      </c>
      <c r="B16" s="51" t="s">
        <v>17</v>
      </c>
      <c r="C16" s="73" t="s">
        <v>123</v>
      </c>
      <c r="D16" s="190"/>
      <c r="E16" s="75"/>
      <c r="F16" s="73"/>
    </row>
    <row r="17" spans="1:6" ht="15" customHeight="1" x14ac:dyDescent="0.3">
      <c r="A17" s="73" t="s">
        <v>74</v>
      </c>
      <c r="B17" s="51" t="s">
        <v>18</v>
      </c>
      <c r="C17" s="73" t="s">
        <v>124</v>
      </c>
      <c r="D17" s="190"/>
      <c r="E17" s="75"/>
      <c r="F17" s="73"/>
    </row>
    <row r="18" spans="1:6" ht="15.75" customHeight="1" x14ac:dyDescent="0.3">
      <c r="A18" s="73" t="s">
        <v>75</v>
      </c>
      <c r="B18" s="51"/>
      <c r="C18" s="73" t="s">
        <v>125</v>
      </c>
      <c r="D18" s="190"/>
      <c r="E18" s="75"/>
      <c r="F18" s="73"/>
    </row>
    <row r="19" spans="1:6" ht="15.75" customHeight="1" x14ac:dyDescent="0.3">
      <c r="A19" s="73" t="s">
        <v>76</v>
      </c>
      <c r="B19" s="51"/>
      <c r="C19" s="73" t="s">
        <v>125</v>
      </c>
      <c r="D19" s="190"/>
      <c r="E19" s="75"/>
      <c r="F19" s="73"/>
    </row>
    <row r="20" spans="1:6" ht="15.75" customHeight="1" x14ac:dyDescent="0.3">
      <c r="A20" s="73" t="s">
        <v>82</v>
      </c>
      <c r="B20" s="51"/>
      <c r="C20" s="73" t="s">
        <v>126</v>
      </c>
      <c r="D20" s="190"/>
      <c r="E20" s="75"/>
      <c r="F20" s="73"/>
    </row>
    <row r="21" spans="1:6" ht="15" customHeight="1" x14ac:dyDescent="0.3">
      <c r="A21" s="73" t="s">
        <v>77</v>
      </c>
      <c r="B21" s="51"/>
      <c r="C21" s="73" t="s">
        <v>126</v>
      </c>
      <c r="D21" s="190"/>
      <c r="E21" s="75"/>
      <c r="F21" s="73"/>
    </row>
    <row r="22" spans="1:6" ht="15.75" customHeight="1" x14ac:dyDescent="0.3">
      <c r="A22" s="73" t="s">
        <v>78</v>
      </c>
      <c r="B22" s="51"/>
      <c r="C22" s="73" t="s">
        <v>118</v>
      </c>
      <c r="D22" s="190"/>
      <c r="E22" s="75"/>
      <c r="F22" s="73"/>
    </row>
    <row r="23" spans="1:6" ht="15.75" customHeight="1" x14ac:dyDescent="0.3">
      <c r="A23" s="73" t="s">
        <v>79</v>
      </c>
      <c r="B23" s="51"/>
      <c r="C23" s="73" t="s">
        <v>126</v>
      </c>
      <c r="D23" s="190"/>
      <c r="E23" s="75"/>
      <c r="F23" s="73"/>
    </row>
    <row r="24" spans="1:6" ht="15.75" customHeight="1" x14ac:dyDescent="0.3">
      <c r="A24" s="73" t="s">
        <v>80</v>
      </c>
      <c r="B24" s="51"/>
      <c r="C24" s="73" t="s">
        <v>126</v>
      </c>
      <c r="D24" s="190"/>
      <c r="E24" s="75"/>
      <c r="F24" s="73"/>
    </row>
    <row r="25" spans="1:6" ht="15" customHeight="1" x14ac:dyDescent="0.3">
      <c r="A25" s="73" t="s">
        <v>41</v>
      </c>
      <c r="B25" s="51"/>
      <c r="C25" s="73" t="s">
        <v>126</v>
      </c>
      <c r="D25" s="190"/>
      <c r="E25" s="75"/>
      <c r="F25" s="73"/>
    </row>
    <row r="26" spans="1:6" ht="15.75" customHeight="1" x14ac:dyDescent="0.3">
      <c r="A26" s="73" t="s">
        <v>81</v>
      </c>
      <c r="B26" s="51"/>
      <c r="C26" s="73" t="s">
        <v>126</v>
      </c>
      <c r="D26" s="190"/>
      <c r="E26" s="75"/>
      <c r="F26" s="73"/>
    </row>
    <row r="27" spans="1:6" ht="15.75" customHeight="1" x14ac:dyDescent="0.3">
      <c r="A27" s="73"/>
      <c r="B27" s="51"/>
      <c r="C27" s="73"/>
      <c r="D27" s="190"/>
      <c r="E27" s="75"/>
      <c r="F27" s="73"/>
    </row>
    <row r="28" spans="1:6" ht="15.75" customHeight="1" x14ac:dyDescent="0.3">
      <c r="A28" s="73"/>
      <c r="B28" s="51"/>
      <c r="C28" s="73"/>
      <c r="D28" s="190"/>
      <c r="E28" s="75"/>
      <c r="F28" s="73"/>
    </row>
    <row r="29" spans="1:6" ht="15" customHeight="1" x14ac:dyDescent="0.3">
      <c r="A29" s="73"/>
      <c r="B29" s="51"/>
      <c r="C29" s="73"/>
      <c r="D29" s="190"/>
      <c r="E29" s="75"/>
      <c r="F29" s="73"/>
    </row>
    <row r="30" spans="1:6" ht="15.75" customHeight="1" x14ac:dyDescent="0.3">
      <c r="A30" s="73"/>
      <c r="B30" s="51"/>
      <c r="C30" s="73"/>
      <c r="D30" s="190"/>
      <c r="E30" s="75"/>
      <c r="F30" s="73"/>
    </row>
    <row r="31" spans="1:6" ht="15.75" customHeight="1" x14ac:dyDescent="0.3">
      <c r="A31" s="73"/>
      <c r="B31" s="51"/>
      <c r="C31" s="73"/>
      <c r="D31" s="190"/>
      <c r="E31" s="75"/>
      <c r="F31" s="73"/>
    </row>
    <row r="32" spans="1:6" ht="15.75" customHeight="1" x14ac:dyDescent="0.3">
      <c r="A32" s="73"/>
      <c r="B32" s="51"/>
      <c r="C32" s="73"/>
      <c r="D32" s="190"/>
      <c r="E32" s="75"/>
      <c r="F32" s="73"/>
    </row>
    <row r="33" spans="1:6" ht="15" customHeight="1" x14ac:dyDescent="0.3">
      <c r="A33" s="51"/>
      <c r="B33" s="51"/>
      <c r="C33" s="73"/>
      <c r="D33" s="190"/>
      <c r="E33" s="75"/>
      <c r="F33" s="73"/>
    </row>
    <row r="34" spans="1:6" ht="15.75" customHeight="1" x14ac:dyDescent="0.3">
      <c r="A34" s="51"/>
      <c r="B34" s="51"/>
      <c r="C34" s="73"/>
      <c r="D34" s="190"/>
      <c r="E34" s="75"/>
      <c r="F34" s="73"/>
    </row>
    <row r="35" spans="1:6" ht="15.75" customHeight="1" x14ac:dyDescent="0.3">
      <c r="A35" s="51"/>
      <c r="B35" s="51"/>
      <c r="C35" s="73"/>
      <c r="D35" s="190"/>
      <c r="E35" s="75"/>
      <c r="F35" s="73"/>
    </row>
    <row r="36" spans="1:6" ht="15.75" customHeight="1" x14ac:dyDescent="0.3">
      <c r="A36" s="51"/>
      <c r="B36" s="51"/>
      <c r="C36" s="73"/>
      <c r="D36" s="190"/>
      <c r="E36" s="75"/>
      <c r="F36" s="73"/>
    </row>
    <row r="37" spans="1:6" ht="15.75" customHeight="1" x14ac:dyDescent="0.3">
      <c r="A37" s="51"/>
      <c r="B37" s="51"/>
      <c r="C37" s="73"/>
      <c r="D37" s="190"/>
      <c r="E37" s="75"/>
      <c r="F37" s="73"/>
    </row>
    <row r="38" spans="1:6" ht="15.75" customHeight="1" x14ac:dyDescent="0.3">
      <c r="A38" s="51"/>
      <c r="B38" s="51"/>
      <c r="C38" s="73"/>
      <c r="D38" s="190"/>
      <c r="E38" s="75"/>
      <c r="F38" s="73"/>
    </row>
    <row r="39" spans="1:6" ht="15.75" customHeight="1" x14ac:dyDescent="0.3">
      <c r="A39" s="51"/>
      <c r="B39" s="51"/>
      <c r="C39" s="73"/>
      <c r="D39" s="190"/>
      <c r="E39" s="75"/>
    </row>
    <row r="40" spans="1:6" ht="15.75" customHeight="1" x14ac:dyDescent="0.3">
      <c r="A40" s="51"/>
      <c r="B40" s="51"/>
      <c r="C40" s="73"/>
      <c r="D40" s="190"/>
      <c r="E40" s="75"/>
    </row>
    <row r="41" spans="1:6" ht="15.75" customHeight="1" x14ac:dyDescent="0.3">
      <c r="A41" s="51"/>
      <c r="B41" s="51"/>
      <c r="C41" s="73"/>
      <c r="D41" s="190"/>
      <c r="E41" s="75"/>
    </row>
    <row r="42" spans="1:6" ht="15.75" customHeight="1" x14ac:dyDescent="0.3">
      <c r="A42" s="51"/>
      <c r="B42" s="51"/>
      <c r="C42" s="73"/>
      <c r="D42" s="190"/>
      <c r="E42" s="75"/>
    </row>
    <row r="43" spans="1:6" ht="15.75" customHeight="1" x14ac:dyDescent="0.3">
      <c r="A43" s="51"/>
      <c r="B43" s="51"/>
      <c r="C43" s="73"/>
      <c r="D43" s="190"/>
      <c r="E43" s="75"/>
    </row>
    <row r="44" spans="1:6" ht="15.75" customHeight="1" x14ac:dyDescent="0.3">
      <c r="A44" s="51"/>
      <c r="B44" s="51"/>
      <c r="C44" s="73"/>
      <c r="D44" s="190"/>
      <c r="E44" s="75"/>
    </row>
    <row r="45" spans="1:6" ht="15.75" customHeight="1" x14ac:dyDescent="0.3">
      <c r="A45" s="51"/>
      <c r="B45" s="51"/>
      <c r="C45" s="73"/>
      <c r="D45" s="190"/>
      <c r="E45" s="75"/>
    </row>
    <row r="46" spans="1:6" ht="15.75" customHeight="1" x14ac:dyDescent="0.3">
      <c r="A46" s="51"/>
      <c r="B46" s="51"/>
      <c r="C46" s="73"/>
      <c r="D46" s="190"/>
      <c r="E46" s="75"/>
    </row>
    <row r="47" spans="1:6" ht="15.75" customHeight="1" x14ac:dyDescent="0.3">
      <c r="A47" s="51"/>
      <c r="B47" s="51"/>
      <c r="C47" s="73"/>
      <c r="D47" s="190"/>
      <c r="E47" s="75"/>
    </row>
    <row r="48" spans="1:6" ht="15.75" customHeight="1" x14ac:dyDescent="0.3">
      <c r="A48" s="51"/>
      <c r="B48" s="51"/>
      <c r="C48" s="73"/>
      <c r="D48" s="190"/>
      <c r="E48" s="75"/>
    </row>
    <row r="49" spans="1:5" ht="15.75" customHeight="1" x14ac:dyDescent="0.3">
      <c r="A49" s="51"/>
      <c r="B49" s="51"/>
      <c r="C49" s="73"/>
      <c r="D49" s="190"/>
      <c r="E49" s="75"/>
    </row>
    <row r="50" spans="1:5" ht="15.75" customHeight="1" x14ac:dyDescent="0.3">
      <c r="A50" s="51"/>
      <c r="B50" s="51"/>
      <c r="C50" s="73"/>
      <c r="D50" s="190"/>
      <c r="E50" s="75"/>
    </row>
    <row r="51" spans="1:5" ht="15.75" customHeight="1" x14ac:dyDescent="0.3">
      <c r="A51" s="51"/>
      <c r="B51" s="51"/>
      <c r="C51" s="73"/>
      <c r="D51" s="190"/>
      <c r="E51" s="75"/>
    </row>
    <row r="52" spans="1:5" ht="15.75" customHeight="1" x14ac:dyDescent="0.3">
      <c r="A52" s="51"/>
      <c r="B52" s="51"/>
      <c r="C52" s="73"/>
      <c r="D52" s="190"/>
      <c r="E52" s="75"/>
    </row>
    <row r="53" spans="1:5" ht="15.75" customHeight="1" x14ac:dyDescent="0.3">
      <c r="A53" s="51"/>
      <c r="B53" s="51"/>
      <c r="C53" s="73"/>
      <c r="D53" s="190"/>
      <c r="E53" s="75"/>
    </row>
    <row r="54" spans="1:5" ht="15.75" customHeight="1" x14ac:dyDescent="0.3">
      <c r="A54" s="51"/>
      <c r="B54" s="51"/>
      <c r="C54" s="73"/>
      <c r="D54" s="190"/>
      <c r="E54" s="75"/>
    </row>
    <row r="55" spans="1:5" ht="15.75" customHeight="1" x14ac:dyDescent="0.3">
      <c r="A55" s="51"/>
      <c r="B55" s="51"/>
      <c r="C55" s="73"/>
      <c r="D55" s="190"/>
      <c r="E55" s="75"/>
    </row>
    <row r="56" spans="1:5" ht="15.75" customHeight="1" x14ac:dyDescent="0.3">
      <c r="A56" s="51"/>
      <c r="B56" s="51"/>
      <c r="C56" s="73"/>
      <c r="D56" s="190"/>
      <c r="E56" s="75"/>
    </row>
    <row r="57" spans="1:5" ht="15.75" customHeight="1" x14ac:dyDescent="0.3">
      <c r="A57" s="51"/>
      <c r="B57" s="51"/>
      <c r="C57" s="73"/>
      <c r="D57" s="190"/>
      <c r="E57" s="75"/>
    </row>
    <row r="58" spans="1:5" ht="15.75" customHeight="1" x14ac:dyDescent="0.3">
      <c r="A58" s="51"/>
      <c r="B58" s="51"/>
      <c r="C58" s="73"/>
      <c r="D58" s="190"/>
      <c r="E58" s="75"/>
    </row>
    <row r="59" spans="1:5" ht="15.75" customHeight="1" x14ac:dyDescent="0.3">
      <c r="A59" s="51"/>
      <c r="B59" s="51"/>
      <c r="C59" s="73"/>
      <c r="D59" s="190"/>
      <c r="E59" s="75"/>
    </row>
    <row r="60" spans="1:5" ht="15.75" customHeight="1" x14ac:dyDescent="0.3">
      <c r="A60" s="51"/>
      <c r="B60" s="51"/>
      <c r="C60" s="73"/>
      <c r="D60" s="190"/>
      <c r="E60" s="75"/>
    </row>
    <row r="61" spans="1:5" ht="15.75" customHeight="1" x14ac:dyDescent="0.3">
      <c r="A61" s="51"/>
      <c r="B61" s="51"/>
      <c r="C61" s="73"/>
      <c r="D61" s="190"/>
      <c r="E61" s="75"/>
    </row>
    <row r="62" spans="1:5" ht="15.75" customHeight="1" x14ac:dyDescent="0.3">
      <c r="A62" s="51"/>
      <c r="B62" s="51"/>
      <c r="C62" s="73"/>
      <c r="D62" s="190"/>
      <c r="E62" s="75"/>
    </row>
    <row r="63" spans="1:5" ht="15.75" customHeight="1" x14ac:dyDescent="0.3">
      <c r="A63" s="51"/>
      <c r="B63" s="51"/>
      <c r="C63" s="73"/>
      <c r="D63" s="190"/>
      <c r="E63" s="75"/>
    </row>
    <row r="64" spans="1:5" ht="15.75" customHeight="1" x14ac:dyDescent="0.3">
      <c r="A64" s="51"/>
      <c r="B64" s="51"/>
      <c r="C64" s="73"/>
      <c r="D64" s="190"/>
      <c r="E64" s="75"/>
    </row>
    <row r="65" spans="1:5" ht="15.75" customHeight="1" x14ac:dyDescent="0.3">
      <c r="A65" s="51"/>
      <c r="B65" s="51"/>
      <c r="C65" s="73"/>
      <c r="D65" s="190"/>
      <c r="E65" s="75"/>
    </row>
    <row r="66" spans="1:5" ht="15.75" customHeight="1" x14ac:dyDescent="0.3">
      <c r="A66" s="51"/>
      <c r="B66" s="51"/>
      <c r="C66" s="73"/>
      <c r="D66" s="190"/>
      <c r="E66" s="75"/>
    </row>
    <row r="67" spans="1:5" ht="15.75" customHeight="1" x14ac:dyDescent="0.3">
      <c r="A67" s="51"/>
      <c r="B67" s="51"/>
      <c r="C67" s="73"/>
      <c r="D67" s="190"/>
      <c r="E67" s="75"/>
    </row>
    <row r="68" spans="1:5" ht="15.75" customHeight="1" x14ac:dyDescent="0.3">
      <c r="A68" s="51"/>
      <c r="B68" s="51"/>
      <c r="C68" s="73"/>
      <c r="D68" s="190"/>
      <c r="E68" s="75"/>
    </row>
    <row r="69" spans="1:5" ht="15.75" customHeight="1" x14ac:dyDescent="0.3">
      <c r="A69" s="51"/>
      <c r="B69" s="51"/>
      <c r="C69" s="73"/>
      <c r="D69" s="190"/>
      <c r="E69" s="75"/>
    </row>
    <row r="70" spans="1:5" ht="15.75" customHeight="1" x14ac:dyDescent="0.3">
      <c r="A70" s="51"/>
      <c r="B70" s="51"/>
      <c r="C70" s="73"/>
      <c r="D70" s="190"/>
      <c r="E70" s="75"/>
    </row>
    <row r="71" spans="1:5" ht="15.75" customHeight="1" x14ac:dyDescent="0.3">
      <c r="A71" s="51"/>
      <c r="B71" s="51"/>
      <c r="C71" s="73"/>
      <c r="D71" s="190"/>
      <c r="E71" s="75"/>
    </row>
    <row r="72" spans="1:5" ht="15.75" customHeight="1" x14ac:dyDescent="0.3">
      <c r="A72" s="51"/>
      <c r="B72" s="51"/>
      <c r="C72" s="73"/>
      <c r="D72" s="190"/>
      <c r="E72" s="75"/>
    </row>
    <row r="73" spans="1:5" ht="15.75" customHeight="1" x14ac:dyDescent="0.3">
      <c r="A73" s="51"/>
      <c r="B73" s="51"/>
      <c r="C73" s="73"/>
      <c r="D73" s="190"/>
      <c r="E73" s="75"/>
    </row>
    <row r="74" spans="1:5" ht="15.75" customHeight="1" x14ac:dyDescent="0.3">
      <c r="A74" s="51"/>
      <c r="B74" s="51"/>
      <c r="C74" s="73"/>
      <c r="D74" s="190"/>
      <c r="E74" s="75"/>
    </row>
    <row r="75" spans="1:5" ht="15.75" customHeight="1" x14ac:dyDescent="0.3">
      <c r="A75" s="51"/>
      <c r="B75" s="51"/>
      <c r="C75" s="73"/>
      <c r="D75" s="190"/>
      <c r="E75" s="75"/>
    </row>
    <row r="76" spans="1:5" ht="15.75" customHeight="1" x14ac:dyDescent="0.3">
      <c r="A76" s="51"/>
      <c r="B76" s="51"/>
      <c r="C76" s="73"/>
      <c r="D76" s="190"/>
      <c r="E76" s="75"/>
    </row>
    <row r="77" spans="1:5" ht="15.75" customHeight="1" x14ac:dyDescent="0.3">
      <c r="A77" s="51"/>
      <c r="B77" s="51"/>
      <c r="C77" s="73"/>
      <c r="D77" s="190"/>
      <c r="E77" s="75"/>
    </row>
    <row r="78" spans="1:5" ht="15" customHeight="1" x14ac:dyDescent="0.3">
      <c r="A78" s="51"/>
      <c r="B78" s="51"/>
      <c r="C78" s="73"/>
      <c r="D78" s="191"/>
      <c r="E78" s="75"/>
    </row>
    <row r="79" spans="1:5" ht="15.75" customHeight="1" x14ac:dyDescent="0.3">
      <c r="C79" s="77"/>
      <c r="E79" s="75"/>
    </row>
    <row r="80" spans="1:5" ht="15.75" customHeight="1" x14ac:dyDescent="0.3">
      <c r="E80" s="75"/>
    </row>
    <row r="81" ht="15.75" customHeight="1" x14ac:dyDescent="0.3"/>
    <row r="82" ht="15" customHeight="1" x14ac:dyDescent="0.3"/>
    <row r="83" ht="15.75" customHeight="1" x14ac:dyDescent="0.3"/>
    <row r="84" ht="15.75" customHeight="1" x14ac:dyDescent="0.3"/>
    <row r="85" ht="15.75" customHeight="1" x14ac:dyDescent="0.3"/>
    <row r="86" ht="15" customHeight="1" x14ac:dyDescent="0.3"/>
    <row r="87" ht="15" customHeight="1" x14ac:dyDescent="0.3"/>
    <row r="88" ht="15" customHeight="1" x14ac:dyDescent="0.3"/>
    <row r="89" ht="15.75" customHeight="1" x14ac:dyDescent="0.3"/>
    <row r="90" ht="15" customHeight="1" x14ac:dyDescent="0.3"/>
    <row r="91" ht="15.75" customHeight="1" x14ac:dyDescent="0.3"/>
    <row r="92" ht="15.75" customHeight="1" x14ac:dyDescent="0.3"/>
    <row r="93" ht="15.75" customHeight="1" x14ac:dyDescent="0.3"/>
    <row r="94" ht="15" customHeight="1" x14ac:dyDescent="0.3"/>
    <row r="95" ht="15.75" customHeight="1" x14ac:dyDescent="0.3"/>
    <row r="96" ht="15.75" customHeight="1" x14ac:dyDescent="0.3"/>
    <row r="97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" customHeight="1" x14ac:dyDescent="0.3"/>
    <row r="103" ht="15.75" customHeight="1" x14ac:dyDescent="0.3"/>
    <row r="104" ht="15.75" customHeight="1" x14ac:dyDescent="0.3"/>
    <row r="105" ht="15.75" customHeight="1" x14ac:dyDescent="0.3"/>
    <row r="106" ht="15" customHeight="1" x14ac:dyDescent="0.3"/>
    <row r="107" ht="15.75" customHeight="1" x14ac:dyDescent="0.3"/>
    <row r="108" ht="15.75" customHeight="1" x14ac:dyDescent="0.3"/>
    <row r="109" ht="15.75" customHeight="1" x14ac:dyDescent="0.3"/>
    <row r="110" ht="15" customHeight="1" x14ac:dyDescent="0.3"/>
    <row r="111" ht="15.75" customHeight="1" x14ac:dyDescent="0.3"/>
    <row r="112" ht="15.75" customHeight="1" x14ac:dyDescent="0.3"/>
    <row r="113" ht="15.75" customHeight="1" x14ac:dyDescent="0.3"/>
    <row r="114" ht="15" customHeight="1" x14ac:dyDescent="0.3"/>
    <row r="115" ht="15.75" customHeight="1" x14ac:dyDescent="0.3"/>
    <row r="116" ht="15.75" customHeight="1" x14ac:dyDescent="0.3"/>
    <row r="117" ht="15.75" customHeight="1" x14ac:dyDescent="0.3"/>
    <row r="118" ht="15" customHeight="1" x14ac:dyDescent="0.3"/>
    <row r="119" ht="15.75" customHeight="1" x14ac:dyDescent="0.3"/>
    <row r="120" ht="15.75" customHeight="1" x14ac:dyDescent="0.3"/>
    <row r="121" ht="15.75" customHeight="1" x14ac:dyDescent="0.3"/>
    <row r="122" ht="15" customHeight="1" x14ac:dyDescent="0.3"/>
    <row r="123" ht="15.75" customHeight="1" x14ac:dyDescent="0.3"/>
    <row r="124" ht="15.75" customHeight="1" x14ac:dyDescent="0.3"/>
    <row r="125" ht="15.75" customHeight="1" x14ac:dyDescent="0.3"/>
    <row r="126" ht="15" customHeight="1" x14ac:dyDescent="0.3"/>
    <row r="127" ht="15.75" customHeight="1" x14ac:dyDescent="0.3"/>
    <row r="128" ht="15.75" customHeight="1" x14ac:dyDescent="0.3"/>
    <row r="129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" customHeight="1" x14ac:dyDescent="0.3"/>
    <row r="135" ht="15.75" customHeight="1" x14ac:dyDescent="0.3"/>
    <row r="136" ht="15.75" customHeight="1" x14ac:dyDescent="0.3"/>
    <row r="137" ht="15.75" customHeight="1" x14ac:dyDescent="0.3"/>
    <row r="138" ht="15" customHeight="1" x14ac:dyDescent="0.3"/>
    <row r="139" ht="15.75" customHeight="1" x14ac:dyDescent="0.3"/>
    <row r="140" ht="15.75" customHeight="1" x14ac:dyDescent="0.3"/>
    <row r="141" ht="15.75" customHeight="1" x14ac:dyDescent="0.3"/>
    <row r="142" ht="15" customHeight="1" x14ac:dyDescent="0.3"/>
    <row r="143" ht="15.75" customHeight="1" x14ac:dyDescent="0.3"/>
    <row r="144" ht="15.75" customHeight="1" x14ac:dyDescent="0.3"/>
    <row r="145" ht="15.75" customHeight="1" x14ac:dyDescent="0.3"/>
    <row r="146" ht="15" customHeight="1" x14ac:dyDescent="0.3"/>
    <row r="147" ht="15.75" customHeight="1" x14ac:dyDescent="0.3"/>
    <row r="148" ht="15.75" customHeight="1" x14ac:dyDescent="0.3"/>
    <row r="149" ht="15.75" customHeight="1" x14ac:dyDescent="0.3"/>
    <row r="150" ht="15" customHeight="1" x14ac:dyDescent="0.3"/>
    <row r="151" ht="15.75" customHeight="1" x14ac:dyDescent="0.3"/>
    <row r="152" ht="15.75" customHeight="1" x14ac:dyDescent="0.3"/>
    <row r="153" ht="15.75" customHeight="1" x14ac:dyDescent="0.3"/>
    <row r="154" ht="15" customHeight="1" x14ac:dyDescent="0.3"/>
    <row r="155" ht="15.75" customHeight="1" x14ac:dyDescent="0.3"/>
    <row r="156" ht="15.75" customHeight="1" x14ac:dyDescent="0.3"/>
    <row r="157" ht="15.75" customHeight="1" x14ac:dyDescent="0.3"/>
    <row r="158" ht="15" customHeight="1" x14ac:dyDescent="0.3"/>
    <row r="159" ht="15.75" customHeight="1" x14ac:dyDescent="0.3"/>
    <row r="160" ht="15.75" customHeight="1" x14ac:dyDescent="0.3"/>
    <row r="161" ht="15.75" customHeight="1" x14ac:dyDescent="0.3"/>
    <row r="162" ht="15" customHeight="1" x14ac:dyDescent="0.3"/>
    <row r="163" ht="15.75" customHeight="1" x14ac:dyDescent="0.3"/>
    <row r="164" ht="15.75" customHeight="1" x14ac:dyDescent="0.3"/>
    <row r="165" ht="15.75" customHeight="1" x14ac:dyDescent="0.3"/>
    <row r="166" ht="15" customHeight="1" x14ac:dyDescent="0.3"/>
    <row r="167" ht="15.75" customHeight="1" x14ac:dyDescent="0.3"/>
    <row r="168" ht="15.75" customHeight="1" x14ac:dyDescent="0.3"/>
    <row r="169" ht="15.75" customHeight="1" x14ac:dyDescent="0.3"/>
    <row r="170" ht="15" customHeight="1" x14ac:dyDescent="0.3"/>
    <row r="171" ht="15.75" customHeight="1" x14ac:dyDescent="0.3"/>
    <row r="172" ht="15.75" customHeight="1" x14ac:dyDescent="0.3"/>
    <row r="173" ht="15.75" customHeight="1" x14ac:dyDescent="0.3"/>
    <row r="174" ht="15" customHeight="1" x14ac:dyDescent="0.3"/>
    <row r="175" ht="15" customHeight="1" x14ac:dyDescent="0.3"/>
    <row r="176" ht="15" customHeight="1" x14ac:dyDescent="0.3"/>
    <row r="177" ht="15.75" customHeight="1" x14ac:dyDescent="0.3"/>
  </sheetData>
  <sheetProtection formatCells="0" formatColumns="0" formatRows="0" insertColumns="0" insertRows="0" insertHyperlinks="0" deleteColumns="0" deleteRows="0" sort="0" autoFilter="0" pivotTables="0"/>
  <mergeCells count="1">
    <mergeCell ref="D6:D78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306"/>
  <sheetViews>
    <sheetView topLeftCell="A136" zoomScaleNormal="100" workbookViewId="0">
      <selection activeCell="F149" sqref="F149"/>
    </sheetView>
  </sheetViews>
  <sheetFormatPr baseColWidth="10" defaultColWidth="11.44140625" defaultRowHeight="13.2" x14ac:dyDescent="0.3"/>
  <cols>
    <col min="1" max="1" width="18" style="26" bestFit="1" customWidth="1"/>
    <col min="2" max="2" width="47" style="27" customWidth="1"/>
    <col min="3" max="3" width="10.44140625" style="27" hidden="1" customWidth="1"/>
    <col min="4" max="4" width="20.77734375" style="27" hidden="1" customWidth="1"/>
    <col min="5" max="5" width="29.77734375" style="27" bestFit="1" customWidth="1"/>
    <col min="6" max="6" width="37.6640625" style="27" customWidth="1"/>
    <col min="7" max="7" width="23.77734375" style="27" customWidth="1"/>
    <col min="8" max="16384" width="11.44140625" style="27"/>
  </cols>
  <sheetData>
    <row r="1" spans="1:6" s="28" customFormat="1" ht="22.5" customHeight="1" x14ac:dyDescent="0.3">
      <c r="A1" s="195" t="s">
        <v>15</v>
      </c>
      <c r="B1" s="195" t="s">
        <v>14</v>
      </c>
      <c r="C1" s="62"/>
      <c r="D1" s="62"/>
      <c r="E1" s="197" t="s">
        <v>22</v>
      </c>
      <c r="F1" s="198"/>
    </row>
    <row r="2" spans="1:6" ht="13.8" thickBot="1" x14ac:dyDescent="0.35">
      <c r="A2" s="195"/>
      <c r="B2" s="196"/>
      <c r="C2" s="63"/>
      <c r="D2" s="63"/>
      <c r="E2" s="63" t="s">
        <v>23</v>
      </c>
      <c r="F2" s="64" t="s">
        <v>43</v>
      </c>
    </row>
    <row r="3" spans="1:6" ht="14.25" customHeight="1" x14ac:dyDescent="0.3">
      <c r="A3" s="201" t="s">
        <v>57</v>
      </c>
      <c r="B3" s="81" t="s">
        <v>56</v>
      </c>
      <c r="C3" s="66" t="s">
        <v>29</v>
      </c>
      <c r="D3" s="66" t="str">
        <f t="shared" ref="D3:D9" si="0">CONCATENATE(B3,C3)</f>
        <v>GerenteA</v>
      </c>
      <c r="E3" s="78" t="s">
        <v>45</v>
      </c>
      <c r="F3" s="92" t="s">
        <v>90</v>
      </c>
    </row>
    <row r="4" spans="1:6" ht="14.25" customHeight="1" x14ac:dyDescent="0.3">
      <c r="A4" s="202"/>
      <c r="B4" s="82" t="s">
        <v>56</v>
      </c>
      <c r="C4" s="65" t="s">
        <v>30</v>
      </c>
      <c r="D4" s="65" t="str">
        <f t="shared" si="0"/>
        <v>GerenteB</v>
      </c>
      <c r="E4" s="79" t="s">
        <v>51</v>
      </c>
      <c r="F4" s="93" t="s">
        <v>91</v>
      </c>
    </row>
    <row r="5" spans="1:6" ht="14.25" customHeight="1" x14ac:dyDescent="0.3">
      <c r="A5" s="202"/>
      <c r="B5" s="82" t="s">
        <v>56</v>
      </c>
      <c r="C5" s="97" t="s">
        <v>31</v>
      </c>
      <c r="D5" s="65" t="str">
        <f t="shared" si="0"/>
        <v>GerenteC</v>
      </c>
      <c r="E5" s="98" t="s">
        <v>88</v>
      </c>
      <c r="F5" s="99" t="s">
        <v>92</v>
      </c>
    </row>
    <row r="6" spans="1:6" ht="14.25" customHeight="1" x14ac:dyDescent="0.3">
      <c r="A6" s="202"/>
      <c r="B6" s="82" t="s">
        <v>56</v>
      </c>
      <c r="C6" s="97" t="s">
        <v>32</v>
      </c>
      <c r="D6" s="65" t="str">
        <f t="shared" si="0"/>
        <v>GerenteD</v>
      </c>
      <c r="E6" s="98" t="s">
        <v>49</v>
      </c>
      <c r="F6" s="99" t="s">
        <v>93</v>
      </c>
    </row>
    <row r="7" spans="1:6" ht="24" customHeight="1" x14ac:dyDescent="0.3">
      <c r="A7" s="202"/>
      <c r="B7" s="82" t="s">
        <v>56</v>
      </c>
      <c r="C7" s="97" t="s">
        <v>63</v>
      </c>
      <c r="D7" s="65" t="str">
        <f t="shared" si="0"/>
        <v>GerenteE</v>
      </c>
      <c r="E7" s="98" t="s">
        <v>89</v>
      </c>
      <c r="F7" s="105" t="s">
        <v>127</v>
      </c>
    </row>
    <row r="8" spans="1:6" ht="14.25" customHeight="1" x14ac:dyDescent="0.3">
      <c r="A8" s="202"/>
      <c r="B8" s="82" t="s">
        <v>56</v>
      </c>
      <c r="C8" s="97" t="s">
        <v>116</v>
      </c>
      <c r="D8" s="97" t="str">
        <f t="shared" si="0"/>
        <v>GerenteF</v>
      </c>
      <c r="E8" s="98"/>
      <c r="F8" s="105" t="s">
        <v>129</v>
      </c>
    </row>
    <row r="9" spans="1:6" ht="25.8" customHeight="1" thickBot="1" x14ac:dyDescent="0.35">
      <c r="A9" s="202"/>
      <c r="B9" s="83" t="s">
        <v>56</v>
      </c>
      <c r="C9" s="67" t="s">
        <v>117</v>
      </c>
      <c r="D9" s="67" t="str">
        <f t="shared" si="0"/>
        <v>GerenteG</v>
      </c>
      <c r="E9" s="80"/>
      <c r="F9" s="106" t="s">
        <v>131</v>
      </c>
    </row>
    <row r="10" spans="1:6" ht="14.25" customHeight="1" x14ac:dyDescent="0.3">
      <c r="A10" s="202"/>
      <c r="B10" s="91" t="s">
        <v>71</v>
      </c>
      <c r="C10" s="66" t="s">
        <v>29</v>
      </c>
      <c r="D10" s="66" t="str">
        <f t="shared" ref="D10:D73" si="1">CONCATENATE(B10,C10)</f>
        <v>Coordinadora Sistema Integrado de GestiónA</v>
      </c>
      <c r="E10" s="78" t="s">
        <v>45</v>
      </c>
      <c r="F10" s="92" t="s">
        <v>113</v>
      </c>
    </row>
    <row r="11" spans="1:6" ht="14.25" customHeight="1" x14ac:dyDescent="0.3">
      <c r="A11" s="202"/>
      <c r="B11" s="82" t="s">
        <v>71</v>
      </c>
      <c r="C11" s="65" t="s">
        <v>30</v>
      </c>
      <c r="D11" s="65" t="str">
        <f t="shared" si="1"/>
        <v>Coordinadora Sistema Integrado de GestiónB</v>
      </c>
      <c r="E11" s="79" t="s">
        <v>51</v>
      </c>
      <c r="F11" s="93" t="s">
        <v>113</v>
      </c>
    </row>
    <row r="12" spans="1:6" ht="14.25" customHeight="1" x14ac:dyDescent="0.3">
      <c r="A12" s="202"/>
      <c r="B12" s="82" t="s">
        <v>71</v>
      </c>
      <c r="C12" s="97" t="s">
        <v>31</v>
      </c>
      <c r="D12" s="65" t="str">
        <f t="shared" si="1"/>
        <v>Coordinadora Sistema Integrado de GestiónC</v>
      </c>
      <c r="E12" s="98" t="s">
        <v>88</v>
      </c>
      <c r="F12" s="99" t="s">
        <v>92</v>
      </c>
    </row>
    <row r="13" spans="1:6" ht="14.25" customHeight="1" x14ac:dyDescent="0.3">
      <c r="A13" s="202"/>
      <c r="B13" s="82" t="s">
        <v>71</v>
      </c>
      <c r="C13" s="97" t="s">
        <v>32</v>
      </c>
      <c r="D13" s="65" t="str">
        <f t="shared" si="1"/>
        <v>Coordinadora Sistema Integrado de GestiónD</v>
      </c>
      <c r="E13" s="98" t="s">
        <v>49</v>
      </c>
      <c r="F13" s="99" t="s">
        <v>93</v>
      </c>
    </row>
    <row r="14" spans="1:6" ht="29.4" customHeight="1" x14ac:dyDescent="0.3">
      <c r="A14" s="202"/>
      <c r="B14" s="82" t="s">
        <v>71</v>
      </c>
      <c r="C14" s="97" t="s">
        <v>63</v>
      </c>
      <c r="D14" s="65" t="str">
        <f t="shared" si="1"/>
        <v>Coordinadora Sistema Integrado de GestiónE</v>
      </c>
      <c r="E14" s="98" t="s">
        <v>89</v>
      </c>
      <c r="F14" s="105" t="s">
        <v>127</v>
      </c>
    </row>
    <row r="15" spans="1:6" ht="14.25" customHeight="1" x14ac:dyDescent="0.3">
      <c r="A15" s="202"/>
      <c r="B15" s="82" t="s">
        <v>71</v>
      </c>
      <c r="C15" s="97" t="s">
        <v>116</v>
      </c>
      <c r="D15" s="97" t="str">
        <f t="shared" si="1"/>
        <v>Coordinadora Sistema Integrado de GestiónF</v>
      </c>
      <c r="E15" s="98"/>
      <c r="F15" s="105" t="s">
        <v>129</v>
      </c>
    </row>
    <row r="16" spans="1:6" ht="14.25" customHeight="1" thickBot="1" x14ac:dyDescent="0.35">
      <c r="A16" s="202"/>
      <c r="B16" s="82" t="s">
        <v>71</v>
      </c>
      <c r="C16" s="67" t="s">
        <v>117</v>
      </c>
      <c r="D16" s="67" t="str">
        <f t="shared" si="1"/>
        <v>Coordinadora Sistema Integrado de GestiónG</v>
      </c>
      <c r="E16" s="80"/>
      <c r="F16" s="106" t="s">
        <v>131</v>
      </c>
    </row>
    <row r="17" spans="1:6" ht="14.25" customHeight="1" x14ac:dyDescent="0.3">
      <c r="A17" s="202"/>
      <c r="B17" s="81" t="s">
        <v>72</v>
      </c>
      <c r="C17" s="66" t="s">
        <v>29</v>
      </c>
      <c r="D17" s="66" t="str">
        <f t="shared" si="1"/>
        <v>Coordinador de Tecnología e InformáticaA</v>
      </c>
      <c r="E17" s="78" t="s">
        <v>45</v>
      </c>
      <c r="F17" s="92" t="s">
        <v>90</v>
      </c>
    </row>
    <row r="18" spans="1:6" ht="14.25" customHeight="1" x14ac:dyDescent="0.3">
      <c r="A18" s="202"/>
      <c r="B18" s="82" t="s">
        <v>72</v>
      </c>
      <c r="C18" s="65" t="s">
        <v>30</v>
      </c>
      <c r="D18" s="65" t="str">
        <f t="shared" si="1"/>
        <v>Coordinador de Tecnología e InformáticaB</v>
      </c>
      <c r="E18" s="79" t="s">
        <v>51</v>
      </c>
      <c r="F18" s="93" t="s">
        <v>91</v>
      </c>
    </row>
    <row r="19" spans="1:6" ht="14.25" customHeight="1" x14ac:dyDescent="0.3">
      <c r="A19" s="202"/>
      <c r="B19" s="82" t="s">
        <v>72</v>
      </c>
      <c r="C19" s="97" t="s">
        <v>31</v>
      </c>
      <c r="D19" s="65" t="str">
        <f t="shared" si="1"/>
        <v>Coordinador de Tecnología e InformáticaC</v>
      </c>
      <c r="E19" s="98" t="s">
        <v>88</v>
      </c>
      <c r="F19" s="99" t="s">
        <v>92</v>
      </c>
    </row>
    <row r="20" spans="1:6" ht="14.25" customHeight="1" x14ac:dyDescent="0.3">
      <c r="A20" s="202"/>
      <c r="B20" s="82" t="s">
        <v>72</v>
      </c>
      <c r="C20" s="97" t="s">
        <v>32</v>
      </c>
      <c r="D20" s="65" t="str">
        <f t="shared" si="1"/>
        <v>Coordinador de Tecnología e InformáticaD</v>
      </c>
      <c r="E20" s="98" t="s">
        <v>49</v>
      </c>
      <c r="F20" s="99" t="s">
        <v>93</v>
      </c>
    </row>
    <row r="21" spans="1:6" ht="14.25" customHeight="1" x14ac:dyDescent="0.3">
      <c r="A21" s="202"/>
      <c r="B21" s="82" t="s">
        <v>72</v>
      </c>
      <c r="C21" s="97" t="s">
        <v>63</v>
      </c>
      <c r="D21" s="65" t="str">
        <f t="shared" si="1"/>
        <v>Coordinador de Tecnología e InformáticaE</v>
      </c>
      <c r="E21" s="98" t="s">
        <v>89</v>
      </c>
      <c r="F21" s="105" t="s">
        <v>127</v>
      </c>
    </row>
    <row r="22" spans="1:6" ht="14.25" customHeight="1" x14ac:dyDescent="0.3">
      <c r="A22" s="202"/>
      <c r="B22" s="82" t="s">
        <v>72</v>
      </c>
      <c r="C22" s="97" t="s">
        <v>116</v>
      </c>
      <c r="D22" s="97" t="str">
        <f t="shared" si="1"/>
        <v>Coordinador de Tecnología e InformáticaF</v>
      </c>
      <c r="E22" s="98"/>
      <c r="F22" s="105" t="s">
        <v>129</v>
      </c>
    </row>
    <row r="23" spans="1:6" ht="14.25" customHeight="1" thickBot="1" x14ac:dyDescent="0.35">
      <c r="A23" s="202"/>
      <c r="B23" s="82" t="s">
        <v>72</v>
      </c>
      <c r="C23" s="67" t="s">
        <v>117</v>
      </c>
      <c r="D23" s="67" t="str">
        <f t="shared" si="1"/>
        <v>Coordinador de Tecnología e InformáticaG</v>
      </c>
      <c r="E23" s="80"/>
      <c r="F23" s="106" t="s">
        <v>131</v>
      </c>
    </row>
    <row r="24" spans="1:6" ht="14.25" customHeight="1" x14ac:dyDescent="0.3">
      <c r="A24" s="202"/>
      <c r="B24" s="81" t="s">
        <v>73</v>
      </c>
      <c r="C24" s="66" t="s">
        <v>29</v>
      </c>
      <c r="D24" s="66" t="str">
        <f t="shared" si="1"/>
        <v>Auxiliar Tecnología e InformáticaA</v>
      </c>
      <c r="E24" s="78" t="s">
        <v>45</v>
      </c>
      <c r="F24" s="92" t="s">
        <v>113</v>
      </c>
    </row>
    <row r="25" spans="1:6" ht="14.25" customHeight="1" x14ac:dyDescent="0.3">
      <c r="A25" s="202"/>
      <c r="B25" s="82" t="s">
        <v>73</v>
      </c>
      <c r="C25" s="65" t="s">
        <v>30</v>
      </c>
      <c r="D25" s="65" t="str">
        <f t="shared" si="1"/>
        <v>Auxiliar Tecnología e InformáticaB</v>
      </c>
      <c r="E25" s="79" t="s">
        <v>51</v>
      </c>
      <c r="F25" s="93" t="s">
        <v>113</v>
      </c>
    </row>
    <row r="26" spans="1:6" ht="14.25" customHeight="1" x14ac:dyDescent="0.3">
      <c r="A26" s="202"/>
      <c r="B26" s="82" t="s">
        <v>73</v>
      </c>
      <c r="C26" s="97" t="s">
        <v>31</v>
      </c>
      <c r="D26" s="65" t="str">
        <f t="shared" si="1"/>
        <v>Auxiliar Tecnología e InformáticaC</v>
      </c>
      <c r="E26" s="98" t="s">
        <v>88</v>
      </c>
      <c r="F26" s="99" t="s">
        <v>113</v>
      </c>
    </row>
    <row r="27" spans="1:6" ht="14.25" customHeight="1" x14ac:dyDescent="0.3">
      <c r="A27" s="202"/>
      <c r="B27" s="82" t="s">
        <v>73</v>
      </c>
      <c r="C27" s="97" t="s">
        <v>32</v>
      </c>
      <c r="D27" s="65" t="str">
        <f t="shared" si="1"/>
        <v>Auxiliar Tecnología e InformáticaD</v>
      </c>
      <c r="E27" s="98" t="s">
        <v>49</v>
      </c>
      <c r="F27" s="99" t="s">
        <v>93</v>
      </c>
    </row>
    <row r="28" spans="1:6" ht="14.25" customHeight="1" x14ac:dyDescent="0.3">
      <c r="A28" s="202"/>
      <c r="B28" s="82" t="s">
        <v>73</v>
      </c>
      <c r="C28" s="97" t="s">
        <v>63</v>
      </c>
      <c r="D28" s="65" t="str">
        <f t="shared" si="1"/>
        <v>Auxiliar Tecnología e InformáticaE</v>
      </c>
      <c r="E28" s="98" t="s">
        <v>89</v>
      </c>
      <c r="F28" s="105" t="s">
        <v>127</v>
      </c>
    </row>
    <row r="29" spans="1:6" ht="14.25" customHeight="1" x14ac:dyDescent="0.3">
      <c r="A29" s="202"/>
      <c r="B29" s="82" t="s">
        <v>73</v>
      </c>
      <c r="C29" s="97" t="s">
        <v>116</v>
      </c>
      <c r="D29" s="97" t="str">
        <f t="shared" si="1"/>
        <v>Auxiliar Tecnología e InformáticaF</v>
      </c>
      <c r="E29" s="98"/>
      <c r="F29" s="105" t="s">
        <v>129</v>
      </c>
    </row>
    <row r="30" spans="1:6" ht="14.25" customHeight="1" thickBot="1" x14ac:dyDescent="0.35">
      <c r="A30" s="202"/>
      <c r="B30" s="82" t="s">
        <v>73</v>
      </c>
      <c r="C30" s="67" t="s">
        <v>117</v>
      </c>
      <c r="D30" s="67" t="str">
        <f t="shared" si="1"/>
        <v>Auxiliar Tecnología e InformáticaG</v>
      </c>
      <c r="E30" s="80"/>
      <c r="F30" s="106" t="s">
        <v>131</v>
      </c>
    </row>
    <row r="31" spans="1:6" ht="14.25" customHeight="1" x14ac:dyDescent="0.3">
      <c r="A31" s="202"/>
      <c r="B31" s="81" t="s">
        <v>74</v>
      </c>
      <c r="C31" s="66" t="s">
        <v>29</v>
      </c>
      <c r="D31" s="66" t="str">
        <f t="shared" si="1"/>
        <v>Coordinador JurídicoA</v>
      </c>
      <c r="E31" s="78" t="s">
        <v>45</v>
      </c>
      <c r="F31" s="92" t="s">
        <v>113</v>
      </c>
    </row>
    <row r="32" spans="1:6" ht="14.25" customHeight="1" x14ac:dyDescent="0.3">
      <c r="A32" s="202"/>
      <c r="B32" s="82" t="s">
        <v>74</v>
      </c>
      <c r="C32" s="65" t="s">
        <v>30</v>
      </c>
      <c r="D32" s="65" t="str">
        <f t="shared" si="1"/>
        <v>Coordinador JurídicoB</v>
      </c>
      <c r="E32" s="79" t="s">
        <v>51</v>
      </c>
      <c r="F32" s="93" t="s">
        <v>113</v>
      </c>
    </row>
    <row r="33" spans="1:6" ht="14.25" customHeight="1" x14ac:dyDescent="0.3">
      <c r="A33" s="202"/>
      <c r="B33" s="82" t="s">
        <v>74</v>
      </c>
      <c r="C33" s="97" t="s">
        <v>31</v>
      </c>
      <c r="D33" s="65" t="str">
        <f t="shared" si="1"/>
        <v>Coordinador JurídicoC</v>
      </c>
      <c r="E33" s="98" t="s">
        <v>88</v>
      </c>
      <c r="F33" s="99" t="s">
        <v>92</v>
      </c>
    </row>
    <row r="34" spans="1:6" ht="14.25" customHeight="1" x14ac:dyDescent="0.3">
      <c r="A34" s="202"/>
      <c r="B34" s="82" t="s">
        <v>74</v>
      </c>
      <c r="C34" s="97" t="s">
        <v>32</v>
      </c>
      <c r="D34" s="65" t="str">
        <f t="shared" si="1"/>
        <v>Coordinador JurídicoD</v>
      </c>
      <c r="E34" s="98" t="s">
        <v>49</v>
      </c>
      <c r="F34" s="99" t="s">
        <v>93</v>
      </c>
    </row>
    <row r="35" spans="1:6" ht="14.25" customHeight="1" x14ac:dyDescent="0.3">
      <c r="A35" s="202"/>
      <c r="B35" s="82" t="s">
        <v>74</v>
      </c>
      <c r="C35" s="97" t="s">
        <v>63</v>
      </c>
      <c r="D35" s="65" t="str">
        <f t="shared" si="1"/>
        <v>Coordinador JurídicoE</v>
      </c>
      <c r="E35" s="98" t="s">
        <v>89</v>
      </c>
      <c r="F35" s="105" t="s">
        <v>127</v>
      </c>
    </row>
    <row r="36" spans="1:6" ht="14.25" customHeight="1" x14ac:dyDescent="0.3">
      <c r="A36" s="202"/>
      <c r="B36" s="82" t="s">
        <v>74</v>
      </c>
      <c r="C36" s="97" t="s">
        <v>116</v>
      </c>
      <c r="D36" s="97" t="str">
        <f t="shared" si="1"/>
        <v>Coordinador JurídicoF</v>
      </c>
      <c r="E36" s="98"/>
      <c r="F36" s="105" t="s">
        <v>129</v>
      </c>
    </row>
    <row r="37" spans="1:6" ht="14.25" customHeight="1" thickBot="1" x14ac:dyDescent="0.35">
      <c r="A37" s="202"/>
      <c r="B37" s="82" t="s">
        <v>74</v>
      </c>
      <c r="C37" s="67" t="s">
        <v>117</v>
      </c>
      <c r="D37" s="67" t="str">
        <f t="shared" si="1"/>
        <v>Coordinador JurídicoG</v>
      </c>
      <c r="E37" s="80"/>
      <c r="F37" s="106" t="s">
        <v>131</v>
      </c>
    </row>
    <row r="38" spans="1:6" ht="14.25" customHeight="1" x14ac:dyDescent="0.3">
      <c r="A38" s="202"/>
      <c r="B38" s="81" t="s">
        <v>75</v>
      </c>
      <c r="C38" s="66" t="s">
        <v>29</v>
      </c>
      <c r="D38" s="66" t="str">
        <f t="shared" si="1"/>
        <v>Administrador PHA</v>
      </c>
      <c r="E38" s="78" t="s">
        <v>45</v>
      </c>
      <c r="F38" s="92" t="s">
        <v>90</v>
      </c>
    </row>
    <row r="39" spans="1:6" ht="14.25" customHeight="1" x14ac:dyDescent="0.3">
      <c r="A39" s="202"/>
      <c r="B39" s="82" t="s">
        <v>75</v>
      </c>
      <c r="C39" s="65" t="s">
        <v>30</v>
      </c>
      <c r="D39" s="65" t="str">
        <f t="shared" si="1"/>
        <v>Administrador PHB</v>
      </c>
      <c r="E39" s="79" t="s">
        <v>51</v>
      </c>
      <c r="F39" s="93" t="s">
        <v>91</v>
      </c>
    </row>
    <row r="40" spans="1:6" ht="14.25" customHeight="1" x14ac:dyDescent="0.3">
      <c r="A40" s="202"/>
      <c r="B40" s="82" t="s">
        <v>75</v>
      </c>
      <c r="C40" s="97" t="s">
        <v>31</v>
      </c>
      <c r="D40" s="65" t="str">
        <f t="shared" si="1"/>
        <v>Administrador PHC</v>
      </c>
      <c r="E40" s="98" t="s">
        <v>88</v>
      </c>
      <c r="F40" s="99" t="s">
        <v>92</v>
      </c>
    </row>
    <row r="41" spans="1:6" ht="14.25" customHeight="1" x14ac:dyDescent="0.3">
      <c r="A41" s="202"/>
      <c r="B41" s="82" t="s">
        <v>75</v>
      </c>
      <c r="C41" s="97" t="s">
        <v>32</v>
      </c>
      <c r="D41" s="65" t="str">
        <f t="shared" si="1"/>
        <v>Administrador PHD</v>
      </c>
      <c r="E41" s="98" t="s">
        <v>49</v>
      </c>
      <c r="F41" s="99" t="s">
        <v>93</v>
      </c>
    </row>
    <row r="42" spans="1:6" ht="14.25" customHeight="1" x14ac:dyDescent="0.3">
      <c r="A42" s="202"/>
      <c r="B42" s="82" t="s">
        <v>75</v>
      </c>
      <c r="C42" s="97" t="s">
        <v>63</v>
      </c>
      <c r="D42" s="65" t="str">
        <f t="shared" si="1"/>
        <v>Administrador PHE</v>
      </c>
      <c r="E42" s="98" t="s">
        <v>89</v>
      </c>
      <c r="F42" s="105" t="s">
        <v>127</v>
      </c>
    </row>
    <row r="43" spans="1:6" ht="14.25" customHeight="1" x14ac:dyDescent="0.3">
      <c r="A43" s="202"/>
      <c r="B43" s="82" t="s">
        <v>75</v>
      </c>
      <c r="C43" s="97" t="s">
        <v>116</v>
      </c>
      <c r="D43" s="97" t="str">
        <f t="shared" si="1"/>
        <v>Administrador PHF</v>
      </c>
      <c r="E43" s="98"/>
      <c r="F43" s="105" t="s">
        <v>129</v>
      </c>
    </row>
    <row r="44" spans="1:6" ht="14.25" customHeight="1" thickBot="1" x14ac:dyDescent="0.35">
      <c r="A44" s="202"/>
      <c r="B44" s="82" t="s">
        <v>75</v>
      </c>
      <c r="C44" s="67" t="s">
        <v>117</v>
      </c>
      <c r="D44" s="67" t="str">
        <f t="shared" si="1"/>
        <v>Administrador PHG</v>
      </c>
      <c r="E44" s="80"/>
      <c r="F44" s="106" t="s">
        <v>131</v>
      </c>
    </row>
    <row r="45" spans="1:6" ht="14.25" customHeight="1" x14ac:dyDescent="0.3">
      <c r="A45" s="202"/>
      <c r="B45" s="81" t="s">
        <v>76</v>
      </c>
      <c r="C45" s="66" t="s">
        <v>29</v>
      </c>
      <c r="D45" s="66" t="str">
        <f t="shared" si="1"/>
        <v>Auxiliar monitoreoA</v>
      </c>
      <c r="E45" s="78" t="s">
        <v>45</v>
      </c>
      <c r="F45" s="92" t="s">
        <v>113</v>
      </c>
    </row>
    <row r="46" spans="1:6" ht="14.25" customHeight="1" x14ac:dyDescent="0.3">
      <c r="A46" s="202"/>
      <c r="B46" s="82" t="s">
        <v>76</v>
      </c>
      <c r="C46" s="65" t="s">
        <v>30</v>
      </c>
      <c r="D46" s="65" t="str">
        <f t="shared" si="1"/>
        <v>Auxiliar monitoreoB</v>
      </c>
      <c r="E46" s="79" t="s">
        <v>51</v>
      </c>
      <c r="F46" s="93" t="s">
        <v>113</v>
      </c>
    </row>
    <row r="47" spans="1:6" ht="14.25" customHeight="1" x14ac:dyDescent="0.3">
      <c r="A47" s="202"/>
      <c r="B47" s="82" t="s">
        <v>76</v>
      </c>
      <c r="C47" s="97" t="s">
        <v>31</v>
      </c>
      <c r="D47" s="65" t="str">
        <f t="shared" si="1"/>
        <v>Auxiliar monitoreoC</v>
      </c>
      <c r="E47" s="98" t="s">
        <v>88</v>
      </c>
      <c r="F47" s="99" t="s">
        <v>113</v>
      </c>
    </row>
    <row r="48" spans="1:6" ht="14.25" customHeight="1" x14ac:dyDescent="0.3">
      <c r="A48" s="202"/>
      <c r="B48" s="82" t="s">
        <v>76</v>
      </c>
      <c r="C48" s="97" t="s">
        <v>32</v>
      </c>
      <c r="D48" s="65" t="str">
        <f t="shared" si="1"/>
        <v>Auxiliar monitoreoD</v>
      </c>
      <c r="E48" s="98" t="s">
        <v>49</v>
      </c>
      <c r="F48" s="99" t="s">
        <v>93</v>
      </c>
    </row>
    <row r="49" spans="1:6" ht="14.25" customHeight="1" x14ac:dyDescent="0.3">
      <c r="A49" s="202"/>
      <c r="B49" s="82" t="s">
        <v>76</v>
      </c>
      <c r="C49" s="97" t="s">
        <v>63</v>
      </c>
      <c r="D49" s="65" t="str">
        <f t="shared" si="1"/>
        <v>Auxiliar monitoreoE</v>
      </c>
      <c r="E49" s="98" t="s">
        <v>89</v>
      </c>
      <c r="F49" s="105" t="s">
        <v>127</v>
      </c>
    </row>
    <row r="50" spans="1:6" ht="14.25" customHeight="1" x14ac:dyDescent="0.3">
      <c r="A50" s="202"/>
      <c r="B50" s="82" t="s">
        <v>76</v>
      </c>
      <c r="C50" s="97" t="s">
        <v>116</v>
      </c>
      <c r="D50" s="97" t="str">
        <f t="shared" si="1"/>
        <v>Auxiliar monitoreoF</v>
      </c>
      <c r="E50" s="98"/>
      <c r="F50" s="105" t="s">
        <v>129</v>
      </c>
    </row>
    <row r="51" spans="1:6" ht="14.25" customHeight="1" thickBot="1" x14ac:dyDescent="0.35">
      <c r="A51" s="202"/>
      <c r="B51" s="82" t="s">
        <v>76</v>
      </c>
      <c r="C51" s="67" t="s">
        <v>117</v>
      </c>
      <c r="D51" s="67" t="str">
        <f t="shared" si="1"/>
        <v>Auxiliar monitoreoG</v>
      </c>
      <c r="E51" s="80"/>
      <c r="F51" s="106" t="s">
        <v>131</v>
      </c>
    </row>
    <row r="52" spans="1:6" ht="14.25" customHeight="1" x14ac:dyDescent="0.3">
      <c r="A52" s="202"/>
      <c r="B52" s="81" t="s">
        <v>82</v>
      </c>
      <c r="C52" s="66" t="s">
        <v>29</v>
      </c>
      <c r="D52" s="66" t="str">
        <f t="shared" si="1"/>
        <v>Director AdministrativoA</v>
      </c>
      <c r="E52" s="78" t="s">
        <v>45</v>
      </c>
      <c r="F52" s="92" t="s">
        <v>90</v>
      </c>
    </row>
    <row r="53" spans="1:6" ht="14.25" customHeight="1" x14ac:dyDescent="0.3">
      <c r="A53" s="202"/>
      <c r="B53" s="82" t="s">
        <v>82</v>
      </c>
      <c r="C53" s="65" t="s">
        <v>30</v>
      </c>
      <c r="D53" s="65" t="str">
        <f t="shared" si="1"/>
        <v>Director AdministrativoB</v>
      </c>
      <c r="E53" s="79" t="s">
        <v>51</v>
      </c>
      <c r="F53" s="93" t="s">
        <v>91</v>
      </c>
    </row>
    <row r="54" spans="1:6" ht="14.25" customHeight="1" x14ac:dyDescent="0.3">
      <c r="A54" s="202"/>
      <c r="B54" s="82" t="s">
        <v>82</v>
      </c>
      <c r="C54" s="97" t="s">
        <v>31</v>
      </c>
      <c r="D54" s="65" t="str">
        <f t="shared" si="1"/>
        <v>Director AdministrativoC</v>
      </c>
      <c r="E54" s="98" t="s">
        <v>88</v>
      </c>
      <c r="F54" s="99" t="s">
        <v>92</v>
      </c>
    </row>
    <row r="55" spans="1:6" ht="14.25" customHeight="1" x14ac:dyDescent="0.3">
      <c r="A55" s="202"/>
      <c r="B55" s="82" t="s">
        <v>82</v>
      </c>
      <c r="C55" s="97" t="s">
        <v>32</v>
      </c>
      <c r="D55" s="65" t="str">
        <f t="shared" si="1"/>
        <v>Director AdministrativoD</v>
      </c>
      <c r="E55" s="98" t="s">
        <v>49</v>
      </c>
      <c r="F55" s="99" t="s">
        <v>93</v>
      </c>
    </row>
    <row r="56" spans="1:6" ht="14.25" customHeight="1" x14ac:dyDescent="0.3">
      <c r="A56" s="202"/>
      <c r="B56" s="82" t="s">
        <v>82</v>
      </c>
      <c r="C56" s="97" t="s">
        <v>63</v>
      </c>
      <c r="D56" s="65" t="str">
        <f t="shared" si="1"/>
        <v>Director AdministrativoE</v>
      </c>
      <c r="E56" s="98" t="s">
        <v>89</v>
      </c>
      <c r="F56" s="105" t="s">
        <v>127</v>
      </c>
    </row>
    <row r="57" spans="1:6" ht="14.25" customHeight="1" x14ac:dyDescent="0.3">
      <c r="A57" s="202"/>
      <c r="B57" s="82" t="s">
        <v>82</v>
      </c>
      <c r="C57" s="97" t="s">
        <v>116</v>
      </c>
      <c r="D57" s="97" t="str">
        <f t="shared" si="1"/>
        <v>Director AdministrativoF</v>
      </c>
      <c r="E57" s="98"/>
      <c r="F57" s="105" t="s">
        <v>129</v>
      </c>
    </row>
    <row r="58" spans="1:6" ht="14.25" customHeight="1" thickBot="1" x14ac:dyDescent="0.35">
      <c r="A58" s="202"/>
      <c r="B58" s="82" t="s">
        <v>82</v>
      </c>
      <c r="C58" s="67" t="s">
        <v>117</v>
      </c>
      <c r="D58" s="67" t="str">
        <f t="shared" si="1"/>
        <v>Director AdministrativoG</v>
      </c>
      <c r="E58" s="80"/>
      <c r="F58" s="106" t="s">
        <v>131</v>
      </c>
    </row>
    <row r="59" spans="1:6" ht="14.25" customHeight="1" x14ac:dyDescent="0.3">
      <c r="A59" s="202"/>
      <c r="B59" s="81" t="s">
        <v>77</v>
      </c>
      <c r="C59" s="66" t="s">
        <v>29</v>
      </c>
      <c r="D59" s="66" t="str">
        <f t="shared" si="1"/>
        <v>Auxiliar Gestión AdministrativaA</v>
      </c>
      <c r="E59" s="78" t="s">
        <v>45</v>
      </c>
      <c r="F59" s="92" t="s">
        <v>113</v>
      </c>
    </row>
    <row r="60" spans="1:6" ht="14.25" customHeight="1" x14ac:dyDescent="0.3">
      <c r="A60" s="202"/>
      <c r="B60" s="82" t="s">
        <v>77</v>
      </c>
      <c r="C60" s="65" t="s">
        <v>30</v>
      </c>
      <c r="D60" s="65" t="str">
        <f t="shared" si="1"/>
        <v>Auxiliar Gestión AdministrativaB</v>
      </c>
      <c r="E60" s="79" t="s">
        <v>51</v>
      </c>
      <c r="F60" s="93" t="s">
        <v>113</v>
      </c>
    </row>
    <row r="61" spans="1:6" ht="14.25" customHeight="1" x14ac:dyDescent="0.3">
      <c r="A61" s="202"/>
      <c r="B61" s="82" t="s">
        <v>77</v>
      </c>
      <c r="C61" s="97" t="s">
        <v>31</v>
      </c>
      <c r="D61" s="65" t="str">
        <f t="shared" si="1"/>
        <v>Auxiliar Gestión AdministrativaC</v>
      </c>
      <c r="E61" s="98" t="s">
        <v>88</v>
      </c>
      <c r="F61" s="99" t="s">
        <v>113</v>
      </c>
    </row>
    <row r="62" spans="1:6" ht="14.25" customHeight="1" x14ac:dyDescent="0.3">
      <c r="A62" s="202"/>
      <c r="B62" s="82" t="s">
        <v>77</v>
      </c>
      <c r="C62" s="97" t="s">
        <v>32</v>
      </c>
      <c r="D62" s="65" t="str">
        <f t="shared" si="1"/>
        <v>Auxiliar Gestión AdministrativaD</v>
      </c>
      <c r="E62" s="98" t="s">
        <v>49</v>
      </c>
      <c r="F62" s="99" t="s">
        <v>93</v>
      </c>
    </row>
    <row r="63" spans="1:6" ht="14.25" customHeight="1" x14ac:dyDescent="0.3">
      <c r="A63" s="202"/>
      <c r="B63" s="82" t="s">
        <v>77</v>
      </c>
      <c r="C63" s="97" t="s">
        <v>63</v>
      </c>
      <c r="D63" s="65" t="str">
        <f t="shared" si="1"/>
        <v>Auxiliar Gestión AdministrativaE</v>
      </c>
      <c r="E63" s="98" t="s">
        <v>89</v>
      </c>
      <c r="F63" s="105" t="s">
        <v>127</v>
      </c>
    </row>
    <row r="64" spans="1:6" ht="14.25" customHeight="1" x14ac:dyDescent="0.3">
      <c r="A64" s="202"/>
      <c r="B64" s="82" t="s">
        <v>77</v>
      </c>
      <c r="C64" s="97" t="s">
        <v>116</v>
      </c>
      <c r="D64" s="97" t="str">
        <f t="shared" si="1"/>
        <v>Auxiliar Gestión AdministrativaF</v>
      </c>
      <c r="E64" s="98"/>
      <c r="F64" s="105" t="s">
        <v>129</v>
      </c>
    </row>
    <row r="65" spans="1:6" ht="14.25" customHeight="1" thickBot="1" x14ac:dyDescent="0.35">
      <c r="A65" s="202"/>
      <c r="B65" s="82" t="s">
        <v>77</v>
      </c>
      <c r="C65" s="67" t="s">
        <v>117</v>
      </c>
      <c r="D65" s="67" t="str">
        <f t="shared" si="1"/>
        <v>Auxiliar Gestión AdministrativaG</v>
      </c>
      <c r="E65" s="80"/>
      <c r="F65" s="106" t="s">
        <v>131</v>
      </c>
    </row>
    <row r="66" spans="1:6" ht="14.25" customHeight="1" x14ac:dyDescent="0.3">
      <c r="A66" s="202"/>
      <c r="B66" s="81" t="s">
        <v>78</v>
      </c>
      <c r="C66" s="66" t="s">
        <v>29</v>
      </c>
      <c r="D66" s="66" t="str">
        <f t="shared" si="1"/>
        <v>SupernumerariaA</v>
      </c>
      <c r="E66" s="78" t="s">
        <v>45</v>
      </c>
      <c r="F66" s="92" t="s">
        <v>113</v>
      </c>
    </row>
    <row r="67" spans="1:6" ht="14.25" customHeight="1" x14ac:dyDescent="0.3">
      <c r="A67" s="202"/>
      <c r="B67" s="82" t="s">
        <v>78</v>
      </c>
      <c r="C67" s="65" t="s">
        <v>30</v>
      </c>
      <c r="D67" s="65" t="str">
        <f t="shared" si="1"/>
        <v>SupernumerariaB</v>
      </c>
      <c r="E67" s="79" t="s">
        <v>51</v>
      </c>
      <c r="F67" s="93" t="s">
        <v>113</v>
      </c>
    </row>
    <row r="68" spans="1:6" ht="14.25" customHeight="1" x14ac:dyDescent="0.3">
      <c r="A68" s="202"/>
      <c r="B68" s="82" t="s">
        <v>78</v>
      </c>
      <c r="C68" s="97" t="s">
        <v>31</v>
      </c>
      <c r="D68" s="65" t="str">
        <f t="shared" si="1"/>
        <v>SupernumerariaC</v>
      </c>
      <c r="E68" s="98" t="s">
        <v>88</v>
      </c>
      <c r="F68" s="99" t="s">
        <v>113</v>
      </c>
    </row>
    <row r="69" spans="1:6" ht="14.25" customHeight="1" x14ac:dyDescent="0.3">
      <c r="A69" s="202"/>
      <c r="B69" s="82" t="s">
        <v>78</v>
      </c>
      <c r="C69" s="97" t="s">
        <v>32</v>
      </c>
      <c r="D69" s="65" t="str">
        <f t="shared" si="1"/>
        <v>SupernumerariaD</v>
      </c>
      <c r="E69" s="98" t="s">
        <v>49</v>
      </c>
      <c r="F69" s="99" t="s">
        <v>93</v>
      </c>
    </row>
    <row r="70" spans="1:6" ht="14.25" customHeight="1" x14ac:dyDescent="0.3">
      <c r="A70" s="202"/>
      <c r="B70" s="82" t="s">
        <v>78</v>
      </c>
      <c r="C70" s="97" t="s">
        <v>63</v>
      </c>
      <c r="D70" s="65" t="str">
        <f t="shared" si="1"/>
        <v>SupernumerariaE</v>
      </c>
      <c r="E70" s="98" t="s">
        <v>89</v>
      </c>
      <c r="F70" s="105" t="s">
        <v>127</v>
      </c>
    </row>
    <row r="71" spans="1:6" ht="14.25" customHeight="1" x14ac:dyDescent="0.3">
      <c r="A71" s="202"/>
      <c r="B71" s="82" t="s">
        <v>78</v>
      </c>
      <c r="C71" s="97" t="s">
        <v>116</v>
      </c>
      <c r="D71" s="97" t="str">
        <f t="shared" si="1"/>
        <v>SupernumerariaF</v>
      </c>
      <c r="E71" s="98"/>
      <c r="F71" s="105" t="s">
        <v>129</v>
      </c>
    </row>
    <row r="72" spans="1:6" ht="14.25" customHeight="1" thickBot="1" x14ac:dyDescent="0.35">
      <c r="A72" s="202"/>
      <c r="B72" s="82" t="s">
        <v>78</v>
      </c>
      <c r="C72" s="67" t="s">
        <v>117</v>
      </c>
      <c r="D72" s="67" t="str">
        <f t="shared" si="1"/>
        <v>SupernumerariaG</v>
      </c>
      <c r="E72" s="80"/>
      <c r="F72" s="106" t="s">
        <v>131</v>
      </c>
    </row>
    <row r="73" spans="1:6" ht="14.25" customHeight="1" x14ac:dyDescent="0.3">
      <c r="A73" s="202"/>
      <c r="B73" s="81" t="s">
        <v>79</v>
      </c>
      <c r="C73" s="66" t="s">
        <v>29</v>
      </c>
      <c r="D73" s="66" t="str">
        <f t="shared" si="1"/>
        <v>Auxiliar Gestión DocumentalA</v>
      </c>
      <c r="E73" s="78" t="s">
        <v>45</v>
      </c>
      <c r="F73" s="92" t="s">
        <v>113</v>
      </c>
    </row>
    <row r="74" spans="1:6" ht="14.25" customHeight="1" x14ac:dyDescent="0.3">
      <c r="A74" s="202"/>
      <c r="B74" s="82" t="s">
        <v>79</v>
      </c>
      <c r="C74" s="65" t="s">
        <v>30</v>
      </c>
      <c r="D74" s="65" t="str">
        <f t="shared" ref="D74:D137" si="2">CONCATENATE(B74,C74)</f>
        <v>Auxiliar Gestión DocumentalB</v>
      </c>
      <c r="E74" s="79" t="s">
        <v>51</v>
      </c>
      <c r="F74" s="93" t="s">
        <v>113</v>
      </c>
    </row>
    <row r="75" spans="1:6" ht="14.25" customHeight="1" x14ac:dyDescent="0.3">
      <c r="A75" s="202"/>
      <c r="B75" s="82" t="s">
        <v>79</v>
      </c>
      <c r="C75" s="97" t="s">
        <v>31</v>
      </c>
      <c r="D75" s="65" t="str">
        <f t="shared" si="2"/>
        <v>Auxiliar Gestión DocumentalC</v>
      </c>
      <c r="E75" s="98" t="s">
        <v>88</v>
      </c>
      <c r="F75" s="99" t="s">
        <v>113</v>
      </c>
    </row>
    <row r="76" spans="1:6" ht="14.25" customHeight="1" x14ac:dyDescent="0.3">
      <c r="A76" s="202"/>
      <c r="B76" s="82" t="s">
        <v>79</v>
      </c>
      <c r="C76" s="97" t="s">
        <v>32</v>
      </c>
      <c r="D76" s="65" t="str">
        <f t="shared" si="2"/>
        <v>Auxiliar Gestión DocumentalD</v>
      </c>
      <c r="E76" s="98" t="s">
        <v>49</v>
      </c>
      <c r="F76" s="99" t="s">
        <v>93</v>
      </c>
    </row>
    <row r="77" spans="1:6" ht="14.25" customHeight="1" x14ac:dyDescent="0.3">
      <c r="A77" s="202"/>
      <c r="B77" s="82" t="s">
        <v>79</v>
      </c>
      <c r="C77" s="97" t="s">
        <v>63</v>
      </c>
      <c r="D77" s="65" t="str">
        <f t="shared" si="2"/>
        <v>Auxiliar Gestión DocumentalE</v>
      </c>
      <c r="E77" s="98" t="s">
        <v>89</v>
      </c>
      <c r="F77" s="105" t="s">
        <v>127</v>
      </c>
    </row>
    <row r="78" spans="1:6" ht="14.25" customHeight="1" x14ac:dyDescent="0.3">
      <c r="A78" s="202"/>
      <c r="B78" s="82" t="s">
        <v>79</v>
      </c>
      <c r="C78" s="97" t="s">
        <v>116</v>
      </c>
      <c r="D78" s="97" t="str">
        <f t="shared" si="2"/>
        <v>Auxiliar Gestión DocumentalF</v>
      </c>
      <c r="E78" s="98"/>
      <c r="F78" s="105" t="s">
        <v>129</v>
      </c>
    </row>
    <row r="79" spans="1:6" ht="14.25" customHeight="1" thickBot="1" x14ac:dyDescent="0.35">
      <c r="A79" s="202"/>
      <c r="B79" s="82" t="s">
        <v>79</v>
      </c>
      <c r="C79" s="67" t="s">
        <v>117</v>
      </c>
      <c r="D79" s="67" t="str">
        <f t="shared" si="2"/>
        <v>Auxiliar Gestión DocumentalG</v>
      </c>
      <c r="E79" s="80"/>
      <c r="F79" s="106" t="s">
        <v>131</v>
      </c>
    </row>
    <row r="80" spans="1:6" ht="14.25" customHeight="1" x14ac:dyDescent="0.3">
      <c r="A80" s="202"/>
      <c r="B80" s="81" t="s">
        <v>80</v>
      </c>
      <c r="C80" s="66" t="s">
        <v>29</v>
      </c>
      <c r="D80" s="66" t="str">
        <f t="shared" si="2"/>
        <v>Auxiliar Seguridad y Salud en el TrabajoA</v>
      </c>
      <c r="E80" s="78" t="s">
        <v>45</v>
      </c>
      <c r="F80" s="92" t="s">
        <v>113</v>
      </c>
    </row>
    <row r="81" spans="1:6" ht="14.25" customHeight="1" x14ac:dyDescent="0.3">
      <c r="A81" s="202"/>
      <c r="B81" s="82" t="s">
        <v>80</v>
      </c>
      <c r="C81" s="65" t="s">
        <v>30</v>
      </c>
      <c r="D81" s="65" t="str">
        <f t="shared" si="2"/>
        <v>Auxiliar Seguridad y Salud en el TrabajoB</v>
      </c>
      <c r="E81" s="79" t="s">
        <v>51</v>
      </c>
      <c r="F81" s="93" t="s">
        <v>113</v>
      </c>
    </row>
    <row r="82" spans="1:6" ht="14.25" customHeight="1" x14ac:dyDescent="0.3">
      <c r="A82" s="202"/>
      <c r="B82" s="82" t="s">
        <v>80</v>
      </c>
      <c r="C82" s="97" t="s">
        <v>31</v>
      </c>
      <c r="D82" s="65" t="str">
        <f t="shared" si="2"/>
        <v>Auxiliar Seguridad y Salud en el TrabajoC</v>
      </c>
      <c r="E82" s="98" t="s">
        <v>88</v>
      </c>
      <c r="F82" s="99" t="s">
        <v>113</v>
      </c>
    </row>
    <row r="83" spans="1:6" ht="14.25" customHeight="1" x14ac:dyDescent="0.3">
      <c r="A83" s="202"/>
      <c r="B83" s="82" t="s">
        <v>80</v>
      </c>
      <c r="C83" s="97" t="s">
        <v>32</v>
      </c>
      <c r="D83" s="65" t="str">
        <f t="shared" si="2"/>
        <v>Auxiliar Seguridad y Salud en el TrabajoD</v>
      </c>
      <c r="E83" s="98" t="s">
        <v>49</v>
      </c>
      <c r="F83" s="99" t="s">
        <v>93</v>
      </c>
    </row>
    <row r="84" spans="1:6" ht="14.25" customHeight="1" x14ac:dyDescent="0.3">
      <c r="A84" s="202"/>
      <c r="B84" s="82" t="s">
        <v>80</v>
      </c>
      <c r="C84" s="97" t="s">
        <v>63</v>
      </c>
      <c r="D84" s="65" t="str">
        <f t="shared" si="2"/>
        <v>Auxiliar Seguridad y Salud en el TrabajoE</v>
      </c>
      <c r="E84" s="98" t="s">
        <v>89</v>
      </c>
      <c r="F84" s="105" t="s">
        <v>127</v>
      </c>
    </row>
    <row r="85" spans="1:6" ht="14.25" customHeight="1" x14ac:dyDescent="0.3">
      <c r="A85" s="202"/>
      <c r="B85" s="82" t="s">
        <v>80</v>
      </c>
      <c r="C85" s="97" t="s">
        <v>116</v>
      </c>
      <c r="D85" s="97" t="str">
        <f t="shared" si="2"/>
        <v>Auxiliar Seguridad y Salud en el TrabajoF</v>
      </c>
      <c r="E85" s="98"/>
      <c r="F85" s="105" t="s">
        <v>129</v>
      </c>
    </row>
    <row r="86" spans="1:6" ht="14.25" customHeight="1" thickBot="1" x14ac:dyDescent="0.35">
      <c r="A86" s="202"/>
      <c r="B86" s="82" t="s">
        <v>80</v>
      </c>
      <c r="C86" s="67" t="s">
        <v>117</v>
      </c>
      <c r="D86" s="67" t="str">
        <f t="shared" si="2"/>
        <v>Auxiliar Seguridad y Salud en el TrabajoG</v>
      </c>
      <c r="E86" s="80"/>
      <c r="F86" s="106" t="s">
        <v>131</v>
      </c>
    </row>
    <row r="87" spans="1:6" ht="14.25" customHeight="1" x14ac:dyDescent="0.3">
      <c r="A87" s="202"/>
      <c r="B87" s="81" t="s">
        <v>41</v>
      </c>
      <c r="C87" s="66" t="s">
        <v>29</v>
      </c>
      <c r="D87" s="66" t="str">
        <f t="shared" si="2"/>
        <v>MensajeroA</v>
      </c>
      <c r="E87" s="78" t="s">
        <v>45</v>
      </c>
      <c r="F87" s="92" t="s">
        <v>113</v>
      </c>
    </row>
    <row r="88" spans="1:6" ht="14.25" customHeight="1" x14ac:dyDescent="0.3">
      <c r="A88" s="202"/>
      <c r="B88" s="82" t="s">
        <v>41</v>
      </c>
      <c r="C88" s="65" t="s">
        <v>30</v>
      </c>
      <c r="D88" s="65" t="str">
        <f t="shared" si="2"/>
        <v>MensajeroB</v>
      </c>
      <c r="E88" s="79" t="s">
        <v>51</v>
      </c>
      <c r="F88" s="93" t="s">
        <v>113</v>
      </c>
    </row>
    <row r="89" spans="1:6" ht="14.25" customHeight="1" x14ac:dyDescent="0.3">
      <c r="A89" s="202"/>
      <c r="B89" s="82" t="s">
        <v>41</v>
      </c>
      <c r="C89" s="97" t="s">
        <v>31</v>
      </c>
      <c r="D89" s="65" t="str">
        <f t="shared" si="2"/>
        <v>MensajeroC</v>
      </c>
      <c r="E89" s="98" t="s">
        <v>88</v>
      </c>
      <c r="F89" s="99" t="s">
        <v>113</v>
      </c>
    </row>
    <row r="90" spans="1:6" ht="14.25" customHeight="1" x14ac:dyDescent="0.3">
      <c r="A90" s="202"/>
      <c r="B90" s="82" t="s">
        <v>41</v>
      </c>
      <c r="C90" s="97" t="s">
        <v>32</v>
      </c>
      <c r="D90" s="65" t="str">
        <f t="shared" si="2"/>
        <v>MensajeroD</v>
      </c>
      <c r="E90" s="98" t="s">
        <v>49</v>
      </c>
      <c r="F90" s="99" t="s">
        <v>93</v>
      </c>
    </row>
    <row r="91" spans="1:6" ht="14.25" customHeight="1" x14ac:dyDescent="0.3">
      <c r="A91" s="202"/>
      <c r="B91" s="82" t="s">
        <v>41</v>
      </c>
      <c r="C91" s="97" t="s">
        <v>63</v>
      </c>
      <c r="D91" s="65" t="str">
        <f t="shared" si="2"/>
        <v>MensajeroE</v>
      </c>
      <c r="E91" s="98" t="s">
        <v>89</v>
      </c>
      <c r="F91" s="105" t="s">
        <v>127</v>
      </c>
    </row>
    <row r="92" spans="1:6" ht="14.25" customHeight="1" x14ac:dyDescent="0.3">
      <c r="A92" s="202"/>
      <c r="B92" s="82" t="s">
        <v>41</v>
      </c>
      <c r="C92" s="97" t="s">
        <v>116</v>
      </c>
      <c r="D92" s="97" t="str">
        <f t="shared" si="2"/>
        <v>MensajeroF</v>
      </c>
      <c r="E92" s="98"/>
      <c r="F92" s="105" t="s">
        <v>129</v>
      </c>
    </row>
    <row r="93" spans="1:6" ht="14.25" customHeight="1" thickBot="1" x14ac:dyDescent="0.35">
      <c r="A93" s="202"/>
      <c r="B93" s="82" t="s">
        <v>41</v>
      </c>
      <c r="C93" s="67" t="s">
        <v>117</v>
      </c>
      <c r="D93" s="67" t="str">
        <f t="shared" si="2"/>
        <v>MensajeroG</v>
      </c>
      <c r="E93" s="80"/>
      <c r="F93" s="106" t="s">
        <v>131</v>
      </c>
    </row>
    <row r="94" spans="1:6" ht="14.25" customHeight="1" x14ac:dyDescent="0.3">
      <c r="A94" s="202"/>
      <c r="B94" s="81" t="s">
        <v>81</v>
      </c>
      <c r="C94" s="66" t="s">
        <v>29</v>
      </c>
      <c r="D94" s="66" t="str">
        <f t="shared" si="2"/>
        <v>Servicios generalesA</v>
      </c>
      <c r="E94" s="78" t="s">
        <v>45</v>
      </c>
      <c r="F94" s="92" t="s">
        <v>113</v>
      </c>
    </row>
    <row r="95" spans="1:6" ht="14.25" customHeight="1" x14ac:dyDescent="0.3">
      <c r="A95" s="202"/>
      <c r="B95" s="82" t="s">
        <v>81</v>
      </c>
      <c r="C95" s="65" t="s">
        <v>30</v>
      </c>
      <c r="D95" s="65" t="str">
        <f t="shared" si="2"/>
        <v>Servicios generalesB</v>
      </c>
      <c r="E95" s="79" t="s">
        <v>51</v>
      </c>
      <c r="F95" s="93" t="s">
        <v>113</v>
      </c>
    </row>
    <row r="96" spans="1:6" ht="14.25" customHeight="1" x14ac:dyDescent="0.3">
      <c r="A96" s="202"/>
      <c r="B96" s="82" t="s">
        <v>81</v>
      </c>
      <c r="C96" s="97" t="s">
        <v>31</v>
      </c>
      <c r="D96" s="65" t="str">
        <f t="shared" si="2"/>
        <v>Servicios generalesC</v>
      </c>
      <c r="E96" s="98" t="s">
        <v>88</v>
      </c>
      <c r="F96" s="99" t="s">
        <v>113</v>
      </c>
    </row>
    <row r="97" spans="1:6" ht="14.25" customHeight="1" x14ac:dyDescent="0.3">
      <c r="A97" s="202"/>
      <c r="B97" s="82" t="s">
        <v>81</v>
      </c>
      <c r="C97" s="97" t="s">
        <v>32</v>
      </c>
      <c r="D97" s="65" t="str">
        <f t="shared" si="2"/>
        <v>Servicios generalesD</v>
      </c>
      <c r="E97" s="98" t="s">
        <v>49</v>
      </c>
      <c r="F97" s="99" t="s">
        <v>93</v>
      </c>
    </row>
    <row r="98" spans="1:6" ht="14.25" customHeight="1" x14ac:dyDescent="0.3">
      <c r="A98" s="202"/>
      <c r="B98" s="82" t="s">
        <v>81</v>
      </c>
      <c r="C98" s="97" t="s">
        <v>63</v>
      </c>
      <c r="D98" s="65" t="str">
        <f t="shared" si="2"/>
        <v>Servicios generalesE</v>
      </c>
      <c r="E98" s="98" t="s">
        <v>89</v>
      </c>
      <c r="F98" s="105" t="s">
        <v>127</v>
      </c>
    </row>
    <row r="99" spans="1:6" ht="14.25" customHeight="1" x14ac:dyDescent="0.3">
      <c r="A99" s="202"/>
      <c r="B99" s="82" t="s">
        <v>81</v>
      </c>
      <c r="C99" s="97" t="s">
        <v>116</v>
      </c>
      <c r="D99" s="97" t="str">
        <f t="shared" si="2"/>
        <v>Servicios generalesF</v>
      </c>
      <c r="E99" s="98"/>
      <c r="F99" s="105" t="s">
        <v>129</v>
      </c>
    </row>
    <row r="100" spans="1:6" ht="14.25" customHeight="1" thickBot="1" x14ac:dyDescent="0.35">
      <c r="A100" s="202"/>
      <c r="B100" s="82" t="s">
        <v>81</v>
      </c>
      <c r="C100" s="67" t="s">
        <v>117</v>
      </c>
      <c r="D100" s="67" t="str">
        <f t="shared" si="2"/>
        <v>Servicios generalesG</v>
      </c>
      <c r="E100" s="80"/>
      <c r="F100" s="106" t="s">
        <v>131</v>
      </c>
    </row>
    <row r="101" spans="1:6" ht="14.25" customHeight="1" x14ac:dyDescent="0.3">
      <c r="A101" s="199" t="s">
        <v>85</v>
      </c>
      <c r="B101" s="88" t="s">
        <v>68</v>
      </c>
      <c r="C101" s="66" t="s">
        <v>29</v>
      </c>
      <c r="D101" s="66" t="str">
        <f t="shared" si="2"/>
        <v>Directora Contable y FinancieraA</v>
      </c>
      <c r="E101" s="78" t="s">
        <v>45</v>
      </c>
      <c r="F101" s="92" t="s">
        <v>90</v>
      </c>
    </row>
    <row r="102" spans="1:6" ht="14.25" customHeight="1" x14ac:dyDescent="0.3">
      <c r="A102" s="199"/>
      <c r="B102" s="89" t="s">
        <v>68</v>
      </c>
      <c r="C102" s="65" t="s">
        <v>30</v>
      </c>
      <c r="D102" s="65" t="str">
        <f t="shared" si="2"/>
        <v>Directora Contable y FinancieraB</v>
      </c>
      <c r="E102" s="79" t="s">
        <v>51</v>
      </c>
      <c r="F102" s="93" t="s">
        <v>91</v>
      </c>
    </row>
    <row r="103" spans="1:6" ht="14.25" customHeight="1" x14ac:dyDescent="0.3">
      <c r="A103" s="199"/>
      <c r="B103" s="89" t="s">
        <v>68</v>
      </c>
      <c r="C103" s="97" t="s">
        <v>31</v>
      </c>
      <c r="D103" s="65" t="str">
        <f t="shared" si="2"/>
        <v>Directora Contable y FinancieraC</v>
      </c>
      <c r="E103" s="98" t="s">
        <v>88</v>
      </c>
      <c r="F103" s="99" t="s">
        <v>92</v>
      </c>
    </row>
    <row r="104" spans="1:6" ht="14.25" customHeight="1" x14ac:dyDescent="0.3">
      <c r="A104" s="199"/>
      <c r="B104" s="89" t="s">
        <v>68</v>
      </c>
      <c r="C104" s="97" t="s">
        <v>32</v>
      </c>
      <c r="D104" s="65" t="str">
        <f t="shared" si="2"/>
        <v>Directora Contable y FinancieraD</v>
      </c>
      <c r="E104" s="98" t="s">
        <v>49</v>
      </c>
      <c r="F104" s="99" t="s">
        <v>93</v>
      </c>
    </row>
    <row r="105" spans="1:6" ht="14.25" customHeight="1" x14ac:dyDescent="0.3">
      <c r="A105" s="199"/>
      <c r="B105" s="89" t="s">
        <v>68</v>
      </c>
      <c r="C105" s="97" t="s">
        <v>63</v>
      </c>
      <c r="D105" s="65" t="str">
        <f t="shared" si="2"/>
        <v>Directora Contable y FinancieraE</v>
      </c>
      <c r="E105" s="98" t="s">
        <v>89</v>
      </c>
      <c r="F105" s="105" t="s">
        <v>127</v>
      </c>
    </row>
    <row r="106" spans="1:6" ht="14.25" customHeight="1" x14ac:dyDescent="0.3">
      <c r="A106" s="199"/>
      <c r="B106" s="89" t="s">
        <v>68</v>
      </c>
      <c r="C106" s="97" t="s">
        <v>116</v>
      </c>
      <c r="D106" s="97" t="str">
        <f t="shared" si="2"/>
        <v>Directora Contable y FinancieraF</v>
      </c>
      <c r="E106" s="98"/>
      <c r="F106" s="105" t="s">
        <v>129</v>
      </c>
    </row>
    <row r="107" spans="1:6" ht="14.25" customHeight="1" thickBot="1" x14ac:dyDescent="0.35">
      <c r="A107" s="199"/>
      <c r="B107" s="89" t="s">
        <v>68</v>
      </c>
      <c r="C107" s="67" t="s">
        <v>117</v>
      </c>
      <c r="D107" s="67" t="str">
        <f t="shared" si="2"/>
        <v>Directora Contable y FinancieraG</v>
      </c>
      <c r="E107" s="80"/>
      <c r="F107" s="106" t="s">
        <v>131</v>
      </c>
    </row>
    <row r="108" spans="1:6" ht="14.25" customHeight="1" x14ac:dyDescent="0.3">
      <c r="A108" s="199"/>
      <c r="B108" s="88" t="s">
        <v>69</v>
      </c>
      <c r="C108" s="66" t="s">
        <v>29</v>
      </c>
      <c r="D108" s="66" t="str">
        <f t="shared" si="2"/>
        <v>Auxiliar Contable y FinancieraA</v>
      </c>
      <c r="E108" s="78" t="s">
        <v>45</v>
      </c>
      <c r="F108" s="92" t="s">
        <v>113</v>
      </c>
    </row>
    <row r="109" spans="1:6" ht="14.25" customHeight="1" x14ac:dyDescent="0.3">
      <c r="A109" s="199"/>
      <c r="B109" s="89" t="s">
        <v>69</v>
      </c>
      <c r="C109" s="65" t="s">
        <v>30</v>
      </c>
      <c r="D109" s="65" t="str">
        <f t="shared" si="2"/>
        <v>Auxiliar Contable y FinancieraB</v>
      </c>
      <c r="E109" s="79" t="s">
        <v>51</v>
      </c>
      <c r="F109" s="93" t="s">
        <v>113</v>
      </c>
    </row>
    <row r="110" spans="1:6" ht="14.25" customHeight="1" x14ac:dyDescent="0.3">
      <c r="A110" s="199"/>
      <c r="B110" s="89" t="s">
        <v>69</v>
      </c>
      <c r="C110" s="97" t="s">
        <v>31</v>
      </c>
      <c r="D110" s="65" t="str">
        <f t="shared" si="2"/>
        <v>Auxiliar Contable y FinancieraC</v>
      </c>
      <c r="E110" s="98" t="s">
        <v>88</v>
      </c>
      <c r="F110" s="99" t="s">
        <v>113</v>
      </c>
    </row>
    <row r="111" spans="1:6" ht="14.25" customHeight="1" x14ac:dyDescent="0.3">
      <c r="A111" s="199"/>
      <c r="B111" s="89" t="s">
        <v>69</v>
      </c>
      <c r="C111" s="97" t="s">
        <v>32</v>
      </c>
      <c r="D111" s="65" t="str">
        <f t="shared" si="2"/>
        <v>Auxiliar Contable y FinancieraD</v>
      </c>
      <c r="E111" s="98" t="s">
        <v>49</v>
      </c>
      <c r="F111" s="99" t="s">
        <v>93</v>
      </c>
    </row>
    <row r="112" spans="1:6" ht="14.25" customHeight="1" x14ac:dyDescent="0.3">
      <c r="A112" s="200"/>
      <c r="B112" s="89" t="s">
        <v>69</v>
      </c>
      <c r="C112" s="97" t="s">
        <v>63</v>
      </c>
      <c r="D112" s="65" t="str">
        <f t="shared" si="2"/>
        <v>Auxiliar Contable y FinancieraE</v>
      </c>
      <c r="E112" s="98" t="s">
        <v>89</v>
      </c>
      <c r="F112" s="105" t="s">
        <v>127</v>
      </c>
    </row>
    <row r="113" spans="1:6" ht="14.25" customHeight="1" x14ac:dyDescent="0.3">
      <c r="A113" s="200"/>
      <c r="B113" s="89" t="s">
        <v>69</v>
      </c>
      <c r="C113" s="97" t="s">
        <v>116</v>
      </c>
      <c r="D113" s="97" t="str">
        <f t="shared" si="2"/>
        <v>Auxiliar Contable y FinancieraF</v>
      </c>
      <c r="E113" s="98"/>
      <c r="F113" s="105" t="s">
        <v>129</v>
      </c>
    </row>
    <row r="114" spans="1:6" ht="14.25" customHeight="1" thickBot="1" x14ac:dyDescent="0.35">
      <c r="A114" s="200"/>
      <c r="B114" s="102" t="s">
        <v>69</v>
      </c>
      <c r="C114" s="67" t="s">
        <v>117</v>
      </c>
      <c r="D114" s="67" t="str">
        <f t="shared" si="2"/>
        <v>Auxiliar Contable y FinancieraG</v>
      </c>
      <c r="E114" s="80"/>
      <c r="F114" s="106" t="s">
        <v>131</v>
      </c>
    </row>
    <row r="115" spans="1:6" ht="14.25" customHeight="1" x14ac:dyDescent="0.3">
      <c r="A115" s="192" t="s">
        <v>86</v>
      </c>
      <c r="B115" s="88" t="s">
        <v>65</v>
      </c>
      <c r="C115" s="66" t="s">
        <v>29</v>
      </c>
      <c r="D115" s="66" t="str">
        <f t="shared" si="2"/>
        <v>Directora de OperacionesA</v>
      </c>
      <c r="E115" s="78" t="s">
        <v>45</v>
      </c>
      <c r="F115" s="92" t="s">
        <v>90</v>
      </c>
    </row>
    <row r="116" spans="1:6" ht="14.25" customHeight="1" x14ac:dyDescent="0.3">
      <c r="A116" s="193"/>
      <c r="B116" s="89" t="s">
        <v>65</v>
      </c>
      <c r="C116" s="65" t="s">
        <v>30</v>
      </c>
      <c r="D116" s="65" t="str">
        <f t="shared" si="2"/>
        <v>Directora de OperacionesB</v>
      </c>
      <c r="E116" s="79" t="s">
        <v>51</v>
      </c>
      <c r="F116" s="93" t="s">
        <v>91</v>
      </c>
    </row>
    <row r="117" spans="1:6" ht="14.25" customHeight="1" x14ac:dyDescent="0.3">
      <c r="A117" s="193"/>
      <c r="B117" s="89" t="s">
        <v>65</v>
      </c>
      <c r="C117" s="97" t="s">
        <v>31</v>
      </c>
      <c r="D117" s="65" t="str">
        <f t="shared" si="2"/>
        <v>Directora de OperacionesC</v>
      </c>
      <c r="E117" s="98" t="s">
        <v>88</v>
      </c>
      <c r="F117" s="99" t="s">
        <v>92</v>
      </c>
    </row>
    <row r="118" spans="1:6" ht="14.25" customHeight="1" x14ac:dyDescent="0.3">
      <c r="A118" s="193"/>
      <c r="B118" s="89" t="s">
        <v>65</v>
      </c>
      <c r="C118" s="97" t="s">
        <v>32</v>
      </c>
      <c r="D118" s="65" t="str">
        <f t="shared" si="2"/>
        <v>Directora de OperacionesD</v>
      </c>
      <c r="E118" s="98" t="s">
        <v>49</v>
      </c>
      <c r="F118" s="99" t="s">
        <v>93</v>
      </c>
    </row>
    <row r="119" spans="1:6" ht="14.25" customHeight="1" x14ac:dyDescent="0.3">
      <c r="A119" s="193"/>
      <c r="B119" s="89" t="s">
        <v>65</v>
      </c>
      <c r="C119" s="97" t="s">
        <v>63</v>
      </c>
      <c r="D119" s="65" t="str">
        <f t="shared" si="2"/>
        <v>Directora de OperacionesE</v>
      </c>
      <c r="E119" s="98" t="s">
        <v>89</v>
      </c>
      <c r="F119" s="105" t="s">
        <v>127</v>
      </c>
    </row>
    <row r="120" spans="1:6" ht="14.25" customHeight="1" x14ac:dyDescent="0.3">
      <c r="A120" s="193"/>
      <c r="B120" s="89" t="s">
        <v>65</v>
      </c>
      <c r="C120" s="97" t="s">
        <v>116</v>
      </c>
      <c r="D120" s="97" t="str">
        <f t="shared" si="2"/>
        <v>Directora de OperacionesF</v>
      </c>
      <c r="E120" s="98"/>
      <c r="F120" s="105" t="s">
        <v>129</v>
      </c>
    </row>
    <row r="121" spans="1:6" ht="14.25" customHeight="1" thickBot="1" x14ac:dyDescent="0.35">
      <c r="A121" s="193"/>
      <c r="B121" s="89" t="s">
        <v>65</v>
      </c>
      <c r="C121" s="67" t="s">
        <v>117</v>
      </c>
      <c r="D121" s="67" t="str">
        <f t="shared" si="2"/>
        <v>Directora de OperacionesG</v>
      </c>
      <c r="E121" s="80"/>
      <c r="F121" s="106" t="s">
        <v>131</v>
      </c>
    </row>
    <row r="122" spans="1:6" ht="14.25" customHeight="1" x14ac:dyDescent="0.3">
      <c r="A122" s="193"/>
      <c r="B122" s="88" t="s">
        <v>66</v>
      </c>
      <c r="C122" s="66" t="s">
        <v>29</v>
      </c>
      <c r="D122" s="66" t="str">
        <f t="shared" si="2"/>
        <v>Analista I operacionesA</v>
      </c>
      <c r="E122" s="78" t="s">
        <v>45</v>
      </c>
      <c r="F122" s="92" t="s">
        <v>113</v>
      </c>
    </row>
    <row r="123" spans="1:6" ht="14.25" customHeight="1" x14ac:dyDescent="0.3">
      <c r="A123" s="193"/>
      <c r="B123" s="89" t="s">
        <v>66</v>
      </c>
      <c r="C123" s="65" t="s">
        <v>30</v>
      </c>
      <c r="D123" s="65" t="str">
        <f t="shared" si="2"/>
        <v>Analista I operacionesB</v>
      </c>
      <c r="E123" s="79" t="s">
        <v>51</v>
      </c>
      <c r="F123" s="93" t="s">
        <v>113</v>
      </c>
    </row>
    <row r="124" spans="1:6" ht="14.25" customHeight="1" x14ac:dyDescent="0.3">
      <c r="A124" s="193"/>
      <c r="B124" s="89" t="s">
        <v>66</v>
      </c>
      <c r="C124" s="97" t="s">
        <v>31</v>
      </c>
      <c r="D124" s="65" t="str">
        <f t="shared" si="2"/>
        <v>Analista I operacionesC</v>
      </c>
      <c r="E124" s="98" t="s">
        <v>88</v>
      </c>
      <c r="F124" s="99" t="s">
        <v>113</v>
      </c>
    </row>
    <row r="125" spans="1:6" ht="14.25" customHeight="1" x14ac:dyDescent="0.3">
      <c r="A125" s="193"/>
      <c r="B125" s="89" t="s">
        <v>66</v>
      </c>
      <c r="C125" s="97" t="s">
        <v>32</v>
      </c>
      <c r="D125" s="65" t="str">
        <f t="shared" si="2"/>
        <v>Analista I operacionesD</v>
      </c>
      <c r="E125" s="98" t="s">
        <v>49</v>
      </c>
      <c r="F125" s="99" t="s">
        <v>93</v>
      </c>
    </row>
    <row r="126" spans="1:6" ht="14.25" customHeight="1" x14ac:dyDescent="0.3">
      <c r="A126" s="193"/>
      <c r="B126" s="89" t="s">
        <v>66</v>
      </c>
      <c r="C126" s="97" t="s">
        <v>63</v>
      </c>
      <c r="D126" s="65" t="str">
        <f t="shared" si="2"/>
        <v>Analista I operacionesE</v>
      </c>
      <c r="E126" s="98" t="s">
        <v>89</v>
      </c>
      <c r="F126" s="105" t="s">
        <v>127</v>
      </c>
    </row>
    <row r="127" spans="1:6" ht="14.25" customHeight="1" x14ac:dyDescent="0.3">
      <c r="A127" s="193"/>
      <c r="B127" s="89" t="s">
        <v>66</v>
      </c>
      <c r="C127" s="97" t="s">
        <v>116</v>
      </c>
      <c r="D127" s="97" t="str">
        <f t="shared" si="2"/>
        <v>Analista I operacionesF</v>
      </c>
      <c r="E127" s="98"/>
      <c r="F127" s="105" t="s">
        <v>129</v>
      </c>
    </row>
    <row r="128" spans="1:6" ht="14.25" customHeight="1" thickBot="1" x14ac:dyDescent="0.35">
      <c r="A128" s="193"/>
      <c r="B128" s="89" t="s">
        <v>66</v>
      </c>
      <c r="C128" s="67" t="s">
        <v>117</v>
      </c>
      <c r="D128" s="67" t="str">
        <f t="shared" si="2"/>
        <v>Analista I operacionesG</v>
      </c>
      <c r="E128" s="80"/>
      <c r="F128" s="106" t="s">
        <v>131</v>
      </c>
    </row>
    <row r="129" spans="1:6" ht="14.25" customHeight="1" x14ac:dyDescent="0.3">
      <c r="A129" s="193"/>
      <c r="B129" s="88" t="s">
        <v>67</v>
      </c>
      <c r="C129" s="66" t="s">
        <v>29</v>
      </c>
      <c r="D129" s="66" t="str">
        <f t="shared" si="2"/>
        <v>Analista II operacionesA</v>
      </c>
      <c r="E129" s="78" t="s">
        <v>45</v>
      </c>
      <c r="F129" s="92" t="s">
        <v>113</v>
      </c>
    </row>
    <row r="130" spans="1:6" ht="14.25" customHeight="1" x14ac:dyDescent="0.3">
      <c r="A130" s="193"/>
      <c r="B130" s="89" t="s">
        <v>67</v>
      </c>
      <c r="C130" s="65" t="s">
        <v>30</v>
      </c>
      <c r="D130" s="65" t="str">
        <f t="shared" si="2"/>
        <v>Analista II operacionesB</v>
      </c>
      <c r="E130" s="79" t="s">
        <v>51</v>
      </c>
      <c r="F130" s="93" t="s">
        <v>113</v>
      </c>
    </row>
    <row r="131" spans="1:6" ht="14.25" customHeight="1" x14ac:dyDescent="0.3">
      <c r="A131" s="193"/>
      <c r="B131" s="89" t="s">
        <v>67</v>
      </c>
      <c r="C131" s="97" t="s">
        <v>31</v>
      </c>
      <c r="D131" s="65" t="str">
        <f t="shared" si="2"/>
        <v>Analista II operacionesC</v>
      </c>
      <c r="E131" s="98" t="s">
        <v>88</v>
      </c>
      <c r="F131" s="99" t="s">
        <v>113</v>
      </c>
    </row>
    <row r="132" spans="1:6" ht="14.25" customHeight="1" x14ac:dyDescent="0.3">
      <c r="A132" s="193"/>
      <c r="B132" s="89" t="s">
        <v>67</v>
      </c>
      <c r="C132" s="97" t="s">
        <v>32</v>
      </c>
      <c r="D132" s="65" t="str">
        <f t="shared" si="2"/>
        <v>Analista II operacionesD</v>
      </c>
      <c r="E132" s="98" t="s">
        <v>49</v>
      </c>
      <c r="F132" s="99" t="s">
        <v>93</v>
      </c>
    </row>
    <row r="133" spans="1:6" ht="14.25" customHeight="1" x14ac:dyDescent="0.3">
      <c r="A133" s="193"/>
      <c r="B133" s="89" t="s">
        <v>67</v>
      </c>
      <c r="C133" s="97" t="s">
        <v>63</v>
      </c>
      <c r="D133" s="65" t="str">
        <f t="shared" si="2"/>
        <v>Analista II operacionesE</v>
      </c>
      <c r="E133" s="98" t="s">
        <v>89</v>
      </c>
      <c r="F133" s="105" t="s">
        <v>127</v>
      </c>
    </row>
    <row r="134" spans="1:6" ht="14.25" customHeight="1" x14ac:dyDescent="0.3">
      <c r="A134" s="193"/>
      <c r="B134" s="89" t="s">
        <v>67</v>
      </c>
      <c r="C134" s="97" t="s">
        <v>116</v>
      </c>
      <c r="D134" s="97" t="str">
        <f t="shared" si="2"/>
        <v>Analista II operacionesF</v>
      </c>
      <c r="E134" s="98"/>
      <c r="F134" s="105" t="s">
        <v>129</v>
      </c>
    </row>
    <row r="135" spans="1:6" ht="14.25" customHeight="1" thickBot="1" x14ac:dyDescent="0.35">
      <c r="A135" s="194"/>
      <c r="B135" s="90" t="s">
        <v>67</v>
      </c>
      <c r="C135" s="67" t="s">
        <v>117</v>
      </c>
      <c r="D135" s="67" t="str">
        <f t="shared" si="2"/>
        <v>Analista II operacionesG</v>
      </c>
      <c r="E135" s="80"/>
      <c r="F135" s="106" t="s">
        <v>131</v>
      </c>
    </row>
    <row r="136" spans="1:6" ht="14.25" customHeight="1" x14ac:dyDescent="0.3">
      <c r="A136" s="192" t="s">
        <v>83</v>
      </c>
      <c r="B136" s="88" t="s">
        <v>87</v>
      </c>
      <c r="C136" s="66" t="s">
        <v>29</v>
      </c>
      <c r="D136" s="66" t="str">
        <f t="shared" si="2"/>
        <v>Director TécnicoA</v>
      </c>
      <c r="E136" s="78" t="s">
        <v>45</v>
      </c>
      <c r="F136" s="92" t="s">
        <v>90</v>
      </c>
    </row>
    <row r="137" spans="1:6" ht="14.25" customHeight="1" x14ac:dyDescent="0.3">
      <c r="A137" s="193"/>
      <c r="B137" s="89" t="s">
        <v>87</v>
      </c>
      <c r="C137" s="65" t="s">
        <v>30</v>
      </c>
      <c r="D137" s="65" t="str">
        <f t="shared" si="2"/>
        <v>Director TécnicoB</v>
      </c>
      <c r="E137" s="79" t="s">
        <v>51</v>
      </c>
      <c r="F137" s="93" t="s">
        <v>91</v>
      </c>
    </row>
    <row r="138" spans="1:6" ht="14.25" customHeight="1" x14ac:dyDescent="0.3">
      <c r="A138" s="193"/>
      <c r="B138" s="89" t="s">
        <v>87</v>
      </c>
      <c r="C138" s="97" t="s">
        <v>31</v>
      </c>
      <c r="D138" s="65" t="str">
        <f t="shared" ref="D138:D149" si="3">CONCATENATE(B138,C138)</f>
        <v>Director TécnicoC</v>
      </c>
      <c r="E138" s="98" t="s">
        <v>88</v>
      </c>
      <c r="F138" s="99" t="s">
        <v>92</v>
      </c>
    </row>
    <row r="139" spans="1:6" ht="14.25" customHeight="1" x14ac:dyDescent="0.3">
      <c r="A139" s="193"/>
      <c r="B139" s="89" t="s">
        <v>87</v>
      </c>
      <c r="C139" s="97" t="s">
        <v>32</v>
      </c>
      <c r="D139" s="65" t="str">
        <f t="shared" si="3"/>
        <v>Director TécnicoD</v>
      </c>
      <c r="E139" s="98" t="s">
        <v>49</v>
      </c>
      <c r="F139" s="99" t="s">
        <v>93</v>
      </c>
    </row>
    <row r="140" spans="1:6" ht="14.25" customHeight="1" x14ac:dyDescent="0.3">
      <c r="A140" s="193"/>
      <c r="B140" s="89" t="s">
        <v>87</v>
      </c>
      <c r="C140" s="97" t="s">
        <v>63</v>
      </c>
      <c r="D140" s="65" t="str">
        <f>CONCATENATE(B140,C140)</f>
        <v>Director TécnicoE</v>
      </c>
      <c r="E140" s="98" t="s">
        <v>89</v>
      </c>
      <c r="F140" s="105" t="s">
        <v>127</v>
      </c>
    </row>
    <row r="141" spans="1:6" ht="14.25" customHeight="1" x14ac:dyDescent="0.3">
      <c r="A141" s="193"/>
      <c r="B141" s="89" t="s">
        <v>87</v>
      </c>
      <c r="C141" s="97" t="s">
        <v>116</v>
      </c>
      <c r="D141" s="97" t="str">
        <f>CONCATENATE(B141,C141)</f>
        <v>Director TécnicoF</v>
      </c>
      <c r="E141" s="98"/>
      <c r="F141" s="105" t="s">
        <v>129</v>
      </c>
    </row>
    <row r="142" spans="1:6" ht="14.25" customHeight="1" thickBot="1" x14ac:dyDescent="0.35">
      <c r="A142" s="193"/>
      <c r="B142" s="89" t="s">
        <v>87</v>
      </c>
      <c r="C142" s="67" t="s">
        <v>117</v>
      </c>
      <c r="D142" s="67" t="str">
        <f t="shared" si="3"/>
        <v>Director TécnicoG</v>
      </c>
      <c r="E142" s="80"/>
      <c r="F142" s="106" t="s">
        <v>131</v>
      </c>
    </row>
    <row r="143" spans="1:6" ht="14.25" customHeight="1" x14ac:dyDescent="0.3">
      <c r="A143" s="193"/>
      <c r="B143" s="88" t="s">
        <v>70</v>
      </c>
      <c r="C143" s="66" t="s">
        <v>29</v>
      </c>
      <c r="D143" s="66" t="str">
        <f t="shared" si="3"/>
        <v>Auxiliar de MantenimientoA</v>
      </c>
      <c r="E143" s="78" t="s">
        <v>45</v>
      </c>
      <c r="F143" s="92" t="s">
        <v>113</v>
      </c>
    </row>
    <row r="144" spans="1:6" ht="14.25" customHeight="1" x14ac:dyDescent="0.3">
      <c r="A144" s="193"/>
      <c r="B144" s="89" t="s">
        <v>70</v>
      </c>
      <c r="C144" s="65" t="s">
        <v>30</v>
      </c>
      <c r="D144" s="65" t="str">
        <f t="shared" si="3"/>
        <v>Auxiliar de MantenimientoB</v>
      </c>
      <c r="E144" s="79" t="s">
        <v>51</v>
      </c>
      <c r="F144" s="93" t="s">
        <v>113</v>
      </c>
    </row>
    <row r="145" spans="1:7" ht="14.25" customHeight="1" x14ac:dyDescent="0.3">
      <c r="A145" s="193"/>
      <c r="B145" s="89" t="s">
        <v>70</v>
      </c>
      <c r="C145" s="97" t="s">
        <v>31</v>
      </c>
      <c r="D145" s="65" t="str">
        <f t="shared" si="3"/>
        <v>Auxiliar de MantenimientoC</v>
      </c>
      <c r="E145" s="98" t="s">
        <v>88</v>
      </c>
      <c r="F145" s="99" t="s">
        <v>113</v>
      </c>
    </row>
    <row r="146" spans="1:7" ht="14.25" customHeight="1" x14ac:dyDescent="0.3">
      <c r="A146" s="193"/>
      <c r="B146" s="89" t="s">
        <v>70</v>
      </c>
      <c r="C146" s="97" t="s">
        <v>32</v>
      </c>
      <c r="D146" s="65" t="str">
        <f t="shared" si="3"/>
        <v>Auxiliar de MantenimientoD</v>
      </c>
      <c r="E146" s="98" t="s">
        <v>49</v>
      </c>
      <c r="F146" s="99" t="s">
        <v>93</v>
      </c>
    </row>
    <row r="147" spans="1:7" ht="14.25" customHeight="1" x14ac:dyDescent="0.3">
      <c r="A147" s="193"/>
      <c r="B147" s="89" t="s">
        <v>70</v>
      </c>
      <c r="C147" s="97" t="s">
        <v>63</v>
      </c>
      <c r="D147" s="65" t="str">
        <f t="shared" si="3"/>
        <v>Auxiliar de MantenimientoE</v>
      </c>
      <c r="E147" s="98" t="s">
        <v>89</v>
      </c>
      <c r="F147" s="105" t="s">
        <v>127</v>
      </c>
    </row>
    <row r="148" spans="1:7" ht="14.25" customHeight="1" x14ac:dyDescent="0.3">
      <c r="A148" s="193"/>
      <c r="B148" s="89" t="s">
        <v>70</v>
      </c>
      <c r="C148" s="97" t="s">
        <v>116</v>
      </c>
      <c r="D148" s="97" t="str">
        <f t="shared" si="3"/>
        <v>Auxiliar de MantenimientoF</v>
      </c>
      <c r="E148" s="98"/>
      <c r="F148" s="105" t="s">
        <v>129</v>
      </c>
    </row>
    <row r="149" spans="1:7" ht="28.2" customHeight="1" thickBot="1" x14ac:dyDescent="0.35">
      <c r="A149" s="194"/>
      <c r="B149" s="90" t="s">
        <v>70</v>
      </c>
      <c r="C149" s="67" t="s">
        <v>117</v>
      </c>
      <c r="D149" s="67" t="str">
        <f t="shared" si="3"/>
        <v>Auxiliar de MantenimientoG</v>
      </c>
      <c r="E149" s="80"/>
      <c r="F149" s="106" t="s">
        <v>131</v>
      </c>
    </row>
    <row r="152" spans="1:7" ht="14.4" x14ac:dyDescent="0.3">
      <c r="E152"/>
      <c r="F152"/>
      <c r="G152"/>
    </row>
    <row r="153" spans="1:7" ht="14.4" x14ac:dyDescent="0.3">
      <c r="E153"/>
      <c r="F153"/>
      <c r="G153"/>
    </row>
    <row r="154" spans="1:7" ht="14.4" x14ac:dyDescent="0.3">
      <c r="E154"/>
      <c r="F154"/>
      <c r="G154"/>
    </row>
    <row r="155" spans="1:7" ht="14.4" x14ac:dyDescent="0.3">
      <c r="E155"/>
      <c r="F155"/>
      <c r="G155"/>
    </row>
    <row r="156" spans="1:7" ht="14.4" x14ac:dyDescent="0.3">
      <c r="E156"/>
      <c r="F156"/>
      <c r="G156"/>
    </row>
    <row r="157" spans="1:7" ht="14.4" x14ac:dyDescent="0.3">
      <c r="F157"/>
      <c r="G157"/>
    </row>
    <row r="158" spans="1:7" ht="14.4" x14ac:dyDescent="0.3">
      <c r="F158"/>
      <c r="G158"/>
    </row>
    <row r="159" spans="1:7" ht="14.4" x14ac:dyDescent="0.3">
      <c r="F159"/>
      <c r="G159"/>
    </row>
    <row r="160" spans="1:7" ht="14.4" x14ac:dyDescent="0.3">
      <c r="F160"/>
      <c r="G160"/>
    </row>
    <row r="161" spans="6:7" ht="14.4" x14ac:dyDescent="0.3">
      <c r="F161"/>
      <c r="G161"/>
    </row>
    <row r="162" spans="6:7" ht="14.4" x14ac:dyDescent="0.3">
      <c r="F162"/>
      <c r="G162"/>
    </row>
    <row r="163" spans="6:7" ht="14.4" x14ac:dyDescent="0.3">
      <c r="F163"/>
      <c r="G163"/>
    </row>
    <row r="164" spans="6:7" ht="14.4" x14ac:dyDescent="0.3">
      <c r="F164"/>
      <c r="G164"/>
    </row>
    <row r="165" spans="6:7" ht="14.4" x14ac:dyDescent="0.3">
      <c r="F165"/>
      <c r="G165"/>
    </row>
    <row r="166" spans="6:7" ht="14.4" x14ac:dyDescent="0.3">
      <c r="F166"/>
      <c r="G166"/>
    </row>
    <row r="167" spans="6:7" ht="14.4" x14ac:dyDescent="0.3">
      <c r="F167"/>
      <c r="G167"/>
    </row>
    <row r="168" spans="6:7" ht="14.4" x14ac:dyDescent="0.3">
      <c r="F168"/>
      <c r="G168"/>
    </row>
    <row r="169" spans="6:7" ht="14.4" x14ac:dyDescent="0.3">
      <c r="F169"/>
      <c r="G169"/>
    </row>
    <row r="170" spans="6:7" ht="14.4" x14ac:dyDescent="0.3">
      <c r="F170"/>
      <c r="G170"/>
    </row>
    <row r="171" spans="6:7" ht="14.4" x14ac:dyDescent="0.3">
      <c r="F171"/>
      <c r="G171"/>
    </row>
    <row r="172" spans="6:7" ht="14.4" x14ac:dyDescent="0.3">
      <c r="F172"/>
      <c r="G172"/>
    </row>
    <row r="173" spans="6:7" ht="14.4" x14ac:dyDescent="0.3">
      <c r="F173"/>
      <c r="G173"/>
    </row>
    <row r="174" spans="6:7" ht="14.4" x14ac:dyDescent="0.3">
      <c r="F174"/>
      <c r="G174"/>
    </row>
    <row r="175" spans="6:7" ht="14.4" x14ac:dyDescent="0.3">
      <c r="F175"/>
      <c r="G175"/>
    </row>
    <row r="176" spans="6:7" ht="14.4" x14ac:dyDescent="0.3">
      <c r="F176"/>
      <c r="G176"/>
    </row>
    <row r="177" spans="6:7" ht="14.4" x14ac:dyDescent="0.3">
      <c r="F177"/>
      <c r="G177"/>
    </row>
    <row r="178" spans="6:7" ht="14.4" x14ac:dyDescent="0.3">
      <c r="F178"/>
      <c r="G178"/>
    </row>
    <row r="179" spans="6:7" ht="14.4" x14ac:dyDescent="0.3">
      <c r="F179"/>
    </row>
    <row r="180" spans="6:7" ht="14.4" x14ac:dyDescent="0.3">
      <c r="F180"/>
    </row>
    <row r="210" ht="14.25" customHeight="1" x14ac:dyDescent="0.3"/>
    <row r="218" ht="14.25" customHeight="1" x14ac:dyDescent="0.3"/>
    <row r="222" ht="14.25" customHeight="1" x14ac:dyDescent="0.3"/>
    <row r="226" ht="14.25" customHeight="1" x14ac:dyDescent="0.3"/>
    <row r="286" ht="14.25" customHeight="1" x14ac:dyDescent="0.3"/>
    <row r="302" ht="14.25" customHeight="1" x14ac:dyDescent="0.3"/>
    <row r="306" ht="14.25" customHeight="1" x14ac:dyDescent="0.3"/>
  </sheetData>
  <sheetProtection formatCells="0" formatColumns="0" formatRows="0" insertColumns="0" insertRows="0" insertHyperlinks="0" deleteColumns="0" deleteRows="0" sort="0" autoFilter="0" pivotTables="0"/>
  <mergeCells count="7">
    <mergeCell ref="A115:A135"/>
    <mergeCell ref="A136:A149"/>
    <mergeCell ref="A1:A2"/>
    <mergeCell ref="B1:B2"/>
    <mergeCell ref="E1:F1"/>
    <mergeCell ref="A101:A114"/>
    <mergeCell ref="A3:A100"/>
  </mergeCells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21"/>
  <sheetViews>
    <sheetView showGridLines="0" topLeftCell="A21" zoomScale="110" zoomScaleNormal="80" workbookViewId="0">
      <selection activeCell="C21" sqref="C21"/>
    </sheetView>
  </sheetViews>
  <sheetFormatPr baseColWidth="10" defaultColWidth="11.44140625" defaultRowHeight="13.2" x14ac:dyDescent="0.3"/>
  <cols>
    <col min="1" max="1" width="11.44140625" style="29"/>
    <col min="2" max="2" width="11.44140625" style="30"/>
    <col min="3" max="3" width="35.33203125" style="34" customWidth="1"/>
    <col min="4" max="4" width="40.77734375" style="35" customWidth="1"/>
    <col min="5" max="5" width="18.109375" style="29" hidden="1" customWidth="1"/>
    <col min="6" max="6" width="31.33203125" style="29" hidden="1" customWidth="1"/>
    <col min="7" max="7" width="80.77734375" style="34" customWidth="1"/>
    <col min="8" max="16384" width="11.44140625" style="29"/>
  </cols>
  <sheetData>
    <row r="1" spans="1:7" ht="26.25" customHeight="1" x14ac:dyDescent="0.2">
      <c r="B1" s="203" t="s">
        <v>54</v>
      </c>
      <c r="C1" s="203"/>
      <c r="D1" s="203"/>
      <c r="E1" s="203"/>
      <c r="F1" s="203"/>
      <c r="G1" s="203"/>
    </row>
    <row r="2" spans="1:7" ht="31.5" customHeight="1" x14ac:dyDescent="0.3">
      <c r="B2" s="68" t="s">
        <v>24</v>
      </c>
      <c r="C2" s="69" t="s">
        <v>25</v>
      </c>
      <c r="D2" s="70" t="s">
        <v>26</v>
      </c>
      <c r="E2" s="70" t="s">
        <v>27</v>
      </c>
      <c r="F2" s="70"/>
      <c r="G2" s="69" t="s">
        <v>28</v>
      </c>
    </row>
    <row r="3" spans="1:7" ht="24" customHeight="1" x14ac:dyDescent="0.3">
      <c r="A3" s="206"/>
      <c r="B3" s="204">
        <v>1</v>
      </c>
      <c r="C3" s="87" t="s">
        <v>88</v>
      </c>
      <c r="D3" s="205" t="s">
        <v>52</v>
      </c>
      <c r="E3" s="71" t="s">
        <v>29</v>
      </c>
      <c r="F3" s="71" t="str">
        <f>CONCATENATE(C3,E3)</f>
        <v>Trabajo en equipoA</v>
      </c>
      <c r="G3" s="31" t="s">
        <v>94</v>
      </c>
    </row>
    <row r="4" spans="1:7" ht="27" customHeight="1" x14ac:dyDescent="0.3">
      <c r="A4" s="206"/>
      <c r="B4" s="204"/>
      <c r="C4" s="87" t="s">
        <v>88</v>
      </c>
      <c r="D4" s="205"/>
      <c r="E4" s="71" t="s">
        <v>30</v>
      </c>
      <c r="F4" s="71" t="str">
        <f t="shared" ref="F4:F21" si="0">CONCATENATE(C4,E4)</f>
        <v>Trabajo en equipoB</v>
      </c>
      <c r="G4" s="31" t="s">
        <v>95</v>
      </c>
    </row>
    <row r="5" spans="1:7" ht="19.5" customHeight="1" x14ac:dyDescent="0.3">
      <c r="A5" s="206"/>
      <c r="B5" s="204">
        <v>2</v>
      </c>
      <c r="C5" s="87" t="s">
        <v>45</v>
      </c>
      <c r="D5" s="205" t="s">
        <v>48</v>
      </c>
      <c r="E5" s="71" t="s">
        <v>29</v>
      </c>
      <c r="F5" s="71" t="str">
        <f t="shared" si="0"/>
        <v>Comunicación asertivaA</v>
      </c>
      <c r="G5" s="31" t="s">
        <v>96</v>
      </c>
    </row>
    <row r="6" spans="1:7" ht="19.5" customHeight="1" x14ac:dyDescent="0.3">
      <c r="A6" s="206"/>
      <c r="B6" s="204"/>
      <c r="C6" s="87" t="s">
        <v>45</v>
      </c>
      <c r="D6" s="205"/>
      <c r="E6" s="71" t="s">
        <v>30</v>
      </c>
      <c r="F6" s="71" t="str">
        <f t="shared" si="0"/>
        <v>Comunicación asertivaB</v>
      </c>
      <c r="G6" s="33" t="s">
        <v>97</v>
      </c>
    </row>
    <row r="7" spans="1:7" ht="25.05" customHeight="1" x14ac:dyDescent="0.3">
      <c r="A7" s="206"/>
      <c r="B7" s="204">
        <v>3</v>
      </c>
      <c r="C7" s="87" t="s">
        <v>49</v>
      </c>
      <c r="D7" s="205" t="s">
        <v>50</v>
      </c>
      <c r="E7" s="71" t="s">
        <v>29</v>
      </c>
      <c r="F7" s="71" t="str">
        <f t="shared" ref="F7:F14" si="1">CONCATENATE(C7,E7)</f>
        <v>Orientación al servicioA</v>
      </c>
      <c r="G7" s="33" t="s">
        <v>98</v>
      </c>
    </row>
    <row r="8" spans="1:7" ht="19.05" customHeight="1" x14ac:dyDescent="0.3">
      <c r="A8" s="206"/>
      <c r="B8" s="204"/>
      <c r="C8" s="87" t="s">
        <v>49</v>
      </c>
      <c r="D8" s="205"/>
      <c r="E8" s="71" t="s">
        <v>30</v>
      </c>
      <c r="F8" s="71" t="str">
        <f t="shared" si="1"/>
        <v>Orientación al servicioB</v>
      </c>
      <c r="G8" s="31" t="s">
        <v>99</v>
      </c>
    </row>
    <row r="9" spans="1:7" ht="27.75" customHeight="1" x14ac:dyDescent="0.3">
      <c r="A9" s="206"/>
      <c r="B9" s="204">
        <v>4</v>
      </c>
      <c r="C9" s="87" t="s">
        <v>89</v>
      </c>
      <c r="D9" s="205" t="s">
        <v>64</v>
      </c>
      <c r="E9" s="71" t="s">
        <v>29</v>
      </c>
      <c r="F9" s="71" t="str">
        <f t="shared" si="1"/>
        <v>Orientación al cambioA</v>
      </c>
      <c r="G9" s="33" t="s">
        <v>100</v>
      </c>
    </row>
    <row r="10" spans="1:7" ht="18" customHeight="1" x14ac:dyDescent="0.3">
      <c r="A10" s="206"/>
      <c r="B10" s="204"/>
      <c r="C10" s="87" t="s">
        <v>89</v>
      </c>
      <c r="D10" s="205"/>
      <c r="E10" s="71" t="s">
        <v>30</v>
      </c>
      <c r="F10" s="71" t="str">
        <f t="shared" si="1"/>
        <v>Orientación al cambioB</v>
      </c>
      <c r="G10" s="31" t="s">
        <v>101</v>
      </c>
    </row>
    <row r="11" spans="1:7" ht="13.95" customHeight="1" x14ac:dyDescent="0.3">
      <c r="A11" s="96"/>
      <c r="B11" s="208">
        <v>5</v>
      </c>
      <c r="C11" s="87" t="s">
        <v>90</v>
      </c>
      <c r="D11" s="205" t="s">
        <v>47</v>
      </c>
      <c r="E11" s="71" t="s">
        <v>29</v>
      </c>
      <c r="F11" s="71" t="str">
        <f t="shared" si="1"/>
        <v>LiderazgoA</v>
      </c>
      <c r="G11" s="31" t="s">
        <v>102</v>
      </c>
    </row>
    <row r="12" spans="1:7" ht="26.4" x14ac:dyDescent="0.3">
      <c r="A12" s="96"/>
      <c r="B12" s="209"/>
      <c r="C12" s="87" t="s">
        <v>90</v>
      </c>
      <c r="D12" s="205"/>
      <c r="E12" s="71" t="s">
        <v>30</v>
      </c>
      <c r="F12" s="71" t="str">
        <f t="shared" si="1"/>
        <v>LiderazgoB</v>
      </c>
      <c r="G12" s="31" t="s">
        <v>53</v>
      </c>
    </row>
    <row r="13" spans="1:7" ht="18.75" customHeight="1" x14ac:dyDescent="0.3">
      <c r="A13" s="207"/>
      <c r="B13" s="204">
        <v>6</v>
      </c>
      <c r="C13" s="87" t="s">
        <v>51</v>
      </c>
      <c r="D13" s="205" t="s">
        <v>44</v>
      </c>
      <c r="E13" s="71" t="s">
        <v>29</v>
      </c>
      <c r="F13" s="71" t="str">
        <f t="shared" si="1"/>
        <v>Orientación al logroA</v>
      </c>
      <c r="G13" s="31" t="s">
        <v>103</v>
      </c>
    </row>
    <row r="14" spans="1:7" ht="27" customHeight="1" x14ac:dyDescent="0.3">
      <c r="A14" s="207"/>
      <c r="B14" s="204"/>
      <c r="C14" s="87" t="s">
        <v>51</v>
      </c>
      <c r="D14" s="205"/>
      <c r="E14" s="71" t="s">
        <v>30</v>
      </c>
      <c r="F14" s="71" t="str">
        <f t="shared" si="1"/>
        <v>Orientación al logroB</v>
      </c>
      <c r="G14" s="31" t="s">
        <v>104</v>
      </c>
    </row>
    <row r="15" spans="1:7" s="32" customFormat="1" ht="26.4" x14ac:dyDescent="0.3">
      <c r="A15" s="207"/>
      <c r="B15" s="204">
        <v>7</v>
      </c>
      <c r="C15" s="87" t="s">
        <v>91</v>
      </c>
      <c r="D15" s="205" t="s">
        <v>105</v>
      </c>
      <c r="E15" s="71" t="s">
        <v>29</v>
      </c>
      <c r="F15" s="71" t="str">
        <f t="shared" si="0"/>
        <v>Pensamiento y ejecución estratégicaA</v>
      </c>
      <c r="G15" s="31" t="s">
        <v>106</v>
      </c>
    </row>
    <row r="16" spans="1:7" ht="26.4" x14ac:dyDescent="0.3">
      <c r="A16" s="207"/>
      <c r="B16" s="204"/>
      <c r="C16" s="87" t="s">
        <v>91</v>
      </c>
      <c r="D16" s="205"/>
      <c r="E16" s="71" t="s">
        <v>30</v>
      </c>
      <c r="F16" s="71" t="str">
        <f t="shared" si="0"/>
        <v>Pensamiento y ejecución estratégicaB</v>
      </c>
      <c r="G16" s="31" t="s">
        <v>107</v>
      </c>
    </row>
    <row r="17" spans="1:7" ht="66" x14ac:dyDescent="0.3">
      <c r="A17" s="207"/>
      <c r="B17" s="101">
        <v>8</v>
      </c>
      <c r="C17" s="87" t="s">
        <v>92</v>
      </c>
      <c r="D17" s="100" t="s">
        <v>108</v>
      </c>
      <c r="E17" s="71" t="s">
        <v>29</v>
      </c>
      <c r="F17" s="71" t="str">
        <f t="shared" si="0"/>
        <v>Oportunidad ACPMA</v>
      </c>
      <c r="G17" s="31" t="s">
        <v>108</v>
      </c>
    </row>
    <row r="18" spans="1:7" ht="52.8" x14ac:dyDescent="0.3">
      <c r="A18" s="207"/>
      <c r="B18" s="101">
        <v>9</v>
      </c>
      <c r="C18" s="87" t="s">
        <v>93</v>
      </c>
      <c r="D18" s="100" t="s">
        <v>109</v>
      </c>
      <c r="E18" s="71" t="s">
        <v>29</v>
      </c>
      <c r="F18" s="71" t="str">
        <f t="shared" ref="F18" si="2">CONCATENATE(C18,E18)</f>
        <v>ParticipaciónA</v>
      </c>
      <c r="G18" s="33" t="s">
        <v>109</v>
      </c>
    </row>
    <row r="19" spans="1:7" ht="79.2" x14ac:dyDescent="0.3">
      <c r="A19" s="207"/>
      <c r="B19" s="101">
        <v>10</v>
      </c>
      <c r="C19" s="87" t="s">
        <v>127</v>
      </c>
      <c r="D19" s="100" t="s">
        <v>128</v>
      </c>
      <c r="E19" s="71" t="s">
        <v>29</v>
      </c>
      <c r="F19" s="71" t="str">
        <f t="shared" ref="F19:F20" si="3">CONCATENATE(C19,E19)</f>
        <v>Uso de recursos de seguridad física y de SST asignados al cargoA</v>
      </c>
      <c r="G19" s="31" t="s">
        <v>128</v>
      </c>
    </row>
    <row r="20" spans="1:7" ht="132" x14ac:dyDescent="0.3">
      <c r="A20" s="207"/>
      <c r="B20" s="101">
        <v>11</v>
      </c>
      <c r="C20" s="87" t="s">
        <v>129</v>
      </c>
      <c r="D20" s="100" t="s">
        <v>132</v>
      </c>
      <c r="E20" s="71" t="s">
        <v>29</v>
      </c>
      <c r="F20" s="71" t="str">
        <f t="shared" si="3"/>
        <v>Código de Ética, Conducta y Buen GobiernoA</v>
      </c>
      <c r="G20" s="31" t="s">
        <v>130</v>
      </c>
    </row>
    <row r="21" spans="1:7" ht="105.6" x14ac:dyDescent="0.3">
      <c r="A21" s="207"/>
      <c r="B21" s="101">
        <v>12</v>
      </c>
      <c r="C21" s="87" t="s">
        <v>131</v>
      </c>
      <c r="D21" s="100" t="s">
        <v>133</v>
      </c>
      <c r="E21" s="71" t="s">
        <v>29</v>
      </c>
      <c r="F21" s="71" t="str">
        <f t="shared" si="0"/>
        <v>Política de Conducta Empresarial Responsable (CER)A</v>
      </c>
      <c r="G21" s="33" t="s">
        <v>133</v>
      </c>
    </row>
  </sheetData>
  <sheetProtection insertColumns="0" insertRows="0" insertHyperlinks="0"/>
  <mergeCells count="17">
    <mergeCell ref="A3:A10"/>
    <mergeCell ref="A13:A21"/>
    <mergeCell ref="B7:B8"/>
    <mergeCell ref="B15:B16"/>
    <mergeCell ref="D15:D16"/>
    <mergeCell ref="D7:D8"/>
    <mergeCell ref="B9:B10"/>
    <mergeCell ref="D9:D10"/>
    <mergeCell ref="B13:B14"/>
    <mergeCell ref="D13:D14"/>
    <mergeCell ref="B11:B12"/>
    <mergeCell ref="D11:D12"/>
    <mergeCell ref="B1:G1"/>
    <mergeCell ref="B3:B4"/>
    <mergeCell ref="D3:D4"/>
    <mergeCell ref="B5:B6"/>
    <mergeCell ref="D5:D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Instrumento</vt:lpstr>
      <vt:lpstr>Desplegables</vt:lpstr>
      <vt:lpstr>Cargos-Competencias</vt:lpstr>
      <vt:lpstr>Diccionario </vt:lpstr>
      <vt:lpstr>Instrumento!Área_de_impresión</vt:lpstr>
      <vt:lpstr>CARGO</vt:lpstr>
      <vt:lpstr>Organizacionales</vt:lpstr>
      <vt:lpstr>Periodo</vt:lpstr>
      <vt:lpstr>Proceso</vt:lpstr>
      <vt:lpstr>TODASCOM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ZFIP_Comercial</cp:lastModifiedBy>
  <cp:lastPrinted>2023-02-09T20:34:44Z</cp:lastPrinted>
  <dcterms:created xsi:type="dcterms:W3CDTF">2019-03-26T18:35:21Z</dcterms:created>
  <dcterms:modified xsi:type="dcterms:W3CDTF">2023-02-13T19:26:59Z</dcterms:modified>
</cp:coreProperties>
</file>