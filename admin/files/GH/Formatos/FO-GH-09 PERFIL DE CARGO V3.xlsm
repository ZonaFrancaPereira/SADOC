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20" yWindow="552" windowWidth="15612" windowHeight="6564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45621"/>
  <extLs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<sst xmlns="http://schemas.openxmlformats.org/spreadsheetml/2006/main" count="222" uniqueCount="152">
  <si>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</si>
  <si>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</si>
  <si>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</si>
  <si>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</si>
  <si>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</si>
  <si>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</si>
  <si>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</si>
  <si>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</si>
  <si>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</si>
  <si>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</si>
  <si>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</si>
  <si>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</si>
  <si>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</si>
  <si>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</si>
  <si>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</si>
  <si>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</si>
  <si>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</si>
  <si>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</si>
  <si>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</si>
  <si>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</si>
  <si>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</si>
  <si>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</si>
  <si>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</si>
  <si>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</si>
  <si>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</si>
  <si>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</si>
  <si>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</si>
  <si>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</si>
  <si>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</si>
  <si>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</si>
  <si>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</si>
  <si>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</si>
  <si>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</si>
  <si>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</si>
  <si>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</si>
  <si>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</si>
  <si>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</si>
  <si>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</si>
  <si>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</si>
  <si>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</si>
  <si>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</si>
  <si>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</si>
  <si>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</si>
  <si>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</si>
  <si>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</si>
  <si>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</si>
  <si>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</si>
  <si>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</si>
  <si>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</si>
  <si>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</si>
  <si>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</si>
  <si>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</si>
  <si>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</si>
  <si>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</si>
  <si>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</si>
  <si>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</si>
  <si>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</si>
  <si>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</si>
  <si>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</si>
  <si>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</si>
  <si>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</si>
  <si>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 xml:space="preserve">1. 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</si>
  <si>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</si>
  <si>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</si>
  <si>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</si>
  <si>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</si>
  <si>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</si>
  <si>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</si>
  <si>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</si>
  <si>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</si>
  <si>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</si>
  <si>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</si>
  <si>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</si>
  <si>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</si>
  <si>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</si>
  <si>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</si>
  <si>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</si>
  <si>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</si>
  <si>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</si>
  <si>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</si>
  <si>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</si>
  <si>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</si>
  <si>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</si>
  <si>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</si>
  <si>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</si>
  <si>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</si>
  <si>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</si>
  <si>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</si>
  <si>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</si>
  <si>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</si>
  <si>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</si>
  <si>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</si>
  <si>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</si>
  <si>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</si>
  <si>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</si>
  <si>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</si>
  <si>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</si>
  <si>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</si>
  <si>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</si>
  <si>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</si>
  <si>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</si>
  <si>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</si>
  <si>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</si>
  <si>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</si>
  <si>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</si>
  <si>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</si>
  <si>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</si>
  <si>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</si>
  <si>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</si>
  <si>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</si>
  <si>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</si>
  <si>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</si>
  <si>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</si>
  <si>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</si>
  <si>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</si>
  <si>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</si>
  <si>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</si>
  <si>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</si>
  <si>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</si>
  <si>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</si>
  <si>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</si>
  <si>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</si>
  <si>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</si>
  <si>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</si>
  <si>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</si>
  <si>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</si>
  <si>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</si>
  <si>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</si>
  <si>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</si>
  <si>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</si>
  <si>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</si>
  <si>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</si>
  <si>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</si>
  <si>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</si>
  <si>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</si>
  <si>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</si>
  <si>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</si>
  <si>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</si>
  <si>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</si>
  <si>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</si>
  <si>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</si>
  <si>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</si>
  <si>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</si>
  <si>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</si>
  <si>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</si>
  <si>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</si>
  <si>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</si>
  <si>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</si>
  <si>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</si>
  <si>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Proceso al que Pertenece</t>
  </si>
  <si>
    <t>Requiere Vehículo Propio</t>
  </si>
  <si>
    <t>Cliente 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</si>
</sst>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4">
    <xf numFmtId="0" fontId="0" fillId="0" borderId="0" xfId="0" applyFont="1" applyAlignment="1"/>
    <xf numFmtId="0" fontId="4" fillId="0" borderId="0" xfId="0" applyFont="1"/>
    <xf numFmtId="0" fontId="4" fillId="0" borderId="0" xfId="0" applyFont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4" fillId="4" borderId="6" xfId="0" applyFont="1" applyFill="1" applyBorder="1"/>
    <xf numFmtId="0" fontId="0" fillId="0" borderId="4" xfId="0" applyFont="1" applyBorder="1" applyAlignment="1"/>
    <xf numFmtId="0" fontId="4" fillId="0" borderId="4" xfId="0" applyFont="1" applyBorder="1"/>
    <xf numFmtId="0" fontId="6" fillId="0" borderId="4" xfId="0" applyFont="1" applyBorder="1" applyAlignment="1"/>
    <xf numFmtId="0" fontId="8" fillId="2" borderId="8" xfId="0" applyFont="1" applyFill="1" applyBorder="1" applyAlignment="1">
      <alignment horizontal="center" vertical="center" wrapText="1"/>
    </xf>
    <xf numFmtId="0" fontId="13" fillId="0" borderId="7" xfId="0" applyFont="1" applyBorder="1" applyAlignment="1" applyProtection="1">
      <alignment horizontal="center" vertical="center" wrapText="1"/>
      <protection hidden="1"/>
    </xf>
    <xf numFmtId="0" fontId="13" fillId="0" borderId="9" xfId="0" applyFont="1" applyBorder="1" applyAlignment="1" applyProtection="1">
      <alignment horizontal="center" vertical="center" wrapText="1"/>
      <protection hidden="1"/>
    </xf>
    <xf numFmtId="0" fontId="13" fillId="0" borderId="8" xfId="0" applyFont="1" applyBorder="1" applyAlignment="1" applyProtection="1">
      <alignment horizontal="center" vertical="center" wrapText="1"/>
      <protection hidden="1"/>
    </xf>
    <xf numFmtId="0" fontId="12" fillId="7" borderId="12" xfId="0" applyFont="1" applyFill="1" applyBorder="1" applyAlignment="1" applyProtection="1">
      <alignment horizontal="center" vertical="center" wrapText="1"/>
      <protection hidden="1"/>
    </xf>
    <xf numFmtId="0" fontId="12" fillId="7" borderId="13" xfId="0" applyFont="1" applyFill="1" applyBorder="1" applyAlignment="1" applyProtection="1">
      <alignment horizontal="center" vertical="center" wrapText="1"/>
      <protection hidden="1"/>
    </xf>
    <xf numFmtId="0" fontId="12" fillId="7" borderId="14" xfId="0" applyFont="1" applyFill="1" applyBorder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49" fontId="11" fillId="0" borderId="18" xfId="0" applyNumberFormat="1" applyFont="1" applyFill="1" applyBorder="1" applyAlignment="1">
      <alignment vertical="center"/>
    </xf>
    <xf numFmtId="49" fontId="11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8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7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19" fillId="0" borderId="0" xfId="0" applyFont="1" applyAlignment="1">
      <alignment horizontal="justify" vertical="center"/>
    </xf>
    <xf numFmtId="0" fontId="18" fillId="0" borderId="0" xfId="0" applyFont="1" applyAlignment="1"/>
    <xf numFmtId="0" fontId="20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2" fillId="0" borderId="0" xfId="0" applyFont="1" applyAlignment="1"/>
    <xf numFmtId="0" fontId="0" fillId="0" borderId="7" xfId="0" applyFont="1" applyBorder="1" applyAlignment="1">
      <alignment horizontal="justify" wrapText="1"/>
    </xf>
    <xf numFmtId="0" fontId="2" fillId="0" borderId="7" xfId="0" applyFont="1" applyBorder="1" applyAlignment="1">
      <alignment horizontal="justify" vertical="center" wrapText="1"/>
    </xf>
    <xf numFmtId="0" fontId="6" fillId="0" borderId="5" xfId="0" applyFont="1" applyBorder="1" applyAlignment="1"/>
    <xf numFmtId="0" fontId="4" fillId="4" borderId="4" xfId="0" applyFont="1" applyFill="1" applyBorder="1"/>
    <xf numFmtId="0" fontId="23" fillId="0" borderId="7" xfId="0" applyFont="1" applyBorder="1" applyAlignment="1">
      <alignment horizontal="justify" wrapText="1"/>
    </xf>
    <xf numFmtId="0" fontId="21" fillId="0" borderId="7" xfId="0" applyFont="1" applyBorder="1" applyAlignment="1">
      <alignment horizontal="justify" wrapText="1"/>
    </xf>
    <xf numFmtId="0" fontId="2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2" fillId="0" borderId="16" xfId="0" applyFont="1" applyBorder="1" applyAlignment="1">
      <alignment horizontal="justify" vertical="center" wrapText="1"/>
    </xf>
    <xf numFmtId="0" fontId="7" fillId="2" borderId="7" xfId="0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justify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7" xfId="0" applyFont="1" applyBorder="1" applyAlignment="1">
      <alignment horizontal="justify" vertical="center" wrapText="1"/>
    </xf>
    <xf numFmtId="0" fontId="7" fillId="2" borderId="8" xfId="0" applyFont="1" applyFill="1" applyBorder="1" applyAlignment="1">
      <alignment horizontal="center" vertical="center"/>
    </xf>
    <xf numFmtId="0" fontId="22" fillId="0" borderId="10" xfId="0" applyFont="1" applyBorder="1"/>
    <xf numFmtId="0" fontId="22" fillId="0" borderId="9" xfId="0" applyFont="1" applyBorder="1"/>
    <xf numFmtId="0" fontId="7" fillId="3" borderId="21" xfId="0" applyFont="1" applyFill="1" applyBorder="1" applyAlignment="1">
      <alignment horizontal="center" vertical="center"/>
    </xf>
    <xf numFmtId="0" fontId="6" fillId="0" borderId="20" xfId="0" applyFont="1" applyBorder="1"/>
    <xf numFmtId="0" fontId="6" fillId="0" borderId="22" xfId="0" applyFont="1" applyBorder="1"/>
    <xf numFmtId="0" fontId="8" fillId="0" borderId="4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4" fillId="0" borderId="13" xfId="0" applyFont="1" applyBorder="1" applyAlignment="1">
      <alignment horizontal="justify" vertical="center" wrapText="1"/>
    </xf>
    <xf numFmtId="0" fontId="8" fillId="0" borderId="13" xfId="0" applyFont="1" applyBorder="1" applyAlignment="1">
      <alignment horizontal="justify" vertical="center" wrapText="1"/>
    </xf>
    <xf numFmtId="0" fontId="11" fillId="0" borderId="13" xfId="0" applyFont="1" applyBorder="1" applyAlignment="1">
      <alignment horizontal="justify" vertical="center" wrapText="1"/>
    </xf>
    <xf numFmtId="0" fontId="10" fillId="0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8" fillId="2" borderId="8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6" fillId="0" borderId="5" xfId="0" applyFont="1" applyBorder="1"/>
    <xf numFmtId="0" fontId="6" fillId="0" borderId="3" xfId="0" applyFont="1" applyBorder="1"/>
    <xf numFmtId="0" fontId="4" fillId="0" borderId="2" xfId="0" applyFont="1" applyBorder="1" applyAlignment="1">
      <alignment horizontal="center"/>
    </xf>
    <xf numFmtId="0" fontId="21" fillId="0" borderId="8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justify" vertical="center"/>
    </xf>
    <xf numFmtId="0" fontId="4" fillId="0" borderId="10" xfId="0" applyFont="1" applyBorder="1" applyAlignment="1">
      <alignment horizontal="justify" vertical="center"/>
    </xf>
    <xf numFmtId="0" fontId="4" fillId="0" borderId="9" xfId="0" applyFont="1" applyBorder="1" applyAlignment="1">
      <alignment horizontal="justify" vertical="center"/>
    </xf>
    <xf numFmtId="0" fontId="4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0" fillId="0" borderId="7" xfId="0" applyFont="1" applyBorder="1" applyAlignment="1">
      <alignment horizontal="center" vertical="center"/>
    </xf>
    <xf numFmtId="49" fontId="11" fillId="0" borderId="4" xfId="0" applyNumberFormat="1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justify" vertical="center" wrapText="1"/>
    </xf>
    <xf numFmtId="0" fontId="15" fillId="0" borderId="13" xfId="0" applyFont="1" applyBorder="1" applyAlignment="1">
      <alignment horizontal="justify" vertical="center" wrapText="1"/>
    </xf>
    <xf numFmtId="0" fontId="7" fillId="0" borderId="6" xfId="0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5" fillId="5" borderId="7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justify" vertical="center" wrapText="1"/>
    </xf>
    <xf numFmtId="0" fontId="11" fillId="0" borderId="18" xfId="0" applyFont="1" applyBorder="1" applyAlignment="1">
      <alignment horizontal="justify" vertical="center" wrapText="1"/>
    </xf>
    <xf numFmtId="0" fontId="11" fillId="0" borderId="15" xfId="0" applyFont="1" applyBorder="1" applyAlignment="1">
      <alignment horizontal="justify" vertical="center" wrapText="1"/>
    </xf>
    <xf numFmtId="0" fontId="11" fillId="0" borderId="14" xfId="0" applyFont="1" applyBorder="1" applyAlignment="1">
      <alignment horizontal="justify" vertical="center" wrapText="1"/>
    </xf>
    <xf numFmtId="0" fontId="11" fillId="0" borderId="25" xfId="0" applyFont="1" applyBorder="1" applyAlignment="1">
      <alignment horizontal="justify" vertical="center" wrapText="1"/>
    </xf>
    <xf numFmtId="0" fontId="11" fillId="0" borderId="12" xfId="0" applyFont="1" applyBorder="1" applyAlignment="1">
      <alignment horizontal="justify" vertical="center" wrapText="1"/>
    </xf>
    <xf numFmtId="0" fontId="4" fillId="0" borderId="31" xfId="0" applyFont="1" applyBorder="1" applyAlignment="1">
      <alignment horizontal="justify" vertical="center" wrapText="1"/>
    </xf>
    <xf numFmtId="0" fontId="4" fillId="0" borderId="6" xfId="0" applyFont="1" applyBorder="1" applyAlignment="1">
      <alignment horizontal="justify" vertical="center" wrapText="1"/>
    </xf>
    <xf numFmtId="0" fontId="4" fillId="0" borderId="26" xfId="0" applyFont="1" applyBorder="1" applyAlignment="1">
      <alignment horizontal="justify" vertical="center" wrapText="1"/>
    </xf>
    <xf numFmtId="0" fontId="4" fillId="0" borderId="32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4" fillId="0" borderId="22" xfId="0" applyFont="1" applyBorder="1" applyAlignment="1">
      <alignment horizontal="justify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justify" vertical="center" wrapText="1"/>
    </xf>
    <xf numFmtId="0" fontId="4" fillId="0" borderId="4" xfId="0" applyFont="1" applyBorder="1" applyAlignment="1">
      <alignment horizontal="justify" vertical="center" wrapText="1"/>
    </xf>
    <xf numFmtId="0" fontId="4" fillId="0" borderId="28" xfId="0" applyFont="1" applyBorder="1" applyAlignment="1">
      <alignment horizontal="justify" vertical="center" wrapText="1"/>
    </xf>
    <xf numFmtId="0" fontId="4" fillId="0" borderId="7" xfId="0" applyFont="1" applyBorder="1" applyAlignment="1">
      <alignment horizontal="justify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4" fontId="6" fillId="0" borderId="8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50</xdr:row>
          <xdr:rowOff>30480</xdr:rowOff>
        </xdr:from>
        <xdr:to>
          <xdr:col>2</xdr:col>
          <xdr:colOff>670560</xdr:colOff>
          <xdr:row>50</xdr:row>
          <xdr:rowOff>160020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51</xdr:row>
          <xdr:rowOff>30480</xdr:rowOff>
        </xdr:from>
        <xdr:to>
          <xdr:col>2</xdr:col>
          <xdr:colOff>670560</xdr:colOff>
          <xdr:row>51</xdr:row>
          <xdr:rowOff>160020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52</xdr:row>
          <xdr:rowOff>30480</xdr:rowOff>
        </xdr:from>
        <xdr:to>
          <xdr:col>2</xdr:col>
          <xdr:colOff>670560</xdr:colOff>
          <xdr:row>52</xdr:row>
          <xdr:rowOff>160020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53</xdr:row>
          <xdr:rowOff>30480</xdr:rowOff>
        </xdr:from>
        <xdr:to>
          <xdr:col>2</xdr:col>
          <xdr:colOff>670560</xdr:colOff>
          <xdr:row>53</xdr:row>
          <xdr:rowOff>160020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54</xdr:row>
          <xdr:rowOff>30480</xdr:rowOff>
        </xdr:from>
        <xdr:to>
          <xdr:col>2</xdr:col>
          <xdr:colOff>670560</xdr:colOff>
          <xdr:row>54</xdr:row>
          <xdr:rowOff>160020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55</xdr:row>
          <xdr:rowOff>30480</xdr:rowOff>
        </xdr:from>
        <xdr:to>
          <xdr:col>2</xdr:col>
          <xdr:colOff>670560</xdr:colOff>
          <xdr:row>55</xdr:row>
          <xdr:rowOff>160020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56</xdr:row>
          <xdr:rowOff>30480</xdr:rowOff>
        </xdr:from>
        <xdr:to>
          <xdr:col>2</xdr:col>
          <xdr:colOff>670560</xdr:colOff>
          <xdr:row>56</xdr:row>
          <xdr:rowOff>160020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57</xdr:row>
          <xdr:rowOff>30480</xdr:rowOff>
        </xdr:from>
        <xdr:to>
          <xdr:col>2</xdr:col>
          <xdr:colOff>670560</xdr:colOff>
          <xdr:row>57</xdr:row>
          <xdr:rowOff>160020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58</xdr:row>
          <xdr:rowOff>30480</xdr:rowOff>
        </xdr:from>
        <xdr:to>
          <xdr:col>2</xdr:col>
          <xdr:colOff>670560</xdr:colOff>
          <xdr:row>58</xdr:row>
          <xdr:rowOff>160020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50</xdr:row>
          <xdr:rowOff>22860</xdr:rowOff>
        </xdr:from>
        <xdr:to>
          <xdr:col>8</xdr:col>
          <xdr:colOff>312420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51</xdr:row>
          <xdr:rowOff>30480</xdr:rowOff>
        </xdr:from>
        <xdr:to>
          <xdr:col>8</xdr:col>
          <xdr:colOff>312420</xdr:colOff>
          <xdr:row>51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52</xdr:row>
          <xdr:rowOff>30480</xdr:rowOff>
        </xdr:from>
        <xdr:to>
          <xdr:col>8</xdr:col>
          <xdr:colOff>312420</xdr:colOff>
          <xdr:row>52</xdr:row>
          <xdr:rowOff>160020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53</xdr:row>
          <xdr:rowOff>30480</xdr:rowOff>
        </xdr:from>
        <xdr:to>
          <xdr:col>8</xdr:col>
          <xdr:colOff>312420</xdr:colOff>
          <xdr:row>53</xdr:row>
          <xdr:rowOff>160020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54</xdr:row>
          <xdr:rowOff>30480</xdr:rowOff>
        </xdr:from>
        <xdr:to>
          <xdr:col>8</xdr:col>
          <xdr:colOff>312420</xdr:colOff>
          <xdr:row>54</xdr:row>
          <xdr:rowOff>160020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55</xdr:row>
          <xdr:rowOff>30480</xdr:rowOff>
        </xdr:from>
        <xdr:to>
          <xdr:col>8</xdr:col>
          <xdr:colOff>312420</xdr:colOff>
          <xdr:row>55</xdr:row>
          <xdr:rowOff>160020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56</xdr:row>
          <xdr:rowOff>30480</xdr:rowOff>
        </xdr:from>
        <xdr:to>
          <xdr:col>8</xdr:col>
          <xdr:colOff>312420</xdr:colOff>
          <xdr:row>56</xdr:row>
          <xdr:rowOff>160020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57</xdr:row>
          <xdr:rowOff>30480</xdr:rowOff>
        </xdr:from>
        <xdr:to>
          <xdr:col>8</xdr:col>
          <xdr:colOff>312420</xdr:colOff>
          <xdr:row>57</xdr:row>
          <xdr:rowOff>160020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58</xdr:row>
          <xdr:rowOff>30480</xdr:rowOff>
        </xdr:from>
        <xdr:to>
          <xdr:col>8</xdr:col>
          <xdr:colOff>312420</xdr:colOff>
          <xdr:row>58</xdr:row>
          <xdr:rowOff>160020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59</xdr:row>
          <xdr:rowOff>30480</xdr:rowOff>
        </xdr:from>
        <xdr:to>
          <xdr:col>8</xdr:col>
          <xdr:colOff>312420</xdr:colOff>
          <xdr:row>59</xdr:row>
          <xdr:rowOff>160020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59</xdr:row>
          <xdr:rowOff>30480</xdr:rowOff>
        </xdr:from>
        <xdr:to>
          <xdr:col>2</xdr:col>
          <xdr:colOff>670560</xdr:colOff>
          <xdr:row>59</xdr:row>
          <xdr:rowOff>160020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66</xdr:row>
          <xdr:rowOff>30480</xdr:rowOff>
        </xdr:from>
        <xdr:to>
          <xdr:col>2</xdr:col>
          <xdr:colOff>670560</xdr:colOff>
          <xdr:row>66</xdr:row>
          <xdr:rowOff>160020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67</xdr:row>
          <xdr:rowOff>30480</xdr:rowOff>
        </xdr:from>
        <xdr:to>
          <xdr:col>2</xdr:col>
          <xdr:colOff>670560</xdr:colOff>
          <xdr:row>67</xdr:row>
          <xdr:rowOff>160020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68</xdr:row>
          <xdr:rowOff>30480</xdr:rowOff>
        </xdr:from>
        <xdr:to>
          <xdr:col>2</xdr:col>
          <xdr:colOff>670560</xdr:colOff>
          <xdr:row>68</xdr:row>
          <xdr:rowOff>160020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69</xdr:row>
          <xdr:rowOff>30480</xdr:rowOff>
        </xdr:from>
        <xdr:to>
          <xdr:col>2</xdr:col>
          <xdr:colOff>670560</xdr:colOff>
          <xdr:row>69</xdr:row>
          <xdr:rowOff>160020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70</xdr:row>
          <xdr:rowOff>30480</xdr:rowOff>
        </xdr:from>
        <xdr:to>
          <xdr:col>2</xdr:col>
          <xdr:colOff>670560</xdr:colOff>
          <xdr:row>70</xdr:row>
          <xdr:rowOff>160020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71</xdr:row>
          <xdr:rowOff>30480</xdr:rowOff>
        </xdr:from>
        <xdr:to>
          <xdr:col>2</xdr:col>
          <xdr:colOff>670560</xdr:colOff>
          <xdr:row>71</xdr:row>
          <xdr:rowOff>160020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72</xdr:row>
          <xdr:rowOff>30480</xdr:rowOff>
        </xdr:from>
        <xdr:to>
          <xdr:col>2</xdr:col>
          <xdr:colOff>670560</xdr:colOff>
          <xdr:row>72</xdr:row>
          <xdr:rowOff>160020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66</xdr:row>
          <xdr:rowOff>22860</xdr:rowOff>
        </xdr:from>
        <xdr:to>
          <xdr:col>8</xdr:col>
          <xdr:colOff>510540</xdr:colOff>
          <xdr:row>66</xdr:row>
          <xdr:rowOff>160020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67</xdr:row>
          <xdr:rowOff>30480</xdr:rowOff>
        </xdr:from>
        <xdr:to>
          <xdr:col>8</xdr:col>
          <xdr:colOff>510540</xdr:colOff>
          <xdr:row>67</xdr:row>
          <xdr:rowOff>167640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68</xdr:row>
          <xdr:rowOff>30480</xdr:rowOff>
        </xdr:from>
        <xdr:to>
          <xdr:col>8</xdr:col>
          <xdr:colOff>312420</xdr:colOff>
          <xdr:row>68</xdr:row>
          <xdr:rowOff>160020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2:I28" totalsRowShown="0" headerRowDxfId="7" headerRowBorderDxfId="6" tableBorderDxfId="5" totalsRowBorderDxfId="4">
  <autoFilter ref="A2:I28"/>
  <tableColumns count="9">
    <tableColumn id="1" name="CARGO" dataDxfId="3"/>
    <tableColumn id="2" name="Proceso" dataDxfId="2"/>
    <tableColumn id="3" name="Tipo de Proceso" dataDxfId="1"/>
    <tableColumn id="4" name="Tipo de Proceso2" dataDxfId="0"/>
    <tableColumn id="6" name="Columna1"/>
    <tableColumn id="7" name="Columna2"/>
    <tableColumn id="10" name="Columna3"/>
    <tableColumn id="5" name="Columna4"/>
    <tableColumn id="8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999"/>
  <sheetViews>
    <sheetView tabSelected="1" view="pageBreakPreview" zoomScale="80" zoomScaleNormal="100" zoomScaleSheetLayoutView="80" workbookViewId="0">
      <selection activeCell="D13" sqref="D13:L13"/>
    </sheetView>
  </sheetViews>
  <sheetFormatPr baseColWidth="10" defaultColWidth="14.44140625" defaultRowHeight="15" customHeight="1"/>
  <cols>
    <col min="1" max="1" width="9.6640625" customWidth="1"/>
    <col min="2" max="2" width="10.6640625" customWidth="1"/>
    <col min="3" max="3" width="9.88671875" customWidth="1"/>
    <col min="4" max="4" width="11.5546875" customWidth="1"/>
    <col min="5" max="5" width="11.21875" customWidth="1"/>
    <col min="6" max="6" width="10.88671875" customWidth="1"/>
    <col min="7" max="7" width="8.6640625" customWidth="1"/>
    <col min="8" max="8" width="16.88671875" customWidth="1"/>
    <col min="9" max="9" width="15.21875" customWidth="1"/>
    <col min="10" max="10" width="12.5546875" customWidth="1"/>
    <col min="11" max="11" width="10.109375" customWidth="1"/>
    <col min="12" max="12" width="9.44140625" customWidth="1"/>
    <col min="13" max="24" width="8.6640625" customWidth="1"/>
  </cols>
  <sheetData>
    <row r="1" spans="1:24" ht="47.4" customHeight="1">
      <c r="A1" s="66" t="s">
        <v>148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>
      <c r="A2" s="77" t="s">
        <v>145</v>
      </c>
      <c r="B2" s="78"/>
      <c r="C2" s="128" t="s">
        <v>141</v>
      </c>
      <c r="D2" s="129"/>
      <c r="E2" s="130"/>
      <c r="F2" s="128" t="s">
        <v>142</v>
      </c>
      <c r="G2" s="129"/>
      <c r="H2" s="130"/>
      <c r="I2" s="128" t="s">
        <v>143</v>
      </c>
      <c r="J2" s="130"/>
      <c r="K2" s="128" t="s">
        <v>144</v>
      </c>
      <c r="L2" s="130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>
      <c r="A3" s="79" t="s">
        <v>140</v>
      </c>
      <c r="B3" s="80"/>
      <c r="C3" s="133">
        <v>43265</v>
      </c>
      <c r="D3" s="134"/>
      <c r="E3" s="132"/>
      <c r="F3" s="133">
        <v>44993</v>
      </c>
      <c r="G3" s="134"/>
      <c r="H3" s="132"/>
      <c r="I3" s="131">
        <v>3</v>
      </c>
      <c r="J3" s="132"/>
      <c r="K3" s="131" t="s">
        <v>146</v>
      </c>
      <c r="L3" s="132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2" customHeight="1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>
      <c r="A5" s="67" t="s">
        <v>3</v>
      </c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2" customHeight="1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>
      <c r="A7" s="42" t="s">
        <v>4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>
      <c r="A8" s="69" t="s">
        <v>6</v>
      </c>
      <c r="B8" s="70"/>
      <c r="C8" s="71"/>
      <c r="D8" s="73"/>
      <c r="E8" s="74"/>
      <c r="F8" s="74"/>
      <c r="G8" s="74"/>
      <c r="H8" s="74"/>
      <c r="I8" s="74"/>
      <c r="J8" s="74"/>
      <c r="K8" s="74"/>
      <c r="L8" s="75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>
      <c r="A9" s="69" t="s">
        <v>149</v>
      </c>
      <c r="B9" s="70"/>
      <c r="C9" s="71"/>
      <c r="D9" s="76" t="e">
        <f>VLOOKUP($D$8,LISTAS!$A$2:$D$28,LISTAS!B$1,0)</f>
        <v>#N/A</v>
      </c>
      <c r="E9" s="74"/>
      <c r="F9" s="74"/>
      <c r="G9" s="74"/>
      <c r="H9" s="74"/>
      <c r="I9" s="74"/>
      <c r="J9" s="74"/>
      <c r="K9" s="74"/>
      <c r="L9" s="75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>
      <c r="A10" s="69" t="s">
        <v>41</v>
      </c>
      <c r="B10" s="70"/>
      <c r="C10" s="71"/>
      <c r="D10" s="76" t="e">
        <f>VLOOKUP($D$8,LISTAS!$A$2:$D$28,LISTAS!C$1,0)</f>
        <v>#N/A</v>
      </c>
      <c r="E10" s="74"/>
      <c r="F10" s="74"/>
      <c r="G10" s="74"/>
      <c r="H10" s="74"/>
      <c r="I10" s="74"/>
      <c r="J10" s="74"/>
      <c r="K10" s="74"/>
      <c r="L10" s="7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>
      <c r="A11" s="69" t="s">
        <v>5</v>
      </c>
      <c r="B11" s="70"/>
      <c r="C11" s="71"/>
      <c r="D11" s="76" t="e">
        <f>VLOOKUP($D$8,LISTAS!$A$2:$D$28,LISTAS!D$1,0)</f>
        <v>#N/A</v>
      </c>
      <c r="E11" s="74"/>
      <c r="F11" s="74"/>
      <c r="G11" s="74"/>
      <c r="H11" s="74"/>
      <c r="I11" s="74"/>
      <c r="J11" s="74"/>
      <c r="K11" s="74"/>
      <c r="L11" s="7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>
      <c r="A12" s="69" t="s">
        <v>53</v>
      </c>
      <c r="B12" s="70"/>
      <c r="C12" s="71"/>
      <c r="D12" s="72"/>
      <c r="E12" s="72"/>
      <c r="F12" s="72"/>
      <c r="G12" s="72"/>
      <c r="H12" s="72"/>
      <c r="I12" s="72"/>
      <c r="J12" s="72"/>
      <c r="K12" s="72"/>
      <c r="L12" s="7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>
      <c r="A13" s="69" t="s">
        <v>7</v>
      </c>
      <c r="B13" s="70"/>
      <c r="C13" s="70"/>
      <c r="D13" s="72" t="s">
        <v>2</v>
      </c>
      <c r="E13" s="72"/>
      <c r="F13" s="72"/>
      <c r="G13" s="72"/>
      <c r="H13" s="72"/>
      <c r="I13" s="72"/>
      <c r="J13" s="72"/>
      <c r="K13" s="72"/>
      <c r="L13" s="7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2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>
      <c r="A15" s="42" t="s">
        <v>54</v>
      </c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2" customHeight="1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" customHeight="1">
      <c r="A17" s="81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4.4">
      <c r="A19" s="42" t="s">
        <v>60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61.8" customHeight="1">
      <c r="A21" s="43" t="s">
        <v>61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2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ht="14.4">
      <c r="A23" s="44" t="s">
        <v>62</v>
      </c>
      <c r="B23" s="45"/>
      <c r="C23" s="45"/>
      <c r="D23" s="46"/>
      <c r="E23" s="44" t="s">
        <v>63</v>
      </c>
      <c r="F23" s="45"/>
      <c r="G23" s="45"/>
      <c r="H23" s="46"/>
      <c r="I23" s="44" t="s">
        <v>64</v>
      </c>
      <c r="J23" s="45"/>
      <c r="K23" s="45"/>
      <c r="L23" s="47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36.6" customHeight="1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>
      <c r="A25" s="90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ht="14.4">
      <c r="A26" s="42" t="s">
        <v>72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" customHeight="1">
      <c r="A28" s="48" t="s">
        <v>73</v>
      </c>
      <c r="B28" s="48"/>
      <c r="C28" s="48"/>
      <c r="D28" s="22"/>
      <c r="E28" s="44" t="s">
        <v>75</v>
      </c>
      <c r="F28" s="45"/>
      <c r="G28" s="45"/>
      <c r="H28" s="46"/>
      <c r="J28" s="48" t="s">
        <v>74</v>
      </c>
      <c r="K28" s="48"/>
      <c r="L28" s="48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30" customHeight="1">
      <c r="A29" s="94"/>
      <c r="B29" s="94"/>
      <c r="C29" s="94"/>
      <c r="D29" s="21"/>
      <c r="E29" s="51"/>
      <c r="F29" s="51"/>
      <c r="G29" s="51"/>
      <c r="H29" s="51"/>
      <c r="J29" s="49"/>
      <c r="K29" s="50"/>
      <c r="L29" s="96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8" customHeight="1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>
      <c r="A31" s="48" t="s">
        <v>71</v>
      </c>
      <c r="B31" s="48"/>
      <c r="C31" s="48"/>
      <c r="E31" s="44" t="s">
        <v>76</v>
      </c>
      <c r="F31" s="45"/>
      <c r="G31" s="48" t="s">
        <v>77</v>
      </c>
      <c r="H31" s="48"/>
      <c r="J31" s="9" t="s">
        <v>150</v>
      </c>
      <c r="K31" s="48" t="s">
        <v>87</v>
      </c>
      <c r="L31" s="48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ht="14.4">
      <c r="A32" s="94"/>
      <c r="B32" s="94"/>
      <c r="C32" s="94"/>
      <c r="E32" s="49" t="s">
        <v>2</v>
      </c>
      <c r="F32" s="50"/>
      <c r="G32" s="51"/>
      <c r="H32" s="51"/>
      <c r="J32" s="23" t="s">
        <v>2</v>
      </c>
      <c r="K32" s="51"/>
      <c r="L32" s="5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8" customHeight="1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ht="14.4">
      <c r="A34" s="42" t="s">
        <v>89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ht="14.4">
      <c r="A36" s="48" t="s">
        <v>94</v>
      </c>
      <c r="B36" s="48"/>
      <c r="C36" s="48"/>
      <c r="D36" s="48"/>
      <c r="E36" s="48"/>
      <c r="F36" s="48"/>
      <c r="G36" s="48" t="s">
        <v>91</v>
      </c>
      <c r="H36" s="48"/>
      <c r="I36" s="48"/>
      <c r="J36" s="48"/>
      <c r="K36" s="48"/>
      <c r="L36" s="48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8" customHeight="1">
      <c r="A38" s="53" t="str">
        <f>IF($D$13="SI",LISTAS!B32,"NO APLICA")</f>
        <v>NO APLICA</v>
      </c>
      <c r="B38" s="53"/>
      <c r="C38" s="53"/>
      <c r="D38" s="53"/>
      <c r="E38" s="53"/>
      <c r="F38" s="53"/>
      <c r="G38" s="53" t="str">
        <f>IF($D$13="SI",LISTAS!C32,"NO APLICA")</f>
        <v>NO APLICA</v>
      </c>
      <c r="H38" s="53"/>
      <c r="I38" s="53"/>
      <c r="J38" s="53"/>
      <c r="K38" s="53"/>
      <c r="L38" s="53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ht="14.4">
      <c r="A40" s="42" t="s">
        <v>65</v>
      </c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" customHeight="1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ht="14.4">
      <c r="A42" s="44" t="s">
        <v>66</v>
      </c>
      <c r="B42" s="45"/>
      <c r="C42" s="47"/>
      <c r="D42" s="44" t="s">
        <v>67</v>
      </c>
      <c r="E42" s="45"/>
      <c r="F42" s="47"/>
      <c r="G42" s="44" t="s">
        <v>68</v>
      </c>
      <c r="H42" s="45"/>
      <c r="I42" s="47"/>
      <c r="J42" s="44" t="s">
        <v>69</v>
      </c>
      <c r="K42" s="45"/>
      <c r="L42" s="47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14.4">
      <c r="A43" s="84" t="s">
        <v>151</v>
      </c>
      <c r="B43" s="84"/>
      <c r="C43" s="84"/>
      <c r="D43" s="84"/>
      <c r="E43" s="84"/>
      <c r="F43" s="84"/>
      <c r="G43" s="85"/>
      <c r="H43" s="85"/>
      <c r="I43" s="85"/>
      <c r="J43" s="86"/>
      <c r="K43" s="86"/>
      <c r="L43" s="8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14.4">
      <c r="A44" s="84" t="s">
        <v>70</v>
      </c>
      <c r="B44" s="84"/>
      <c r="C44" s="84"/>
      <c r="D44" s="84"/>
      <c r="E44" s="84"/>
      <c r="F44" s="84"/>
      <c r="G44" s="85"/>
      <c r="H44" s="85"/>
      <c r="I44" s="85"/>
      <c r="J44" s="86"/>
      <c r="K44" s="86"/>
      <c r="L44" s="8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>
      <c r="A47" s="42" t="s">
        <v>55</v>
      </c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>
      <c r="A49" s="88" t="s">
        <v>56</v>
      </c>
      <c r="B49" s="88"/>
      <c r="C49" s="88"/>
      <c r="D49" s="88"/>
      <c r="E49" s="88"/>
      <c r="F49" s="88"/>
      <c r="G49" s="88" t="s">
        <v>57</v>
      </c>
      <c r="H49" s="88"/>
      <c r="I49" s="88"/>
      <c r="J49" s="88"/>
      <c r="K49" s="88"/>
      <c r="L49" s="88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>
      <c r="A50" s="61"/>
      <c r="B50" s="61"/>
      <c r="C50" s="61"/>
      <c r="D50" s="61"/>
      <c r="E50" s="61"/>
      <c r="F50" s="61"/>
      <c r="G50" s="62"/>
      <c r="H50" s="62"/>
      <c r="I50" s="62"/>
      <c r="J50" s="62"/>
      <c r="K50" s="62"/>
      <c r="L50" s="6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2" customHeight="1">
      <c r="A51" s="63"/>
      <c r="B51" s="63"/>
      <c r="C51" s="63"/>
      <c r="D51" s="63"/>
      <c r="E51" s="63"/>
      <c r="F51" s="63"/>
      <c r="G51" s="65"/>
      <c r="H51" s="65"/>
      <c r="I51" s="65"/>
      <c r="J51" s="65"/>
      <c r="K51" s="65"/>
      <c r="L51" s="65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2" customHeight="1">
      <c r="A52" s="63"/>
      <c r="B52" s="63"/>
      <c r="C52" s="63"/>
      <c r="D52" s="63"/>
      <c r="E52" s="63"/>
      <c r="F52" s="63"/>
      <c r="G52" s="65"/>
      <c r="H52" s="65"/>
      <c r="I52" s="65"/>
      <c r="J52" s="65"/>
      <c r="K52" s="65"/>
      <c r="L52" s="65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2" customHeight="1">
      <c r="A53" s="63"/>
      <c r="B53" s="63"/>
      <c r="C53" s="63"/>
      <c r="D53" s="63"/>
      <c r="E53" s="63"/>
      <c r="F53" s="63"/>
      <c r="G53" s="65"/>
      <c r="H53" s="65"/>
      <c r="I53" s="65"/>
      <c r="J53" s="65"/>
      <c r="K53" s="65"/>
      <c r="L53" s="65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2" customHeight="1">
      <c r="A54" s="63"/>
      <c r="B54" s="63"/>
      <c r="C54" s="63"/>
      <c r="D54" s="63"/>
      <c r="E54" s="63"/>
      <c r="F54" s="63"/>
      <c r="G54" s="65"/>
      <c r="H54" s="65"/>
      <c r="I54" s="65"/>
      <c r="J54" s="65"/>
      <c r="K54" s="65"/>
      <c r="L54" s="65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2" customHeight="1">
      <c r="A55" s="63"/>
      <c r="B55" s="63"/>
      <c r="C55" s="63"/>
      <c r="D55" s="63"/>
      <c r="E55" s="63"/>
      <c r="F55" s="63"/>
      <c r="G55" s="65"/>
      <c r="H55" s="65"/>
      <c r="I55" s="65"/>
      <c r="J55" s="65"/>
      <c r="K55" s="65"/>
      <c r="L55" s="65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2" customHeight="1">
      <c r="A56" s="63"/>
      <c r="B56" s="63"/>
      <c r="C56" s="63"/>
      <c r="D56" s="63"/>
      <c r="E56" s="63"/>
      <c r="F56" s="63"/>
      <c r="G56" s="65"/>
      <c r="H56" s="65"/>
      <c r="I56" s="65"/>
      <c r="J56" s="65"/>
      <c r="K56" s="65"/>
      <c r="L56" s="65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2" customHeight="1">
      <c r="A57" s="63"/>
      <c r="B57" s="63"/>
      <c r="C57" s="63"/>
      <c r="D57" s="63"/>
      <c r="E57" s="63"/>
      <c r="F57" s="63"/>
      <c r="G57" s="65"/>
      <c r="H57" s="65"/>
      <c r="I57" s="65"/>
      <c r="J57" s="65"/>
      <c r="K57" s="65"/>
      <c r="L57" s="65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2" customHeight="1">
      <c r="A58" s="63"/>
      <c r="B58" s="63"/>
      <c r="C58" s="63"/>
      <c r="D58" s="63"/>
      <c r="E58" s="63"/>
      <c r="F58" s="63"/>
      <c r="G58" s="65"/>
      <c r="H58" s="65"/>
      <c r="I58" s="65"/>
      <c r="J58" s="65"/>
      <c r="K58" s="65"/>
      <c r="L58" s="65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2" customHeight="1">
      <c r="A59" s="63"/>
      <c r="B59" s="63"/>
      <c r="C59" s="63"/>
      <c r="D59" s="63"/>
      <c r="E59" s="63"/>
      <c r="F59" s="63"/>
      <c r="G59" s="65"/>
      <c r="H59" s="65"/>
      <c r="I59" s="65"/>
      <c r="J59" s="65"/>
      <c r="K59" s="65"/>
      <c r="L59" s="65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2" customHeight="1">
      <c r="A60" s="63"/>
      <c r="B60" s="63"/>
      <c r="C60" s="63"/>
      <c r="D60" s="63"/>
      <c r="E60" s="63"/>
      <c r="F60" s="63"/>
      <c r="G60" s="65"/>
      <c r="H60" s="65"/>
      <c r="I60" s="65"/>
      <c r="J60" s="65"/>
      <c r="K60" s="65"/>
      <c r="L60" s="65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2" customHeight="1">
      <c r="A61" s="97"/>
      <c r="B61" s="97"/>
      <c r="C61" s="97"/>
      <c r="D61" s="97"/>
      <c r="E61" s="97"/>
      <c r="F61" s="97"/>
      <c r="G61" s="98"/>
      <c r="H61" s="98"/>
      <c r="I61" s="98"/>
      <c r="J61" s="98"/>
      <c r="K61" s="98"/>
      <c r="L61" s="98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8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>
      <c r="A63" s="42" t="s">
        <v>88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" customHeight="1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>
      <c r="A65" s="88" t="s">
        <v>58</v>
      </c>
      <c r="B65" s="88"/>
      <c r="C65" s="88"/>
      <c r="D65" s="88"/>
      <c r="E65" s="88"/>
      <c r="F65" s="88"/>
      <c r="G65" s="88" t="s">
        <v>59</v>
      </c>
      <c r="H65" s="88"/>
      <c r="I65" s="88"/>
      <c r="J65" s="88"/>
      <c r="K65" s="88"/>
      <c r="L65" s="88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>
      <c r="A66" s="61"/>
      <c r="B66" s="61"/>
      <c r="C66" s="61"/>
      <c r="D66" s="61"/>
      <c r="E66" s="61"/>
      <c r="F66" s="61"/>
      <c r="G66" s="62"/>
      <c r="H66" s="62"/>
      <c r="I66" s="62"/>
      <c r="J66" s="62"/>
      <c r="K66" s="62"/>
      <c r="L66" s="62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>
      <c r="A67" s="63"/>
      <c r="B67" s="63"/>
      <c r="C67" s="63"/>
      <c r="D67" s="63"/>
      <c r="E67" s="63"/>
      <c r="F67" s="63"/>
      <c r="G67" s="64"/>
      <c r="H67" s="64"/>
      <c r="I67" s="64"/>
      <c r="J67" s="64"/>
      <c r="K67" s="64"/>
      <c r="L67" s="6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>
      <c r="A68" s="63"/>
      <c r="B68" s="63"/>
      <c r="C68" s="63"/>
      <c r="D68" s="63"/>
      <c r="E68" s="63"/>
      <c r="F68" s="63"/>
      <c r="G68" s="65"/>
      <c r="H68" s="65"/>
      <c r="I68" s="65"/>
      <c r="J68" s="65"/>
      <c r="K68" s="65"/>
      <c r="L68" s="65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>
      <c r="A69" s="63"/>
      <c r="B69" s="63"/>
      <c r="C69" s="63"/>
      <c r="D69" s="63"/>
      <c r="E69" s="63"/>
      <c r="F69" s="63"/>
      <c r="G69" s="65"/>
      <c r="H69" s="65"/>
      <c r="I69" s="65"/>
      <c r="J69" s="65"/>
      <c r="K69" s="65"/>
      <c r="L69" s="65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>
      <c r="A70" s="63"/>
      <c r="B70" s="63"/>
      <c r="C70" s="63"/>
      <c r="D70" s="63"/>
      <c r="E70" s="63"/>
      <c r="F70" s="63"/>
      <c r="G70" s="65"/>
      <c r="H70" s="65"/>
      <c r="I70" s="65"/>
      <c r="J70" s="65"/>
      <c r="K70" s="65"/>
      <c r="L70" s="65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>
      <c r="A71" s="63"/>
      <c r="B71" s="63"/>
      <c r="C71" s="63"/>
      <c r="D71" s="63"/>
      <c r="E71" s="63"/>
      <c r="F71" s="63"/>
      <c r="G71" s="65"/>
      <c r="H71" s="65"/>
      <c r="I71" s="65"/>
      <c r="J71" s="65"/>
      <c r="K71" s="65"/>
      <c r="L71" s="65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>
      <c r="A72" s="63"/>
      <c r="B72" s="63"/>
      <c r="C72" s="63"/>
      <c r="D72" s="63"/>
      <c r="E72" s="63"/>
      <c r="F72" s="63"/>
      <c r="G72" s="65"/>
      <c r="H72" s="65"/>
      <c r="I72" s="65"/>
      <c r="J72" s="65"/>
      <c r="K72" s="65"/>
      <c r="L72" s="65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>
      <c r="A73" s="63"/>
      <c r="B73" s="63"/>
      <c r="C73" s="63"/>
      <c r="D73" s="63"/>
      <c r="E73" s="63"/>
      <c r="F73" s="63"/>
      <c r="G73" s="65"/>
      <c r="H73" s="65"/>
      <c r="I73" s="65"/>
      <c r="J73" s="65"/>
      <c r="K73" s="65"/>
      <c r="L73" s="65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>
      <c r="A75" s="54" t="s">
        <v>131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6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" customHeight="1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>
      <c r="A77" s="57" t="s">
        <v>147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9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" customHeight="1">
      <c r="A78" s="99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100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" customHeight="1">
      <c r="A79" s="102" t="s">
        <v>1</v>
      </c>
      <c r="B79" s="102"/>
      <c r="C79" s="102"/>
      <c r="D79" s="102" t="s">
        <v>128</v>
      </c>
      <c r="E79" s="102"/>
      <c r="F79" s="102"/>
      <c r="G79" s="102"/>
      <c r="H79" s="102" t="s">
        <v>129</v>
      </c>
      <c r="I79" s="102"/>
      <c r="J79" s="102"/>
      <c r="K79" s="103" t="s">
        <v>130</v>
      </c>
      <c r="L79" s="104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>
      <c r="A80" s="101"/>
      <c r="B80" s="101"/>
      <c r="C80" s="101"/>
      <c r="D80" s="101"/>
      <c r="E80" s="101"/>
      <c r="F80" s="101"/>
      <c r="G80" s="36"/>
      <c r="I80" s="35"/>
      <c r="J80" s="35"/>
      <c r="K80" s="107"/>
      <c r="L80" s="107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" customHeight="1">
      <c r="A81" s="91"/>
      <c r="B81" s="91"/>
      <c r="C81" s="135"/>
      <c r="D81" s="111" t="e">
        <f>VLOOKUP(A81,LISTAS!$A$42:$C$54,LISTAS!$B$41,0)</f>
        <v>#N/A</v>
      </c>
      <c r="E81" s="112"/>
      <c r="F81" s="112"/>
      <c r="G81" s="113"/>
      <c r="H81" s="117" t="e">
        <f>VLOOKUP(A81,LISTAS!$A$42:$C$54,LISTAS!$C$41,0)</f>
        <v>#N/A</v>
      </c>
      <c r="I81" s="118"/>
      <c r="J81" s="119"/>
      <c r="K81" s="105"/>
      <c r="L81" s="106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>
      <c r="A82" s="136"/>
      <c r="B82" s="136"/>
      <c r="C82" s="137"/>
      <c r="D82" s="114"/>
      <c r="E82" s="115"/>
      <c r="F82" s="115"/>
      <c r="G82" s="116"/>
      <c r="H82" s="120"/>
      <c r="I82" s="121"/>
      <c r="J82" s="122"/>
      <c r="K82" s="108"/>
      <c r="L82" s="109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>
      <c r="A83" s="105"/>
      <c r="B83" s="138"/>
      <c r="C83" s="139"/>
      <c r="D83" s="111" t="e">
        <f>VLOOKUP(A83,LISTAS!$A$42:$C$54,LISTAS!$B$41,0)</f>
        <v>#N/A</v>
      </c>
      <c r="E83" s="112"/>
      <c r="F83" s="112"/>
      <c r="G83" s="113"/>
      <c r="H83" s="117" t="e">
        <f>VLOOKUP(A83,LISTAS!$A$42:$C$54,LISTAS!$C$41,0)</f>
        <v>#N/A</v>
      </c>
      <c r="I83" s="118"/>
      <c r="J83" s="119"/>
      <c r="K83" s="105"/>
      <c r="L83" s="106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200000000000003" customHeight="1">
      <c r="A84" s="140"/>
      <c r="B84" s="136"/>
      <c r="C84" s="137"/>
      <c r="D84" s="114"/>
      <c r="E84" s="115"/>
      <c r="F84" s="115"/>
      <c r="G84" s="116"/>
      <c r="H84" s="120"/>
      <c r="I84" s="121"/>
      <c r="J84" s="122"/>
      <c r="K84" s="108"/>
      <c r="L84" s="109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>
      <c r="A85" s="105"/>
      <c r="B85" s="138"/>
      <c r="C85" s="139"/>
      <c r="D85" s="111" t="e">
        <f>VLOOKUP(A85,LISTAS!$A$42:$C$54,LISTAS!$B$41,0)</f>
        <v>#N/A</v>
      </c>
      <c r="E85" s="112"/>
      <c r="F85" s="112"/>
      <c r="G85" s="113"/>
      <c r="H85" s="117" t="e">
        <f>VLOOKUP(A85,LISTAS!$A$42:$C$54,LISTAS!$C$41,0)</f>
        <v>#N/A</v>
      </c>
      <c r="I85" s="118"/>
      <c r="J85" s="119"/>
      <c r="K85" s="105"/>
      <c r="L85" s="106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2" customHeight="1">
      <c r="A86" s="140"/>
      <c r="B86" s="136"/>
      <c r="C86" s="137"/>
      <c r="D86" s="114"/>
      <c r="E86" s="115"/>
      <c r="F86" s="115"/>
      <c r="G86" s="116"/>
      <c r="H86" s="120"/>
      <c r="I86" s="121"/>
      <c r="J86" s="122"/>
      <c r="K86" s="105"/>
      <c r="L86" s="106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>
      <c r="A87" s="105"/>
      <c r="B87" s="138"/>
      <c r="C87" s="139"/>
      <c r="D87" s="111" t="e">
        <f>VLOOKUP(A87,LISTAS!$A$42:$C$54,LISTAS!$B$41,0)</f>
        <v>#N/A</v>
      </c>
      <c r="E87" s="112"/>
      <c r="F87" s="112"/>
      <c r="G87" s="113"/>
      <c r="H87" s="117" t="e">
        <f>VLOOKUP(A87,LISTAS!$A$42:$C$54,LISTAS!$C$41,0)</f>
        <v>#N/A</v>
      </c>
      <c r="I87" s="118"/>
      <c r="J87" s="119"/>
      <c r="K87" s="105"/>
      <c r="L87" s="106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>
      <c r="A88" s="140"/>
      <c r="B88" s="136"/>
      <c r="C88" s="137"/>
      <c r="D88" s="114"/>
      <c r="E88" s="115"/>
      <c r="F88" s="115"/>
      <c r="G88" s="116"/>
      <c r="H88" s="120"/>
      <c r="I88" s="121"/>
      <c r="J88" s="122"/>
      <c r="K88" s="105"/>
      <c r="L88" s="106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8" customHeight="1">
      <c r="A89" s="105"/>
      <c r="B89" s="138"/>
      <c r="C89" s="139"/>
      <c r="D89" s="111" t="e">
        <f>VLOOKUP(A89,LISTAS!$A$42:$C$54,LISTAS!$B$41,0)</f>
        <v>#N/A</v>
      </c>
      <c r="E89" s="112"/>
      <c r="F89" s="112"/>
      <c r="G89" s="113"/>
      <c r="H89" s="117" t="e">
        <f>VLOOKUP(A89,LISTAS!$A$42:$C$54,LISTAS!$C$41,0)</f>
        <v>#N/A</v>
      </c>
      <c r="I89" s="118"/>
      <c r="J89" s="119"/>
      <c r="K89" s="105"/>
      <c r="L89" s="106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" customHeight="1">
      <c r="A90" s="140"/>
      <c r="B90" s="136"/>
      <c r="C90" s="137"/>
      <c r="D90" s="114"/>
      <c r="E90" s="115"/>
      <c r="F90" s="115"/>
      <c r="G90" s="116"/>
      <c r="H90" s="120"/>
      <c r="I90" s="121"/>
      <c r="J90" s="122"/>
      <c r="K90" s="105"/>
      <c r="L90" s="106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" customHeight="1">
      <c r="A91" s="105"/>
      <c r="B91" s="138"/>
      <c r="C91" s="139"/>
      <c r="D91" s="111" t="e">
        <f>VLOOKUP(A91,LISTAS!$A$42:$C$54,LISTAS!$B$41,0)</f>
        <v>#N/A</v>
      </c>
      <c r="E91" s="112"/>
      <c r="F91" s="112"/>
      <c r="G91" s="113"/>
      <c r="H91" s="117" t="e">
        <f>VLOOKUP(A91,LISTAS!$A$42:$C$54,LISTAS!$C$41,0)</f>
        <v>#N/A</v>
      </c>
      <c r="I91" s="118"/>
      <c r="J91" s="119"/>
      <c r="K91" s="110"/>
      <c r="L91" s="110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" customHeight="1">
      <c r="A92" s="140"/>
      <c r="B92" s="136"/>
      <c r="C92" s="137"/>
      <c r="D92" s="114"/>
      <c r="E92" s="115"/>
      <c r="F92" s="115"/>
      <c r="G92" s="116"/>
      <c r="H92" s="120"/>
      <c r="I92" s="121"/>
      <c r="J92" s="122"/>
      <c r="K92" s="110"/>
      <c r="L92" s="110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>
      <c r="A93" s="105"/>
      <c r="B93" s="138"/>
      <c r="C93" s="139"/>
      <c r="D93" s="111" t="e">
        <f>VLOOKUP(A93,LISTAS!$A$42:$C$54,LISTAS!$B$41,0)</f>
        <v>#N/A</v>
      </c>
      <c r="E93" s="112"/>
      <c r="F93" s="112"/>
      <c r="G93" s="113"/>
      <c r="H93" s="117" t="e">
        <f>VLOOKUP(A93,LISTAS!$A$42:$C$54,LISTAS!$C$41,0)</f>
        <v>#N/A</v>
      </c>
      <c r="I93" s="118"/>
      <c r="J93" s="119"/>
      <c r="K93" s="110"/>
      <c r="L93" s="110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>
      <c r="A94" s="140"/>
      <c r="B94" s="136"/>
      <c r="C94" s="137"/>
      <c r="D94" s="114"/>
      <c r="E94" s="115"/>
      <c r="F94" s="115"/>
      <c r="G94" s="116"/>
      <c r="H94" s="120"/>
      <c r="I94" s="121"/>
      <c r="J94" s="122"/>
      <c r="K94" s="110"/>
      <c r="L94" s="110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" customHeight="1">
      <c r="A95" s="105"/>
      <c r="B95" s="138"/>
      <c r="C95" s="139"/>
      <c r="D95" s="111" t="e">
        <f>VLOOKUP(A95,LISTAS!$A$42:$C$54,LISTAS!$B$41,0)</f>
        <v>#N/A</v>
      </c>
      <c r="E95" s="112"/>
      <c r="F95" s="112"/>
      <c r="G95" s="113"/>
      <c r="H95" s="117" t="e">
        <f>VLOOKUP(A95,LISTAS!$A$42:$C$54,LISTAS!$C$41,0)</f>
        <v>#N/A</v>
      </c>
      <c r="I95" s="118"/>
      <c r="J95" s="119"/>
      <c r="K95" s="110"/>
      <c r="L95" s="110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8" customHeight="1">
      <c r="A96" s="140"/>
      <c r="B96" s="136"/>
      <c r="C96" s="137"/>
      <c r="D96" s="114"/>
      <c r="E96" s="115"/>
      <c r="F96" s="115"/>
      <c r="G96" s="116"/>
      <c r="H96" s="120"/>
      <c r="I96" s="121"/>
      <c r="J96" s="122"/>
      <c r="K96" s="110"/>
      <c r="L96" s="110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" customHeight="1">
      <c r="A97" s="105"/>
      <c r="B97" s="138"/>
      <c r="C97" s="139"/>
      <c r="D97" s="111" t="e">
        <f>VLOOKUP(A97,LISTAS!$A$42:$C$54,LISTAS!$B$41,0)</f>
        <v>#N/A</v>
      </c>
      <c r="E97" s="112"/>
      <c r="F97" s="112"/>
      <c r="G97" s="113"/>
      <c r="H97" s="117" t="e">
        <f>VLOOKUP(A97,LISTAS!$A$42:$C$54,LISTAS!$C$41,0)</f>
        <v>#N/A</v>
      </c>
      <c r="I97" s="118"/>
      <c r="J97" s="119"/>
      <c r="K97" s="110"/>
      <c r="L97" s="110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2" customHeight="1">
      <c r="A98" s="140"/>
      <c r="B98" s="136"/>
      <c r="C98" s="137"/>
      <c r="D98" s="114"/>
      <c r="E98" s="115"/>
      <c r="F98" s="115"/>
      <c r="G98" s="116"/>
      <c r="H98" s="120"/>
      <c r="I98" s="121"/>
      <c r="J98" s="122"/>
      <c r="K98" s="110"/>
      <c r="L98" s="110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>
      <c r="A99" s="105"/>
      <c r="B99" s="138"/>
      <c r="C99" s="139"/>
      <c r="D99" s="111" t="e">
        <f>VLOOKUP(A99,LISTAS!$A$42:$C$54,LISTAS!$B$41,0)</f>
        <v>#N/A</v>
      </c>
      <c r="E99" s="112"/>
      <c r="F99" s="112"/>
      <c r="G99" s="113"/>
      <c r="H99" s="117" t="e">
        <f>VLOOKUP(A99,LISTAS!$A$42:$C$54,LISTAS!$C$41,0)</f>
        <v>#N/A</v>
      </c>
      <c r="I99" s="118"/>
      <c r="J99" s="119"/>
      <c r="K99" s="110"/>
      <c r="L99" s="110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>
      <c r="A100" s="140"/>
      <c r="B100" s="136"/>
      <c r="C100" s="137"/>
      <c r="D100" s="114"/>
      <c r="E100" s="115"/>
      <c r="F100" s="115"/>
      <c r="G100" s="116"/>
      <c r="H100" s="120"/>
      <c r="I100" s="121"/>
      <c r="J100" s="122"/>
      <c r="K100" s="110"/>
      <c r="L100" s="110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" customHeight="1">
      <c r="A101" s="105"/>
      <c r="B101" s="138"/>
      <c r="C101" s="139"/>
      <c r="D101" s="111" t="e">
        <f>VLOOKUP(A101,LISTAS!$A$42:$C$54,LISTAS!$B$41,0)</f>
        <v>#N/A</v>
      </c>
      <c r="E101" s="112"/>
      <c r="F101" s="112"/>
      <c r="G101" s="113"/>
      <c r="H101" s="117" t="e">
        <f>VLOOKUP(A101,LISTAS!$A$42:$C$54,LISTAS!$C$41,0)</f>
        <v>#N/A</v>
      </c>
      <c r="I101" s="118"/>
      <c r="J101" s="119"/>
      <c r="K101" s="110"/>
      <c r="L101" s="110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" customHeight="1">
      <c r="A102" s="141"/>
      <c r="B102" s="142"/>
      <c r="C102" s="143"/>
      <c r="D102" s="114"/>
      <c r="E102" s="115"/>
      <c r="F102" s="115"/>
      <c r="G102" s="116"/>
      <c r="H102" s="124"/>
      <c r="I102" s="125"/>
      <c r="J102" s="126"/>
      <c r="K102" s="123"/>
      <c r="L102" s="123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>
      <c r="A103" s="110"/>
      <c r="B103" s="110"/>
      <c r="C103" s="110"/>
      <c r="D103" s="111" t="e">
        <f>VLOOKUP(A103,LISTAS!$A$42:$C$54,LISTAS!$B$41,0)</f>
        <v>#N/A</v>
      </c>
      <c r="E103" s="112"/>
      <c r="F103" s="112"/>
      <c r="G103" s="113"/>
      <c r="H103" s="127" t="e">
        <f>VLOOKUP(A103,LISTAS!$A$42:$C$54,LISTAS!$C$41,0)</f>
        <v>#N/A</v>
      </c>
      <c r="I103" s="127"/>
      <c r="J103" s="127"/>
      <c r="K103" s="110"/>
      <c r="L103" s="110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2" customHeight="1">
      <c r="A104" s="110"/>
      <c r="B104" s="110"/>
      <c r="C104" s="110"/>
      <c r="D104" s="114"/>
      <c r="E104" s="115"/>
      <c r="F104" s="115"/>
      <c r="G104" s="116"/>
      <c r="H104" s="127"/>
      <c r="I104" s="127"/>
      <c r="J104" s="127"/>
      <c r="K104" s="110"/>
      <c r="L104" s="110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3:F53"/>
    <mergeCell ref="G53:L53"/>
    <mergeCell ref="A54:F54"/>
    <mergeCell ref="G54:L54"/>
    <mergeCell ref="A55:F55"/>
    <mergeCell ref="G55:L55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40:L40"/>
    <mergeCell ref="A21:L21"/>
    <mergeCell ref="A23:D23"/>
    <mergeCell ref="E23:H23"/>
    <mergeCell ref="I23:L23"/>
    <mergeCell ref="E31:F31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38:F38"/>
  </mergeCells>
  <dataValidations count="3">
    <dataValidation type="list" allowBlank="1" showInputMessage="1" showErrorMessage="1" sqref="D12:L13 J32 E32">
      <formula1>"SI,NO"</formula1>
    </dataValidation>
    <dataValidation type="list" allowBlank="1" showInputMessage="1" showErrorMessage="1" sqref="A32">
      <formula1>"Frecuentemente,Ocasionalmente,No Requiere"</formula1>
    </dataValidation>
    <dataValidation type="list" allowBlank="1" showInputMessage="1" showErrorMessage="1" sqref="K32:L32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30480</xdr:colOff>
                    <xdr:row>50</xdr:row>
                    <xdr:rowOff>30480</xdr:rowOff>
                  </from>
                  <to>
                    <xdr:col>2</xdr:col>
                    <xdr:colOff>670560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30480</xdr:colOff>
                    <xdr:row>51</xdr:row>
                    <xdr:rowOff>30480</xdr:rowOff>
                  </from>
                  <to>
                    <xdr:col>2</xdr:col>
                    <xdr:colOff>670560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30480</xdr:colOff>
                    <xdr:row>52</xdr:row>
                    <xdr:rowOff>30480</xdr:rowOff>
                  </from>
                  <to>
                    <xdr:col>2</xdr:col>
                    <xdr:colOff>670560</xdr:colOff>
                    <xdr:row>52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30480</xdr:colOff>
                    <xdr:row>53</xdr:row>
                    <xdr:rowOff>30480</xdr:rowOff>
                  </from>
                  <to>
                    <xdr:col>2</xdr:col>
                    <xdr:colOff>670560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30480</xdr:colOff>
                    <xdr:row>54</xdr:row>
                    <xdr:rowOff>30480</xdr:rowOff>
                  </from>
                  <to>
                    <xdr:col>2</xdr:col>
                    <xdr:colOff>670560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30480</xdr:colOff>
                    <xdr:row>55</xdr:row>
                    <xdr:rowOff>30480</xdr:rowOff>
                  </from>
                  <to>
                    <xdr:col>2</xdr:col>
                    <xdr:colOff>670560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30480</xdr:colOff>
                    <xdr:row>56</xdr:row>
                    <xdr:rowOff>30480</xdr:rowOff>
                  </from>
                  <to>
                    <xdr:col>2</xdr:col>
                    <xdr:colOff>670560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30480</xdr:colOff>
                    <xdr:row>57</xdr:row>
                    <xdr:rowOff>30480</xdr:rowOff>
                  </from>
                  <to>
                    <xdr:col>2</xdr:col>
                    <xdr:colOff>670560</xdr:colOff>
                    <xdr:row>57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30480</xdr:colOff>
                    <xdr:row>58</xdr:row>
                    <xdr:rowOff>30480</xdr:rowOff>
                  </from>
                  <to>
                    <xdr:col>2</xdr:col>
                    <xdr:colOff>670560</xdr:colOff>
                    <xdr:row>58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30480</xdr:colOff>
                    <xdr:row>50</xdr:row>
                    <xdr:rowOff>22860</xdr:rowOff>
                  </from>
                  <to>
                    <xdr:col>8</xdr:col>
                    <xdr:colOff>312420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30480</xdr:colOff>
                    <xdr:row>51</xdr:row>
                    <xdr:rowOff>30480</xdr:rowOff>
                  </from>
                  <to>
                    <xdr:col>8</xdr:col>
                    <xdr:colOff>312420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30480</xdr:colOff>
                    <xdr:row>52</xdr:row>
                    <xdr:rowOff>30480</xdr:rowOff>
                  </from>
                  <to>
                    <xdr:col>8</xdr:col>
                    <xdr:colOff>312420</xdr:colOff>
                    <xdr:row>52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30480</xdr:colOff>
                    <xdr:row>53</xdr:row>
                    <xdr:rowOff>30480</xdr:rowOff>
                  </from>
                  <to>
                    <xdr:col>8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30480</xdr:colOff>
                    <xdr:row>54</xdr:row>
                    <xdr:rowOff>30480</xdr:rowOff>
                  </from>
                  <to>
                    <xdr:col>8</xdr:col>
                    <xdr:colOff>312420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30480</xdr:colOff>
                    <xdr:row>55</xdr:row>
                    <xdr:rowOff>30480</xdr:rowOff>
                  </from>
                  <to>
                    <xdr:col>8</xdr:col>
                    <xdr:colOff>312420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30480</xdr:colOff>
                    <xdr:row>56</xdr:row>
                    <xdr:rowOff>30480</xdr:rowOff>
                  </from>
                  <to>
                    <xdr:col>8</xdr:col>
                    <xdr:colOff>312420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30480</xdr:colOff>
                    <xdr:row>57</xdr:row>
                    <xdr:rowOff>30480</xdr:rowOff>
                  </from>
                  <to>
                    <xdr:col>8</xdr:col>
                    <xdr:colOff>312420</xdr:colOff>
                    <xdr:row>57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30480</xdr:colOff>
                    <xdr:row>58</xdr:row>
                    <xdr:rowOff>30480</xdr:rowOff>
                  </from>
                  <to>
                    <xdr:col>8</xdr:col>
                    <xdr:colOff>312420</xdr:colOff>
                    <xdr:row>58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30480</xdr:colOff>
                    <xdr:row>59</xdr:row>
                    <xdr:rowOff>30480</xdr:rowOff>
                  </from>
                  <to>
                    <xdr:col>8</xdr:col>
                    <xdr:colOff>312420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30480</xdr:colOff>
                    <xdr:row>59</xdr:row>
                    <xdr:rowOff>30480</xdr:rowOff>
                  </from>
                  <to>
                    <xdr:col>2</xdr:col>
                    <xdr:colOff>670560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30480</xdr:colOff>
                    <xdr:row>66</xdr:row>
                    <xdr:rowOff>30480</xdr:rowOff>
                  </from>
                  <to>
                    <xdr:col>2</xdr:col>
                    <xdr:colOff>670560</xdr:colOff>
                    <xdr:row>66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30480</xdr:colOff>
                    <xdr:row>67</xdr:row>
                    <xdr:rowOff>30480</xdr:rowOff>
                  </from>
                  <to>
                    <xdr:col>2</xdr:col>
                    <xdr:colOff>670560</xdr:colOff>
                    <xdr:row>67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30480</xdr:colOff>
                    <xdr:row>68</xdr:row>
                    <xdr:rowOff>30480</xdr:rowOff>
                  </from>
                  <to>
                    <xdr:col>2</xdr:col>
                    <xdr:colOff>670560</xdr:colOff>
                    <xdr:row>68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30480</xdr:colOff>
                    <xdr:row>69</xdr:row>
                    <xdr:rowOff>30480</xdr:rowOff>
                  </from>
                  <to>
                    <xdr:col>2</xdr:col>
                    <xdr:colOff>670560</xdr:colOff>
                    <xdr:row>69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30480</xdr:colOff>
                    <xdr:row>70</xdr:row>
                    <xdr:rowOff>30480</xdr:rowOff>
                  </from>
                  <to>
                    <xdr:col>2</xdr:col>
                    <xdr:colOff>670560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30480</xdr:colOff>
                    <xdr:row>71</xdr:row>
                    <xdr:rowOff>30480</xdr:rowOff>
                  </from>
                  <to>
                    <xdr:col>2</xdr:col>
                    <xdr:colOff>670560</xdr:colOff>
                    <xdr:row>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30480</xdr:colOff>
                    <xdr:row>72</xdr:row>
                    <xdr:rowOff>30480</xdr:rowOff>
                  </from>
                  <to>
                    <xdr:col>2</xdr:col>
                    <xdr:colOff>670560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30480</xdr:colOff>
                    <xdr:row>66</xdr:row>
                    <xdr:rowOff>22860</xdr:rowOff>
                  </from>
                  <to>
                    <xdr:col>8</xdr:col>
                    <xdr:colOff>510540</xdr:colOff>
                    <xdr:row>66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22860</xdr:colOff>
                    <xdr:row>67</xdr:row>
                    <xdr:rowOff>30480</xdr:rowOff>
                  </from>
                  <to>
                    <xdr:col>8</xdr:col>
                    <xdr:colOff>510540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30480</xdr:colOff>
                    <xdr:row>68</xdr:row>
                    <xdr:rowOff>30480</xdr:rowOff>
                  </from>
                  <to>
                    <xdr:col>8</xdr:col>
                    <xdr:colOff>312420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LISTAS!$A$3:$A$28</xm:f>
          </x14:formula1>
          <xm:sqref>D8:L8</xm:sqref>
        </x14:dataValidation>
        <x14:dataValidation type="list" allowBlank="1" showInputMessage="1" showErrorMessage="1">
          <x14:formula1>
            <xm:f>LISTAS!$A$32:$A$40</xm:f>
          </x14:formula1>
          <xm:sqref>G32:H32</xm:sqref>
        </x14:dataValidation>
        <x14:dataValidation type="list" allowBlank="1" showInputMessage="1" showErrorMessage="1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4140625" defaultRowHeight="15" customHeight="1"/>
  <cols>
    <col min="1" max="1" width="34" customWidth="1"/>
    <col min="2" max="2" width="41.44140625" customWidth="1"/>
    <col min="3" max="3" width="58.33203125" customWidth="1"/>
    <col min="4" max="4" width="20.44140625" customWidth="1"/>
    <col min="5" max="5" width="22.5546875" customWidth="1"/>
    <col min="6" max="6" width="48.77734375" customWidth="1"/>
    <col min="7" max="8" width="0" hidden="1" customWidth="1"/>
    <col min="9" max="9" width="80.77734375" customWidth="1"/>
  </cols>
  <sheetData>
    <row r="1" spans="1:9" ht="15" customHeight="1">
      <c r="A1">
        <v>1</v>
      </c>
      <c r="B1">
        <v>2</v>
      </c>
      <c r="C1">
        <v>3</v>
      </c>
      <c r="D1">
        <v>4</v>
      </c>
    </row>
    <row r="2" spans="1:9" ht="15" customHeight="1">
      <c r="A2" s="13" t="s">
        <v>8</v>
      </c>
      <c r="B2" s="14" t="s">
        <v>9</v>
      </c>
      <c r="C2" s="15" t="s">
        <v>41</v>
      </c>
      <c r="D2" s="14" t="s">
        <v>50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</row>
    <row r="3" spans="1:9" ht="63" customHeight="1">
      <c r="A3" s="11" t="s">
        <v>10</v>
      </c>
      <c r="B3" s="10" t="s">
        <v>0</v>
      </c>
      <c r="C3" s="12" t="s">
        <v>42</v>
      </c>
      <c r="D3" s="10" t="s">
        <v>51</v>
      </c>
    </row>
    <row r="4" spans="1:9" ht="15" customHeight="1">
      <c r="A4" s="11" t="s">
        <v>52</v>
      </c>
      <c r="B4" s="10" t="s">
        <v>31</v>
      </c>
      <c r="C4" s="12" t="s">
        <v>43</v>
      </c>
      <c r="D4" s="10" t="s">
        <v>10</v>
      </c>
    </row>
    <row r="5" spans="1:9" ht="30" customHeight="1">
      <c r="A5" s="11" t="s">
        <v>11</v>
      </c>
      <c r="B5" s="10" t="s">
        <v>32</v>
      </c>
      <c r="C5" s="12" t="s">
        <v>43</v>
      </c>
      <c r="D5" s="10" t="s">
        <v>52</v>
      </c>
    </row>
    <row r="6" spans="1:9" ht="66" customHeight="1">
      <c r="A6" s="11" t="s">
        <v>12</v>
      </c>
      <c r="B6" s="10" t="s">
        <v>32</v>
      </c>
      <c r="C6" s="12" t="s">
        <v>43</v>
      </c>
      <c r="D6" s="10" t="s">
        <v>52</v>
      </c>
    </row>
    <row r="7" spans="1:9">
      <c r="A7" s="11" t="s">
        <v>33</v>
      </c>
      <c r="B7" s="10" t="s">
        <v>13</v>
      </c>
      <c r="C7" s="12" t="s">
        <v>44</v>
      </c>
      <c r="D7" s="10" t="s">
        <v>10</v>
      </c>
    </row>
    <row r="8" spans="1:9" ht="15" customHeight="1">
      <c r="A8" s="11" t="s">
        <v>34</v>
      </c>
      <c r="B8" s="10" t="s">
        <v>13</v>
      </c>
      <c r="C8" s="12" t="s">
        <v>44</v>
      </c>
      <c r="D8" s="10" t="s">
        <v>33</v>
      </c>
    </row>
    <row r="9" spans="1:9">
      <c r="A9" s="11" t="s">
        <v>14</v>
      </c>
      <c r="B9" s="10" t="s">
        <v>15</v>
      </c>
      <c r="C9" s="12" t="s">
        <v>44</v>
      </c>
      <c r="D9" s="10" t="s">
        <v>10</v>
      </c>
    </row>
    <row r="10" spans="1:9" ht="15" customHeight="1">
      <c r="A10" s="11" t="s">
        <v>16</v>
      </c>
      <c r="B10" s="10" t="s">
        <v>15</v>
      </c>
      <c r="C10" s="12" t="s">
        <v>44</v>
      </c>
      <c r="D10" s="10" t="s">
        <v>14</v>
      </c>
    </row>
    <row r="11" spans="1:9" ht="15" customHeight="1">
      <c r="A11" s="11" t="s">
        <v>17</v>
      </c>
      <c r="B11" s="10" t="s">
        <v>15</v>
      </c>
      <c r="C11" s="12" t="s">
        <v>44</v>
      </c>
      <c r="D11" s="10" t="s">
        <v>14</v>
      </c>
    </row>
    <row r="12" spans="1:9" ht="15" customHeight="1">
      <c r="A12" s="11" t="s">
        <v>30</v>
      </c>
      <c r="B12" s="10" t="s">
        <v>15</v>
      </c>
      <c r="C12" s="12" t="s">
        <v>44</v>
      </c>
      <c r="D12" s="10" t="s">
        <v>14</v>
      </c>
    </row>
    <row r="13" spans="1:9" ht="15" customHeight="1">
      <c r="A13" s="11" t="s">
        <v>46</v>
      </c>
      <c r="B13" s="10" t="s">
        <v>15</v>
      </c>
      <c r="C13" s="12" t="s">
        <v>44</v>
      </c>
      <c r="D13" s="10" t="s">
        <v>14</v>
      </c>
    </row>
    <row r="14" spans="1:9" ht="30">
      <c r="A14" s="11" t="s">
        <v>35</v>
      </c>
      <c r="B14" s="10" t="s">
        <v>18</v>
      </c>
      <c r="C14" s="12" t="s">
        <v>45</v>
      </c>
      <c r="D14" s="10" t="s">
        <v>10</v>
      </c>
    </row>
    <row r="15" spans="1:9" ht="30" customHeight="1">
      <c r="A15" s="11" t="s">
        <v>19</v>
      </c>
      <c r="B15" s="10" t="s">
        <v>20</v>
      </c>
      <c r="C15" s="12" t="s">
        <v>44</v>
      </c>
      <c r="D15" s="10" t="s">
        <v>10</v>
      </c>
    </row>
    <row r="16" spans="1:9" ht="118.8" customHeight="1">
      <c r="A16" s="11" t="s">
        <v>36</v>
      </c>
      <c r="B16" s="10" t="s">
        <v>20</v>
      </c>
      <c r="C16" s="12" t="s">
        <v>44</v>
      </c>
      <c r="D16" s="10" t="s">
        <v>19</v>
      </c>
    </row>
    <row r="17" spans="1:4" ht="15" customHeight="1">
      <c r="A17" s="11" t="s">
        <v>21</v>
      </c>
      <c r="B17" s="10" t="s">
        <v>22</v>
      </c>
      <c r="C17" s="12" t="s">
        <v>44</v>
      </c>
      <c r="D17" s="10" t="s">
        <v>10</v>
      </c>
    </row>
    <row r="18" spans="1:4" ht="15" customHeight="1">
      <c r="A18" s="11" t="s">
        <v>49</v>
      </c>
      <c r="B18" s="10" t="s">
        <v>22</v>
      </c>
      <c r="C18" s="12" t="s">
        <v>44</v>
      </c>
      <c r="D18" s="10" t="s">
        <v>10</v>
      </c>
    </row>
    <row r="19" spans="1:4" ht="15" customHeight="1">
      <c r="A19" s="11" t="s">
        <v>23</v>
      </c>
      <c r="B19" s="10" t="s">
        <v>24</v>
      </c>
      <c r="C19" s="12" t="s">
        <v>44</v>
      </c>
      <c r="D19" s="10" t="s">
        <v>10</v>
      </c>
    </row>
    <row r="20" spans="1:4" ht="15" customHeight="1">
      <c r="A20" s="11" t="s">
        <v>37</v>
      </c>
      <c r="B20" s="10" t="s">
        <v>38</v>
      </c>
      <c r="C20" s="12" t="s">
        <v>44</v>
      </c>
      <c r="D20" s="10" t="s">
        <v>10</v>
      </c>
    </row>
    <row r="21" spans="1:4" ht="15" customHeight="1">
      <c r="A21" s="11" t="s">
        <v>48</v>
      </c>
      <c r="B21" s="10" t="s">
        <v>38</v>
      </c>
      <c r="C21" s="12" t="s">
        <v>44</v>
      </c>
      <c r="D21" s="10" t="s">
        <v>37</v>
      </c>
    </row>
    <row r="22" spans="1:4" ht="31.8" customHeight="1">
      <c r="A22" s="11" t="s">
        <v>39</v>
      </c>
      <c r="B22" s="10" t="s">
        <v>25</v>
      </c>
      <c r="C22" s="12" t="s">
        <v>44</v>
      </c>
      <c r="D22" s="10" t="s">
        <v>10</v>
      </c>
    </row>
    <row r="23" spans="1:4" ht="30">
      <c r="A23" s="11" t="s">
        <v>40</v>
      </c>
      <c r="B23" s="10" t="s">
        <v>25</v>
      </c>
      <c r="C23" s="12" t="s">
        <v>44</v>
      </c>
      <c r="D23" s="10" t="s">
        <v>39</v>
      </c>
    </row>
    <row r="24" spans="1:4" ht="15" customHeight="1">
      <c r="A24" s="11" t="s">
        <v>26</v>
      </c>
      <c r="B24" s="10" t="s">
        <v>0</v>
      </c>
      <c r="C24" s="12" t="s">
        <v>42</v>
      </c>
      <c r="D24" s="10" t="s">
        <v>10</v>
      </c>
    </row>
    <row r="25" spans="1:4" ht="15" customHeight="1">
      <c r="A25" s="11" t="s">
        <v>27</v>
      </c>
      <c r="B25" s="10" t="s">
        <v>25</v>
      </c>
      <c r="C25" s="12" t="s">
        <v>44</v>
      </c>
      <c r="D25" s="10" t="s">
        <v>39</v>
      </c>
    </row>
    <row r="26" spans="1:4" ht="30">
      <c r="A26" s="11" t="s">
        <v>28</v>
      </c>
      <c r="B26" s="10" t="s">
        <v>25</v>
      </c>
      <c r="C26" s="12" t="s">
        <v>44</v>
      </c>
      <c r="D26" s="10" t="s">
        <v>39</v>
      </c>
    </row>
    <row r="27" spans="1:4" ht="30">
      <c r="A27" s="11" t="s">
        <v>29</v>
      </c>
      <c r="B27" s="10" t="s">
        <v>25</v>
      </c>
      <c r="C27" s="12" t="s">
        <v>44</v>
      </c>
      <c r="D27" s="10" t="s">
        <v>39</v>
      </c>
    </row>
    <row r="28" spans="1:4" ht="15" customHeight="1">
      <c r="A28" s="16" t="s">
        <v>47</v>
      </c>
      <c r="B28" s="17" t="s">
        <v>25</v>
      </c>
      <c r="C28" s="18" t="s">
        <v>44</v>
      </c>
      <c r="D28" s="10" t="s">
        <v>39</v>
      </c>
    </row>
    <row r="31" spans="1:4" ht="15" customHeight="1">
      <c r="B31" s="29" t="s">
        <v>90</v>
      </c>
      <c r="C31" s="29" t="s">
        <v>91</v>
      </c>
    </row>
    <row r="32" spans="1:4" ht="86.4">
      <c r="A32" s="24" t="s">
        <v>78</v>
      </c>
      <c r="B32" s="30" t="s">
        <v>93</v>
      </c>
      <c r="C32" s="30" t="s">
        <v>92</v>
      </c>
    </row>
    <row r="33" spans="1:3" ht="15" customHeight="1">
      <c r="A33" s="24" t="s">
        <v>79</v>
      </c>
      <c r="B33" s="27"/>
      <c r="C33" s="32">
        <v>5</v>
      </c>
    </row>
    <row r="34" spans="1:3" ht="15" customHeight="1">
      <c r="A34" s="24" t="s">
        <v>80</v>
      </c>
      <c r="B34" s="27"/>
      <c r="C34" s="32">
        <v>4</v>
      </c>
    </row>
    <row r="35" spans="1:3" ht="15" customHeight="1">
      <c r="A35" s="24" t="s">
        <v>81</v>
      </c>
      <c r="B35" s="28"/>
      <c r="C35" s="32">
        <v>3</v>
      </c>
    </row>
    <row r="36" spans="1:3" ht="15" customHeight="1">
      <c r="A36" s="24" t="s">
        <v>82</v>
      </c>
      <c r="C36" s="32">
        <v>2</v>
      </c>
    </row>
    <row r="37" spans="1:3" ht="15" customHeight="1">
      <c r="A37" s="24" t="s">
        <v>83</v>
      </c>
      <c r="C37" s="32">
        <v>1</v>
      </c>
    </row>
    <row r="38" spans="1:3" ht="15" customHeight="1">
      <c r="A38" s="24" t="s">
        <v>84</v>
      </c>
      <c r="C38" s="32" t="s">
        <v>139</v>
      </c>
    </row>
    <row r="39" spans="1:3" ht="15" customHeight="1">
      <c r="A39" s="24" t="s">
        <v>85</v>
      </c>
    </row>
    <row r="40" spans="1:3" ht="15" customHeight="1">
      <c r="A40" s="24" t="s">
        <v>86</v>
      </c>
    </row>
    <row r="41" spans="1:3" ht="15" customHeight="1">
      <c r="A41">
        <v>1</v>
      </c>
      <c r="B41">
        <v>2</v>
      </c>
      <c r="C41">
        <v>3</v>
      </c>
    </row>
    <row r="42" spans="1:3" ht="15" customHeight="1">
      <c r="A42" s="37" t="s">
        <v>127</v>
      </c>
      <c r="B42" s="38" t="s">
        <v>95</v>
      </c>
      <c r="C42" s="38" t="s">
        <v>96</v>
      </c>
    </row>
    <row r="43" spans="1:3" ht="72">
      <c r="A43" s="39" t="s">
        <v>97</v>
      </c>
      <c r="B43" s="33" t="s">
        <v>98</v>
      </c>
      <c r="C43" s="34" t="s">
        <v>132</v>
      </c>
    </row>
    <row r="44" spans="1:3" ht="57.6">
      <c r="A44" s="34" t="s">
        <v>99</v>
      </c>
      <c r="B44" s="31" t="s">
        <v>100</v>
      </c>
      <c r="C44" s="34" t="s">
        <v>133</v>
      </c>
    </row>
    <row r="45" spans="1:3" ht="72">
      <c r="A45" s="34" t="s">
        <v>101</v>
      </c>
      <c r="B45" s="31" t="s">
        <v>102</v>
      </c>
      <c r="C45" s="34" t="s">
        <v>134</v>
      </c>
    </row>
    <row r="46" spans="1:3" ht="86.4">
      <c r="A46" s="34" t="s">
        <v>103</v>
      </c>
      <c r="B46" s="40" t="s">
        <v>104</v>
      </c>
      <c r="C46" s="34" t="s">
        <v>135</v>
      </c>
    </row>
    <row r="47" spans="1:3" ht="100.8">
      <c r="A47" s="34" t="s">
        <v>105</v>
      </c>
      <c r="B47" s="40" t="s">
        <v>106</v>
      </c>
      <c r="C47" s="34" t="s">
        <v>136</v>
      </c>
    </row>
    <row r="48" spans="1:3" ht="72">
      <c r="A48" s="41" t="s">
        <v>107</v>
      </c>
      <c r="B48" s="40" t="s">
        <v>108</v>
      </c>
      <c r="C48" s="34" t="s">
        <v>137</v>
      </c>
    </row>
    <row r="49" spans="1:3" ht="57.6">
      <c r="A49" s="34" t="s">
        <v>109</v>
      </c>
      <c r="B49" s="31" t="s">
        <v>110</v>
      </c>
      <c r="C49" s="34" t="s">
        <v>138</v>
      </c>
    </row>
    <row r="50" spans="1:3" ht="57.6">
      <c r="A50" s="34" t="s">
        <v>111</v>
      </c>
      <c r="B50" s="33" t="s">
        <v>112</v>
      </c>
      <c r="C50" s="31" t="s">
        <v>112</v>
      </c>
    </row>
    <row r="51" spans="1:3" ht="57.6">
      <c r="A51" s="34" t="s">
        <v>113</v>
      </c>
      <c r="B51" s="33" t="s">
        <v>114</v>
      </c>
      <c r="C51" s="31" t="s">
        <v>114</v>
      </c>
    </row>
    <row r="52" spans="1:3" ht="72">
      <c r="A52" s="34" t="s">
        <v>115</v>
      </c>
      <c r="B52" s="33" t="s">
        <v>116</v>
      </c>
      <c r="C52" s="31" t="s">
        <v>116</v>
      </c>
    </row>
    <row r="53" spans="1:3" ht="144">
      <c r="A53" s="34" t="s">
        <v>117</v>
      </c>
      <c r="B53" s="33" t="s">
        <v>118</v>
      </c>
      <c r="C53" s="31" t="s">
        <v>119</v>
      </c>
    </row>
    <row r="54" spans="1:3" ht="100.8">
      <c r="A54" s="34" t="s">
        <v>120</v>
      </c>
      <c r="B54" s="31" t="s">
        <v>121</v>
      </c>
      <c r="C54" s="31" t="s">
        <v>121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ZFIP_Comercial</cp:lastModifiedBy>
  <cp:lastPrinted>2023-02-22T23:46:09Z</cp:lastPrinted>
  <dcterms:created xsi:type="dcterms:W3CDTF">2015-11-05T16:15:41Z</dcterms:created>
  <dcterms:modified xsi:type="dcterms:W3CDTF">2023-03-08T21:30:26Z</dcterms:modified>
</cp:coreProperties>
</file>